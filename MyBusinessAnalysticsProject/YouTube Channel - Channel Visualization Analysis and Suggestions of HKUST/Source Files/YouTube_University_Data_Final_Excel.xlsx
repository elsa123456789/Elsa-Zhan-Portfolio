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G:\【HKUST】\ISOM5680 Visual Analytics For Business Decisions\Group Project\Project Data\20221016\"/>
    </mc:Choice>
  </mc:AlternateContent>
  <xr:revisionPtr revIDLastSave="0" documentId="13_ncr:1_{9CED8A55-4A65-472C-8C6D-A494E7403CF3}" xr6:coauthVersionLast="47" xr6:coauthVersionMax="47" xr10:uidLastSave="{00000000-0000-0000-0000-000000000000}"/>
  <bookViews>
    <workbookView xWindow="-108" yWindow="-108" windowWidth="23256" windowHeight="12456" xr2:uid="{00000000-000D-0000-FFFF-FFFF00000000}"/>
  </bookViews>
  <sheets>
    <sheet name="University Channel Data" sheetId="8" r:id="rId1"/>
    <sheet name="YouTube University Data_Fin (2)" sheetId="2" r:id="rId2"/>
    <sheet name="Radar Source" sheetId="3" r:id="rId3"/>
    <sheet name="Radar Result" sheetId="6" r:id="rId4"/>
    <sheet name="Original Channel Name" sheetId="7" state="hidden" r:id="rId5"/>
  </sheets>
  <externalReferences>
    <externalReference r:id="rId6"/>
  </externalReferences>
  <definedNames>
    <definedName name="ExternalData_1" localSheetId="1" hidden="1">'YouTube University Data_Fin (2)'!$A:$P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F6" i="3"/>
  <c r="E6" i="3"/>
  <c r="D6" i="3"/>
  <c r="C6" i="3"/>
  <c r="B6" i="3"/>
  <c r="F5" i="3"/>
  <c r="F7" i="3" s="1"/>
  <c r="E5" i="3"/>
  <c r="E7" i="3" s="1"/>
  <c r="D5" i="3"/>
  <c r="C5" i="3"/>
  <c r="C7" i="3" s="1"/>
  <c r="B5" i="3"/>
  <c r="B7" i="3" s="1"/>
  <c r="F3" i="3"/>
  <c r="E3" i="3"/>
  <c r="D3" i="3"/>
  <c r="C3" i="3"/>
  <c r="B3" i="3"/>
  <c r="F2" i="3"/>
  <c r="E2" i="3"/>
  <c r="D2" i="3"/>
  <c r="C2" i="3"/>
  <c r="B2" i="3"/>
  <c r="B2" i="6" l="1"/>
  <c r="F6" i="6"/>
  <c r="D5" i="6"/>
  <c r="D7" i="3"/>
  <c r="B7" i="6" s="1"/>
  <c r="F3" i="6"/>
  <c r="F2" i="6"/>
  <c r="B3" i="6"/>
  <c r="E5" i="6"/>
  <c r="C3" i="6"/>
  <c r="F5" i="6"/>
  <c r="D2" i="6"/>
  <c r="E2" i="6"/>
  <c r="D3" i="6"/>
  <c r="B6" i="6"/>
  <c r="E3" i="6"/>
  <c r="C6" i="6"/>
  <c r="C2" i="6"/>
  <c r="D6" i="6"/>
  <c r="E6" i="6"/>
  <c r="C5" i="6"/>
  <c r="K5" i="3"/>
  <c r="B5" i="6"/>
  <c r="K6" i="3"/>
  <c r="E4" i="3"/>
  <c r="F4" i="3"/>
  <c r="H3" i="3"/>
  <c r="H5" i="3"/>
  <c r="C4" i="3"/>
  <c r="D4" i="3"/>
  <c r="K2" i="3"/>
  <c r="K3" i="3"/>
  <c r="G5" i="3"/>
  <c r="G2" i="3"/>
  <c r="G6" i="3"/>
  <c r="B4" i="3"/>
  <c r="H2" i="3"/>
  <c r="J5" i="3"/>
  <c r="H6" i="3"/>
  <c r="J3" i="3"/>
  <c r="G3" i="3"/>
  <c r="J2" i="3"/>
  <c r="J6" i="3"/>
  <c r="K7" i="3" l="1"/>
  <c r="F7" i="6"/>
  <c r="G7" i="3"/>
  <c r="J7" i="3"/>
  <c r="H7" i="3"/>
  <c r="C7" i="6"/>
  <c r="D7" i="6"/>
  <c r="D4" i="6"/>
  <c r="E7" i="6"/>
  <c r="C4" i="6"/>
  <c r="B4" i="6"/>
  <c r="F4" i="6"/>
  <c r="E4" i="6"/>
  <c r="I3" i="3"/>
  <c r="I5" i="3"/>
  <c r="I2" i="3"/>
  <c r="G4" i="3"/>
  <c r="H4" i="3"/>
  <c r="J4" i="3"/>
  <c r="K4" i="3"/>
  <c r="I6" i="3"/>
  <c r="I7" i="3" l="1"/>
  <c r="I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YouTube University Data_Final" description="Connection to the 'YouTube University Data_Final' query in the workbook." type="5" refreshedVersion="8" background="1" saveData="1">
    <dbPr connection="Provider=Microsoft.Mashup.OleDb.1;Data Source=$Workbook$;Location=&quot;YouTube University Data_Final&quot;;Extended Properties=&quot;&quot;" command="SELECT * FROM [YouTube University Data_Final]"/>
  </connection>
</connections>
</file>

<file path=xl/sharedStrings.xml><?xml version="1.0" encoding="utf-8"?>
<sst xmlns="http://schemas.openxmlformats.org/spreadsheetml/2006/main" count="16319" uniqueCount="5396">
  <si>
    <t>Channel_name</t>
  </si>
  <si>
    <t>Title</t>
  </si>
  <si>
    <t>Description</t>
  </si>
  <si>
    <t>Category</t>
  </si>
  <si>
    <t>Published_date</t>
  </si>
  <si>
    <t>Duration</t>
  </si>
  <si>
    <t>Tags</t>
  </si>
  <si>
    <t>Views</t>
  </si>
  <si>
    <t>Likes</t>
  </si>
  <si>
    <t>Favourites</t>
  </si>
  <si>
    <t>Comments</t>
  </si>
  <si>
    <t>Month</t>
  </si>
  <si>
    <t>Year</t>
  </si>
  <si>
    <t>Category_name</t>
  </si>
  <si>
    <t>HKUST</t>
  </si>
  <si>
    <t>HKUST Named Professorships | Wu Chien-Shiung Professor of Science Prof. Jiannong WANG</t>
  </si>
  <si>
    <t>['HKUST']</t>
  </si>
  <si>
    <t>Oct</t>
  </si>
  <si>
    <t>Education</t>
  </si>
  <si>
    <t>HKUST Named Professorships | Dr William M W Mong Professor of Nanoscience Prof. Xi DAI</t>
  </si>
  <si>
    <t>HKUST Named Professorships | IAS Paul C W Chu Professor Prof. Kam-Biu LUK</t>
  </si>
  <si>
    <t>Sep</t>
  </si>
  <si>
    <t>Alzheimer's Disease (AD) may still be an irreversible condition that lacks effective treatments, but recent scientific breakthroughs are bringing great hope. Check out the promising advances made by researchers at #HKUST's Hong Kong Center for Neurodegenerative Diseases (HKCeND).
#HKUSTresearch #AlzheimersDisease #Dementia #Aging #AgingResearch #Neuroscience #Research #ResearchBreakthrough</t>
  </si>
  <si>
    <t>Unmanned Vessels to Tackle #WaterPollution and Aid Rescue Missions</t>
  </si>
  <si>
    <t>What's the key to founding a #unicorn business? For #HKUST alumnus ZHANG Yunfei, Founder and President of world-leading unmanned ship corporation Zhuhai Yunzhou Intelligence Technology Ltd. (Yunzhou), it all started with a childhood passion for boats and an inventive spirit. Check out how the entrepreneurial journey of Yunfei and his team burgeoned at #HKUST and how their first-of-its-kind unmanned ships can help China tackle water pollution and perform dangerous water rescue missions. Learn more: https://bit.ly/3pqOrUQ
#HKUSTinnovation #HKUSTentrepreneur #Innovation #Startup #Entrepreneur #WaterTreatment #WaterQuality #WaterRescue #Invention #Entrepreneurship</t>
  </si>
  <si>
    <t>World's First 3D Artificial Eye</t>
  </si>
  <si>
    <t>How can we help visually impaired patients regain eyesight? Check out the world's first 3D artificial eye developed by #HKUST's research team and how it will bring new hope to visually impaired patients as well as enable humanoid robots to see. Learn more: https://bit.ly/3vnve9L
#HKUSTresearch #HKUSTinnovation #HKUSTfaculty #ArtificialEye #BionicEye #Humanoid #Robotics #Innovation #Technology</t>
  </si>
  <si>
    <t>[ Inclusive and Energetic University Life | New Semester, New Beginning! ]</t>
  </si>
  <si>
    <t>A Day in the Life of HKUST's Engineering Research Postgraduate Student Jungjin PARK</t>
  </si>
  <si>
    <t>HKUST Engineering Research Postgraduate Student Vlog - 
Jungjin PARK, MPhil Student of Mechanical and Aerospace Engineering
The Hong Kong University of Science and Technology
HKUST Engineering Research Postgraduate Study: 
https://seng.hkust.edu.hk/academics/r...
Hong Kong PhD Fellowship Scheme - A Prestigious and Fully-Funded Option for Your PhD Studies:
https://fytgs.hkust.edu.hk/scholarshi...
@HKUST Engineering Research &amp; RPG Studies 
#hkust #engineering#research #students #mphil #phd #vlog #adayinthelife 
#hkustengineering #hkpfs</t>
  </si>
  <si>
    <t>HKUST2.0 - Converging Creative Minds, Empowering a Better Future</t>
  </si>
  <si>
    <t>[ HKUST2.0 - Converging Creative Minds, Empowering a Better Future ]
Since 1991, #HKUST has taken on a quest for excellence and innovation. Fast-forwarding to now, we are progressing from HKUST to a brand-new era of HKUST2.0 with HKUST(GZ). Check out how HKUST and HKUST(GZ) will jointly empower a better and more sustainable future for all.
#HKUSTGZ #CrossCampus #Synergy #CrossDisciplinary #Education #HigherEducation #Univeristy #Research</t>
  </si>
  <si>
    <t>HKUST(GZ) Opening - Congratulatory Messages from Global Partners</t>
  </si>
  <si>
    <t>HKUST(GZ) Opening Torch Relay</t>
  </si>
  <si>
    <t>[ Spreading the #HKUST Spirit from Hong Kong to Guangzhou ]
The #HKUST spirit knows no boundaries. Carrying our HKUST spirit from Hong Kong to Guangzhou, HKUST and HKUST(GZ) strives to make the world a better and more sustainable home for all.
#HKUSTGZ #TorchRelay #Torch #Running #Relay #University #Sailing #Drone #Metaverse</t>
  </si>
  <si>
    <t>HKUST(GZ) Opening - HK &amp; GZ Evening Celebrations Highlights</t>
  </si>
  <si>
    <t>HKUST(GZ) Opening - Evening Celebration in Hong Kong (Full Version)</t>
  </si>
  <si>
    <t>HKUST(GZ) Opening - Guangzhou Celebration Highlights</t>
  </si>
  <si>
    <t>[ Share Our Joy for HKUST(GZ)'s Opening Celebration ]
The opening of HKUST(GZ) marks a historic moment and turns a new chapter in HKUST's history. Check out some highlights of the celebrations in the Guangzhou campus and share our joy!
#HKUSTevent #TorchRelay #PassTheTorch #NewBeginning #Celebration #Education #CrossCampus #HigherEducation #University #GBA #GreaterBayArea #Interdisciplinary #CrossDisciplinary #Metaverse</t>
  </si>
  <si>
    <t>HKUST(GZ) Opening - Congratulatory Messages</t>
  </si>
  <si>
    <t>[ Congratulatory Messages for HKUST(GZ)'s Opening ]
#HKUST and HKUST(GZ) are so grateful to receive many good wishes from HKSAR government officials, our long-term friends and HKUST senior administrators for this exciting milestone of our journey. Our heartfelt thanks to:
The Hon John Lee, GBM, SBS, PDSM, PMSM, Chief Executive of the HKSAR 
The Hon Chun-ying Leung, GBM, GBS, JP, Vice-Chairman of the National Committee of the Chinese People's Political Consultative Conference and Former Chief Executive of the HKSAR
The Hon Mrs. Carrie Lam, GBM, GBS, JP, Former Chief Executive of the HKSAR
Dr. Yuk-lin Choi, JP, Secretary for Education of the HKSAR
Mr. Carlson Tong, GBS, JP, Chairman of the University Grants Committee
Prof. Chia-wei Woo, GBS, CBE, Founding President of HKUST
Dr. John Chan, GBS, JP, Founding Chairman of the Council and Chairman of the Court of HKUST
Dr. Andrew Liao, GBM, GBS, SC, JP, Chairman of the Council of HKUST
Prof. Wei Shyy, JP, President of HKUST
Prof. Nancy Ip, SBS, MH, JP, President-Designate of HKUST
Mr. Ian Fok, SBS, JP, Honorary Member of the Court of HKUST
Dr. Vincent Lo, GBM, GBS, JP, Former Chairman of the Council and Honorary Chairman of the Court of HKUST
Dr. Tung Chee-chen, The Tung Foundation
#HKUSTevent #Congratulations #NewBeginning #Celebration #Education #CrossCampus #HigherEducation #University #GBA #GreaterBayArea #Interdisciplinary #CrossDisciplinary</t>
  </si>
  <si>
    <t>HKSUT(GZ) Opening Ceremony at Guangzhou</t>
  </si>
  <si>
    <t>HKUST(GZ) Opening Ceremony - Event Highlights</t>
  </si>
  <si>
    <t>Development of HKUST(GZ)</t>
  </si>
  <si>
    <t>[ Witness the Birth of HKUST(GZ) from Concept to Reality ]
Three years after the ground-breaking ceremony on 26 September 2019, an empty plot of land in Nansha, Guangzhou has morphed into a state-of-the-art campus which is now HKUST(GZ). Check out this miraculous journey and enjoy some stunning views of HKUST(GZ).
#HKUSTevent #Architecture #NewBeginning #Celebration #Education #CrossCampus #HigherEducation #University #GBA #GreaterBayArea #Interdisciplinary #CrossDisciplinary</t>
  </si>
  <si>
    <t>HKUSTGZ aerial</t>
  </si>
  <si>
    <t>HKUST Welcome Back</t>
  </si>
  <si>
    <t>Are you ready to start a new year of adventures and fun? See you all at #HKUST soon! 
#BackToSchool #WelcomeBack #WelcomeHome #NewSchoolYear #helloagain</t>
  </si>
  <si>
    <t>Aug</t>
  </si>
  <si>
    <t>APRU Metagame Conference 2022</t>
  </si>
  <si>
    <t>HKUST(GZ) video - Traditional Chinese Version</t>
  </si>
  <si>
    <t>HKUST(GZ) video - Simplified Chinese Version</t>
  </si>
  <si>
    <t>HKUST Engineering Alumni Summer Mixer 2022</t>
  </si>
  <si>
    <t>Why does deflection work so well? And how to defend against deflection, if the roles are reversed? Read his full study at: https://bit.ly/3JmmvKF</t>
  </si>
  <si>
    <t>Multi-functional autonomous vehicle at HKUST</t>
  </si>
  <si>
    <t>Multi-functional autonomous vehicle brings a new normal to HKUST.
If you're interested in licensing the technologies, please contact us at ttcac@ust.hk.
#HKUST_TTC 
#robotics</t>
  </si>
  <si>
    <t>Jul</t>
  </si>
  <si>
    <t>"Ultrasonic Drug Delivery System" by HKUST</t>
  </si>
  <si>
    <t>Non-invasive Ultrasound Ocular Drug Delivery Technology
If you're interested, please contact us at ttcac@ust.hk.
#HKUST_TTC 
#biotechnology #medtech</t>
  </si>
  <si>
    <t>"StayHomeSafe" App by HKUST</t>
  </si>
  <si>
    <t>Geo-Fencing technology in StayHomeSafe apps to faciliate government in coronavirus quarantine tracking
If you're interested in licensing the technologies, please contact us at ttcac@ust.hk.
#HKUST_TTC 
#ar #robotics #geofencing</t>
  </si>
  <si>
    <t>A robust low power nanotube sensor array with high sensitivity
If you're interested in licensing the technologies, please contact us at ttcac@ust.hk.
#HKUST_TTC 
#microelectronics #mox_sensors</t>
  </si>
  <si>
    <t>"New Smart Antimicrobial Coating" Technology by HKUST</t>
  </si>
  <si>
    <t>New Smart Anti-Microbial Coating in the Fight Against COVID-19
If you're interested in licensing the technologies, please contact us at ttcac@ust.hk.
#HKUST_TTC
#sustainability #materials</t>
  </si>
  <si>
    <t>HKUST's New Products to Prevent Alzheimer's Disease</t>
  </si>
  <si>
    <t>Strengthen Your Brain with Chinese Herbs to Prevent Alzheimer's
If you're interested, please contact us at ttcac@ust.hk.
#HKUST_TTC 
#biotechnology</t>
  </si>
  <si>
    <t>HKUST(GZ) the Red Bird Sundial installation</t>
  </si>
  <si>
    <t>HKUST GEO: Could</t>
  </si>
  <si>
    <t>May this sunrise from #HKUST bring you hope and unlimited possibilities in 2021!  
#HKUSTgeo #cloud #sky #sunrise #NewYear
--------------------------------
Want to share yours? Please send in images or videos of nature on HKUST campus to brand@ust.hk.</t>
  </si>
  <si>
    <t>HKUST GEO: Bird</t>
  </si>
  <si>
    <t>HKUST GEO: Cloud</t>
  </si>
  <si>
    <t>Give yourself a break from the routine and gaze up to the beautiful clouds. A day at #HKUST surrounds you with the beauty of nature.
#HKUSTgeo #cloud #nature
--------------------------------
You are welcome to send in images or videos of nature on HKUST campus to brand@ust.hk.</t>
  </si>
  <si>
    <t>Surprised by these cloud formations over #HKUST? Stay tuned to HKUST GEO to see more beautiful nature on our amazing campus! 
#HKUSTgeo #cloud #sky
--------------------------------
You are welcome to send in images or videos of nature on HKUST campus to brand@ust.hk.</t>
  </si>
  <si>
    <t>HKUST GEO: Cat</t>
  </si>
  <si>
    <t>Look who is enjoying sunbathing at #HKUST? Introducing our campus cat to you!
Stay tuned at HKUST GEO for more!
#HKUSTgeo #HKUSTcat #HKUSTanimal
--------------------------------
You are encouraged to send in images or videos of nature on HKUST campus to brand@ust.hk</t>
  </si>
  <si>
    <t>HKUST Flag-raising Ceremony 1 JULY 2022</t>
  </si>
  <si>
    <t>HKUST GEO: Spring and Summer</t>
  </si>
  <si>
    <t>Peace and serenity come from living in the moment. Take a little break, listen to the sound of nature, and feast your eyes on the burst of colors around #HKUST's picturesque campus.
#HKUSTscenery #HKUSTnature #HKUSTbirds #Nature #NaturePhotography #Campus #Scenic</t>
  </si>
  <si>
    <t>Jun</t>
  </si>
  <si>
    <t>Try Everything A Capella Cover by HKUSTers</t>
  </si>
  <si>
    <t>[ Energetic &amp; Inclusive University Life | #HKUSTers Pump You Up with A Capella Performance ]
When challenges befall us, do you cry, or would you try? Let's soak up some positive vibes from this fun cover of power anthem "Try Everything" by #Tunatics, #HKUST's A Cappella group, joined by passionate #HKUST students, alumni, and staff who all share a love for music and for life.
While singing and dancing along to the merry tunes, can you spot a very special guest at 1:11?
#HKUSTpeople #HKUSTstudent #Postivity #ACapella #Music #SongCover #Shakira #Motivational #Uplifting</t>
  </si>
  <si>
    <t>May</t>
  </si>
  <si>
    <t>Prof. Ricky LEE Shi-Wei - Systems Hub</t>
  </si>
  <si>
    <t>Prof. WEN Weijia - Function Hub</t>
  </si>
  <si>
    <t>Prof. XIE Danyang - Society Hub</t>
  </si>
  <si>
    <t>Professor Fugee TSUNG - HKUST(GZ) information Hub</t>
  </si>
  <si>
    <t>#HKUST is sending our best to all #HKDSE students!</t>
  </si>
  <si>
    <t>Apr</t>
  </si>
  <si>
    <t>HKUST NOT Alone video</t>
  </si>
  <si>
    <t>PRAISE HK EXP Promotional Video</t>
  </si>
  <si>
    <t>Mar</t>
  </si>
  <si>
    <t>Year of the Tiger Greetings from HKUST!</t>
  </si>
  <si>
    <t>The #HKUST community is sending our warmest CNY blessings to you all! May the new year be filled with happiness and success for you and your loved ones!
#HKUSTgreetings #CNY #NewYear #YearoftheTiger #Greetings</t>
  </si>
  <si>
    <t>Jan</t>
  </si>
  <si>
    <t>HKUST 30th Anniversary - Opening Video</t>
  </si>
  <si>
    <t>Our 2021 Highlights</t>
  </si>
  <si>
    <t>HKUST SSA Video Series - Our Life at HKUST</t>
  </si>
  <si>
    <t>[ Student Social Ambassador video series ]
When you love your university so much that you call it home, everything becomes dear and precious. Check out how this group of #HKUST students see their 5-star campus.
Student Social Ambassadors:
- Lujia ZHANG (EOAS)
- Jiayao WANG (CIVL)
- Lin YU (INTR)
- Shuqing WEI (INTR)
- Nan ZHANG (IPE)
#HKUSTstudent #HKUSTSSA #StudentAmbassadors #Campus #CampusLiving</t>
  </si>
  <si>
    <t>Dec</t>
  </si>
  <si>
    <t>HKUST SSA Video Series - 3 Types of Students During Finals Week</t>
  </si>
  <si>
    <t>Stay Home Safe</t>
  </si>
  <si>
    <t>Nov</t>
  </si>
  <si>
    <t>Opening of HKUST's Shaw Auditorium</t>
  </si>
  <si>
    <t>Welcoming HKUST's Shaw Auditorium</t>
  </si>
  <si>
    <t>HKUST Shaw Auditorium</t>
  </si>
  <si>
    <t>HKUST 30 - Together We Empower</t>
  </si>
  <si>
    <t>HKUST(GZ) CAMPUS DESIGN</t>
  </si>
  <si>
    <t>The cycling aerodynamic R&amp;D platform</t>
  </si>
  <si>
    <t>The science behind Olympic medals - The cycling aerodynamic R&amp;D platform</t>
  </si>
  <si>
    <t>[Student Social Ambassador video] Let's Dance with Us!</t>
  </si>
  <si>
    <t>HKUST Welcome Video 2021</t>
  </si>
  <si>
    <t>[Student Social Ambassador video] HKUST Mark Spots</t>
  </si>
  <si>
    <t>Prof. Wang Yi</t>
  </si>
  <si>
    <t>Vaccination - WE CAN</t>
  </si>
  <si>
    <t>[Student Social Ambassador video] Let's meet in September!</t>
  </si>
  <si>
    <t>Vaccination - Testimonial 2</t>
  </si>
  <si>
    <t>Vaccination - Testimonial 1</t>
  </si>
  <si>
    <t>[Student Social Ambassador video] HKDSE Chinese Language paper REVENGE</t>
  </si>
  <si>
    <t>[Student Social Ambassador video] Odd man out!</t>
  </si>
  <si>
    <t>Are you able to guess who the #HKUST Business students are? Join us to play Odd Man Out! Stay tuned for Part Two!</t>
  </si>
  <si>
    <t>[Student Social Ambassador video] What will you do if someone stared at you in the escalator?</t>
  </si>
  <si>
    <t>What will you do if someone stared at you in the escalator?  Check out this prank video created and produced by our HKUST Student Social Ambassadors! 
Student Social Ambassadors:
- Koey YAO (SHSS)
- Kai HO (SENG)
- Marcus Alaric KWONG (SENG)
- Jasmine June ALBERTS (SENG)
- Terrie WONG (SHSS)
- Special thanks: To students and staff who filmed with the team</t>
  </si>
  <si>
    <t>UChoir 25th Annual Performance</t>
  </si>
  <si>
    <t>Shaw Auditorium Teaser Video</t>
  </si>
  <si>
    <t>Pacale Fung - AI Ethics</t>
  </si>
  <si>
    <t>Being Nice or Being Tough?</t>
  </si>
  <si>
    <t>Being warm and friendly is how we were taught growing up but it may not make you a better negotiator, research says.</t>
  </si>
  <si>
    <t>HKUST(GZ) video</t>
  </si>
  <si>
    <t>Prof. Pascale Fung</t>
  </si>
  <si>
    <t>The notable woman engineer reveals how she developed an interest in engineering from an early age, and what drove her to become an engineer in a male-denominated field.</t>
  </si>
  <si>
    <t>Researchers from the Hong Kong University of Science and Technology (HKUST) have developed an ultrathin polymer nanofilm, which is not only 25 times stronger1  than stainless steel with the same mass, but is also extremely transparent, gas-permeable and water-proof with adjustable porous properties, making it suitable for use as wearable devices, medical protection, desalination, electronics, solar cells and many other cutting-edge technologies.</t>
  </si>
  <si>
    <t>Press Conference GZ campus Introduction</t>
  </si>
  <si>
    <t>ADVANCEMENT EMPOWERS UNLIMITED POSSIBILITIES</t>
  </si>
  <si>
    <t>Professor Anirban Mukhopadhyay, Lifestyle International Professor of Business</t>
  </si>
  <si>
    <t>Professor Anirban Mukhopadhyay
Associate Dean for Undergraduate Studies / Chair Professor of Marketing / School of Business and Management
With over two billion obese or overweight people globally, according to the World Health Organization, the associated healthcare costs add up to trillions of dollars. Although medical research has singled out the overconsumption of food as the dominant cause of obesity, people tend to focus on other reasons, such as a lack of exercise. This, says HKUST consumer psychology and marketing expert Professor Anirban Mukhopadhyay, leads to harmful attitudes toward the consumption of food.
https://np.ust.hk/en/top_minds_details.php?id=56</t>
  </si>
  <si>
    <t>Welcome Back 2020</t>
  </si>
  <si>
    <t>Introduction video of the solar energy project</t>
  </si>
  <si>
    <t>Professor James Lee, Yan Ai Foundation Professor of Social Science</t>
  </si>
  <si>
    <t>Professor Kai Lung Hui, Elman Family Professor of Business</t>
  </si>
  <si>
    <t>Professor Yaping Gong, Fung Term Professor of Management</t>
  </si>
  <si>
    <t>Professor Yaping Gong
Chair Professor and Head, Department of Management
Human resource management (HRM) plays a critical role in every organization, shaping the practices of every department and the work life of every employee. For more than two decades, Professor Yaping Gong has made a profound contribution to the HR community, deepening its understanding of leadership, creativity, innovation, motivation and strategic talent engagement for the benefit of managers, organizations and ultimately society as a whole.
https://np.ust.hk/en/top_minds_details.php?id=60</t>
  </si>
  <si>
    <t>Professor Abhiroop Mukherjee, Liwei Huang Associate Professor of Business</t>
  </si>
  <si>
    <t>Professor Sam Garg, Liwei Huang Associate Professor of Business</t>
  </si>
  <si>
    <t>Professor Zexiang Li, Colin Lam Ko Yin Professor of Engineering</t>
  </si>
  <si>
    <t>Professor Mansun Chan, Alex Wong Siu Wah Gigi Wong Fook Chi Professor of Engineering</t>
  </si>
  <si>
    <t>Professor Mansun Chan
Chair Professor, Department of Electronic and Computer Engineering / Director of MSc Program in IC Design Engineering
The modern revolution in computer and mobile communication would not have been possible without advances in tiny semiconductor integrated chips that house billions of electronic components. Professor Mansun Chan, Alex Wong Siu Wah Gigi Wong Fook Chi Professor of Engineering, has made a significant contribution to the development of semiconductor technology, from the demonstration of record-breaking new device structures to the improvement of integrated circuit manufacturing processes, reducing manufacturing costs by more than 10 times. He now boasts more than 14 patents in the U.S., over 600 journal and conference papers, and some of the highest honors in electronic engineering and education.
https://np.ust.hk/en/top_minds_details.php?id=57</t>
  </si>
  <si>
    <t>Professor Khaled Ben Letaief, New Bright Professor of Engineering</t>
  </si>
  <si>
    <t>Professor Kai Liu, Cheng Associate Professor of Science</t>
  </si>
  <si>
    <t>Professor Kai Liu
Associate Professor, Division of Life Science
Prof Kai Liu has a laser-like focus on neuroscience, specifically on discovering ways to regenerate axons in damaged spinal cords. Spinal cord injury is one of the biggest medical challenges facing mankind, because unlike amphibians or fish, humans are incapable of regenerating damaged nerve cells in the spinal cord. It is estimated that tens of millions of people living with spinal cord injuries in the whole world. He is fascinated by the fact that our liver tissue can regenerate, but not the nerve cells in our ears, eyes and spinal cord.
https://np.ust.hk/en/top_minds_details.php?id=53</t>
  </si>
  <si>
    <t>PERSEVERANCE EMPOWERS UNLIMITED POSSIBILITIES</t>
  </si>
  <si>
    <t>EMPOWERING UNLIMITED POSSIBILITIES</t>
  </si>
  <si>
    <t>NONCONFORMITY EMPOWERS UNLIMITED POSSIBILITIES</t>
  </si>
  <si>
    <t>Sustainability is not just an aspiration but an action. With curiosity and tech innovations, we can enhance our quality of life by leveraging given resources without damaging the environment now or in the future. HKUST launched the Sustainable Smart Campus as a Living Lab (SSC) initiative last year to transform our university into a living lab for students and staff. We have an open call for smart innovations that can improve our well-being, daily experience, and environmental performance, to pioneer sustainable endeavors.
The first batch of university-funded SSC innovations is now well underway. A facial recognition system has just been introduced at our library and a real-time campus navigation system will be launched soon. The initiative encourages our students to take the bold step of experimenting for good. By starting from here on an individual level, we can contribute to a wider sphere of influence.</t>
  </si>
  <si>
    <t>VISION EMPOWERS UNLIMITED POSSIBILITIES</t>
  </si>
  <si>
    <t>COLLABORATION EMPOWERS UNLIMITED POSSIBILITIES</t>
  </si>
  <si>
    <t>DISCOVERY EMPOWERS UNLIMITED POSSIBILITIES</t>
  </si>
  <si>
    <t>From speeding up the detection of virus carriers, halting the spread of the virus to developing a vaccine, HKUST is helping combat COVID-19 comprehensively. Watch this video to learn what has been done by HKUST.
Learn more from the web site: https://www.ust.hk/news</t>
  </si>
  <si>
    <t>['HKUST', 'COVID-19', 'The Hong Kong University of Science and Technology', 'Coronavirus', 'Novel Coronavirus']</t>
  </si>
  <si>
    <t>Smart Fever Screening System for Safeguarding Public Health</t>
  </si>
  <si>
    <t>Exercise at Home! #HomeStudyTips</t>
  </si>
  <si>
    <t>Pursue your learning at home. On your own time. And keep up your fitness at all times! Here are some muscle relief exercises to help you get rid of your sore waist and aching back. Try them for yourself! #HomeStudyTips</t>
  </si>
  <si>
    <t>IWD@HKUST #EachforEqual</t>
  </si>
  <si>
    <t>Feb</t>
  </si>
  <si>
    <t>Welcoming Message for Spring Term by President, Provost, and VPAB</t>
  </si>
  <si>
    <t>The Bauhaus a Global Learning</t>
  </si>
  <si>
    <t>PRAISE HK</t>
  </si>
  <si>
    <t>Our PRAISE-HK APP is available now at: 
APPLE STORE: http://bit.ly/PRAISE-HK-iOS 
GOOGLE PLAY: http://bit.ly/PRAISE-HK-Android</t>
  </si>
  <si>
    <t>SUSTAINABLE SMART CAMPUS AS A LIVING LAB Launch video</t>
  </si>
  <si>
    <t>Ready for a sustainable and smart campus? We need you to join us to transform our campus into a platform for learning, experimenting, and advancing new sustainability ideas.</t>
  </si>
  <si>
    <t>Sustainable Smart Campus as a Living Lab</t>
  </si>
  <si>
    <t>Want to make a change to have a more sustainable smart campus at HKUST? Tell us your idea and get involved with the SSC initiative!
Take a poll and have a chance to win a DJI Drone
https://ust.az1.qualtrics.com/jfe/form/SV_cuy0YqjrUK6tk0Z</t>
  </si>
  <si>
    <t>Here's our 2018 Year in Review! What's yours?</t>
  </si>
  <si>
    <t>The 26th Congregation (2018) of the Hong Kong University of Science and Technology</t>
  </si>
  <si>
    <t>HKUST Alumni Reunion Promotional Video</t>
  </si>
  <si>
    <t>check it out: https://alumreunion.ust.hk/</t>
  </si>
  <si>
    <t>HKUST Corporate Video (Oct 2018 English Version)</t>
  </si>
  <si>
    <t>HKUST Corporate Video (Oct 2018 Traditional Chinese Version)</t>
  </si>
  <si>
    <t>HKUST Corporate Video (Oct 2018 Simplified Chinese Version)</t>
  </si>
  <si>
    <t>HKUST Corporate Video (Sep 2018 English Version)</t>
  </si>
  <si>
    <t>HKUST Corporate Video (Sep 2018 Simplified Chinese Version)</t>
  </si>
  <si>
    <t>HKUST Corporate Video (Sep 2018 Traditional Chinese Version)</t>
  </si>
  <si>
    <t>HKUST Freshmen</t>
  </si>
  <si>
    <t>Guinness World Record - Lets Break It</t>
  </si>
  <si>
    <t>We will attempt to break the most handprints on a wall painting in an hour. This will also help raise funds for the HKUST Dream Chaser Scholarship Fund. The event is open to ALL HKUST students, staff, and alumni. Joining is completely FREE! 
Register as a participant
https://worldrecord.ust.hk/
Place your handprint on history, donate here.
https://alumgiving.ust.hk/en/projects/detail/dream-chaser-scholarship-fund</t>
  </si>
  <si>
    <t>HKUST Reslife</t>
  </si>
  <si>
    <t>Go behind the Scenes of #itsME</t>
  </si>
  <si>
    <t>International Women's Day @ HKUST 2018 | Post Event video</t>
  </si>
  <si>
    <t>The Origin of the Universe - Prof Stephen Hawking</t>
  </si>
  <si>
    <t>IAS Inaugural Lecture
The Origin of the Universe
Prof Stephen Hawking
University of Cambridge</t>
  </si>
  <si>
    <t>Women in Innovation Forum Challenges vs Chances for Women in Innovation</t>
  </si>
  <si>
    <t>IWD at HKUST - itsME</t>
  </si>
  <si>
    <t>Prof Wei Shyy - Acting President, HKUST</t>
  </si>
  <si>
    <t>BOOKS FOR EMPOWERMENT 
Rosalind Franklin, The Dark Lady of DNA
Marie Curie A Life
Recommended by:
Prof Wei Shyy - Acting President, HKUST
Author:
Rosalind Franklin, The Dark Lady of DNA, by Brenda Maddox
Marie Curie A Life, by Susan Quinn</t>
  </si>
  <si>
    <t>Dr Jason Chan - Department of Chemistry, HKUST</t>
  </si>
  <si>
    <t>BOOKS FOR EMPOWERMENT 
European women in chemistry
Recommended by:
Dr Jason Chan - Department of Chemistry, HKUST
Author:
Jan Apotheker and Livia Simon Sarkadi</t>
  </si>
  <si>
    <t>Prof Pascale Fung - Department of Electronic &amp; Computer Engineering, HKUST</t>
  </si>
  <si>
    <t>BOOKS FOR EMPOWERMENT 
The Second Sex
Recommended by:
Prof Pascale Fung - Department of Electronic &amp; Computer Engineering, HKUST
Author:
Simone de Beauvoir</t>
  </si>
  <si>
    <t>Prof King Chow - Director of IPO and Biomedical Engineering, HKUST</t>
  </si>
  <si>
    <t>BOOKS FOR EMPOWERMENT 
Away from Her
Recommended by:
Prof King Chow - Director of Interdisciplinary Programs Office Professor of Life Science and Biomedical Engineering, HKUST
Author:
Alice Munro</t>
  </si>
  <si>
    <t>Sabrina Lin</t>
  </si>
  <si>
    <t>BOOKS FOR EMPOWERMENT 
The Joy Luck Club
Recommended by:
Sabrina Lin - Vice President for Institutional Advancement, HKUST
Author:
Amy Tan</t>
  </si>
  <si>
    <t>Diana Chan - University Librarian, HKUST</t>
  </si>
  <si>
    <t>BOOKS FOR EMPOWERMENT 
Headstrong 52 Women who Changed Science and the World
Recommended by:
Diana Chan - University Librarian, HKUST
Author:
Rachel Swaby</t>
  </si>
  <si>
    <t>Prof Angela Wu - Assistant Professor Division of Life Science</t>
  </si>
  <si>
    <t>BOOKS FOR EMPOWERMENT 
The Secret Thoughts of Successful Women
Recommended by:
Prof Angela Wu
Assistant Professor
Division of Life Science
Department of Chemical and Biological Engineering
Author:
Valerie Young</t>
  </si>
  <si>
    <t>HKUST Corporate Video (Feb 2018 English Version)</t>
  </si>
  <si>
    <t>HKUST Corporate Video (Feb 2018 Traditional Chinese Version)</t>
  </si>
  <si>
    <t>HKUST Corporate Video (Feb 2018 Simplified Chinese Version)</t>
  </si>
  <si>
    <t>HKUST Congregation 2017 - Commencement Speech by Prof Emmanuelle CHARPENTIER</t>
  </si>
  <si>
    <t>HKUST Congregation 2017
- Commencement Speech by Prof Emmanuelle CHARPENTIER</t>
  </si>
  <si>
    <t>['HKUST', 'Congregation', 'Commencement Speech', 'Prof Emmanuelle CHARPENTIER', '2017']</t>
  </si>
  <si>
    <t>HKUST Corporate Video (Nov 2017 English Version)</t>
  </si>
  <si>
    <t>HKUST Corporate Video (Nov 2017 Traditional Chinese Version)</t>
  </si>
  <si>
    <t>HKUST Corporate Video (Nov 2017 Simplified Chinese Version)</t>
  </si>
  <si>
    <t>Words of wisdom from President Tony Chan at the 25th Congregation 2017:</t>
  </si>
  <si>
    <t>Words of wisdom from President Tony Chan at the 25th Congregation 2017:
"Be a leader, not just a follower; take some risks, set long term goals, constantly broaden your horizon, and aim to leave your own mark in this world."</t>
  </si>
  <si>
    <t>Prof Joseph Hun-wei Lee, Elman Family Professor of Engineering and Public Policy</t>
  </si>
  <si>
    <t>Professor Joseph Hun-wei Lee
Chair Professor, Department of Civil and Environmental Engineering
Hydro-environmental engineering research in a city as surrounded and impacted by water as Hong Kong (including a vital harbor and over 700 kilometers of coastline) is a resource as important as the element itself. Thus, it is extremely fortunate that over 35 years ago, Prof Joseph Hun-wei Lee chose to return from the United States to add his expertise to the community in this way.
http://np.ust.hk/en/top_minds_details.php?id=39</t>
  </si>
  <si>
    <t>Prof Tianshou Zhao, Cheong Ying Chan Professor of Engineering and Environment</t>
  </si>
  <si>
    <t>Professor Tianshou Zhao
Chair Professor, Department of Mechanical and Aerospace Engineering/ Director, HKUST Energy Institute
It is all a question of energy for Prof Tianshou Zhao. Not his own, though he needs plenty given his dedication to his work, but the kind to power our 21st-century lives cleanly and sustainably. What type of energy technologies can be found that are truly practical alternatives to current fossil fuels and their environmental impact? And how can they be reliably generated, stored and supplied?
http://np.ust.hk/en/top_minds_details.php?id=36</t>
  </si>
  <si>
    <t>Prof Jaideep Sengupta, Synergis-Geoffrey YEH Professor of Business</t>
  </si>
  <si>
    <t>Prof Vic Law, Dr Tai-chin Lo Associate Professor of Science</t>
  </si>
  <si>
    <t>Professor Vic Law
Associate Professor, Development of Physics
Give theoretical condensed matter physicist Prof Vic Law a bed to lie on or a room to think in and that is all he requires to explore the world and how it works. Indeed, there is not even a personal computer in his campus office. Just a whiteboard covered in calculations.
http://np.ust.hk/en/top_minds_details.php?id=43</t>
  </si>
  <si>
    <t>Prof Mingyi Hung, Fung Term Professor of Accounting</t>
  </si>
  <si>
    <t>Professor Mingyi Hung
Chair Professor, Department of Accounting
Since the first catalytic days of her PhD at MIT, Prof Mingyi Hung has been fascinated by the effect of institutions on financial reporting and capital market development in global markets. This passion has led to her impressive body of research on the information and monitoring roles of accounting in international capital markets and how country-specific institutional factors interact with accounting information.
http://np.ust.hk/en/top_minds_details.php?id=40</t>
  </si>
  <si>
    <t>Prof Tom Cheung, S H Ho Professor of Life Science</t>
  </si>
  <si>
    <t>Prof Mohamed Ghidaoui, Chinese Estate Professor of Engineering</t>
  </si>
  <si>
    <t>Professor Mohamed Ghidaoui
Chair Professor, Department of Civil and Environmental Engineering
Water is our most vital resource. Yet one we waste in huge amounts via inefficiencies, deficiencies and aging problems within the hidden and inaccessible maze of pipelines buried beneath towns and cities (nearly 8,000 kilometers in Hong Kong and 1.5 million kilometers in the US). Estimates put such worldwide losses at 30%-40%, enough to serve 160 cities the size of Hong Kong, notes civil engineer and fluid mechanics global expert Prof Mohamed Ghidaoui.
http://np.ust.hk/en/top_minds_details.php?id=37</t>
  </si>
  <si>
    <t>Prof James Thong, Michael Jebsen Professor of Business</t>
  </si>
  <si>
    <t>Prof Andrew Cohen, Lam Woo Foundation Professor</t>
  </si>
  <si>
    <t>Prof George Smoot, IAS TT &amp; WF Chao Foundation Professor</t>
  </si>
  <si>
    <t>Professor George Smoot
Professor of the Graduate School, University of California at Berkeley/ Chair Professor, Department of Physics
The universe of observational astrophysics and cosmology may seem remote from every day life and people. When you are a Nobel Laureate as well, the peaks of ivory tower eminence may beckon rather more than the down-to-earth crowd.
http://np.ust.hk/en/top_minds_details.php?id=11</t>
  </si>
  <si>
    <t>Prof Charles Ng, CLP Holdings Professor of Sustainability</t>
  </si>
  <si>
    <t>Professor Charles Ng
Chair Professor, Department of Civil and Environmental Engineering/ Associate Vice-President for Research and Graduate Studies/ President, International Society for Soil Mechanics and Geotechnical Engineering
Sustainability is the critical challenge we must all work together to meet in the near term if we are even to think about having a long term. Over the past two decades, geotechnical engineering expert Prof Charles Ng has made significant contributions to this essential task.
http://np.ust.hk/en/top_minds_details.php?id=45</t>
  </si>
  <si>
    <t>Prof Bright Sheng, IAS Helmut and Anna Pao Sohmen Professor-at-Large</t>
  </si>
  <si>
    <t>Professor Bright Sheng
Leonard Bernstein Distinguished University Professor of Composition, University of Michigan
Learning never stops for students or their teachers, according to Prof Bright Sheng, worldrenowned composer, conductor and pianist. Nothing is ever set in stone, he has noted. There is always a novel interpretation, an untried insight to add, a fresh synergy to explore.
http://np.ust.hk/en/top_minds_details.php?id=27</t>
  </si>
  <si>
    <t>Prof Rehav Rubin, Elman Family Professor of Jewish and Israeli Studies</t>
  </si>
  <si>
    <t>Prof Xuhui Huang, Padma Harilela Professor of Science</t>
  </si>
  <si>
    <t>Prof Peiyuan Qian, David von Hansemann Professor of Science</t>
  </si>
  <si>
    <t>Professor Peiyuan Qian
Chair Professor, Division of Life Science
The tiny invertebrates of the ocean are the source of immense wonder to Prof Peiyuan Qian. The larval biologist and marine ecology expert has spent his academic career studying the workings and impact of such organisms, ranging from shells and coral (marine benthos) to barnacles and algae (a cause of anti-fouling on ships). It has been 30 years well spent and of significant value in the drive for sustainability and understanding of the impact of climate change, with more than 400 research papers published and many patents based on his discoveries.
http://np.ust.hk/en/top_minds_details.php?id=35</t>
  </si>
  <si>
    <t>HKUST Information Day 2017</t>
  </si>
  <si>
    <t>Creative Learning @ HKUST</t>
  </si>
  <si>
    <t>HKUST Students' Karate Club</t>
  </si>
  <si>
    <t>First Day Party@HKUST 2017</t>
  </si>
  <si>
    <t>1 Sep 2017 | 1:00 pm | The Atrium
Get to know our community and the 1-HKUST spirit through music and songs.
Join us in the First Day Party hosted by the Students' Union. Celebrate your first year at HKUST with fellow students and talents of Student Societies at the Atrium.
It will be a wonderful way to kick start the exciting and fulfilling journey of your university life.
Light refreshments will be served.</t>
  </si>
  <si>
    <t>HKUST Corporate Video (May 2017 Simplified Chinese Version)</t>
  </si>
  <si>
    <t>HKUST Corporate Video (May 2017 Traditional Chinese Version)</t>
  </si>
  <si>
    <t>HKUST Corporate Video (May 2017 English Version)</t>
  </si>
  <si>
    <t>The memorable moments of our 25th Anniversary</t>
  </si>
  <si>
    <t>Prof Hiroshi Amano - HKUST 25th Anniversary Greetings Video</t>
  </si>
  <si>
    <t>Fall 2016 Student Housing and Residential Life</t>
  </si>
  <si>
    <t>HKUST Corporate Video (Traditional Chinese Version - 2017)</t>
  </si>
  <si>
    <t>HKUST Corporate Video (Simplified Chinese Version - 2017)</t>
  </si>
  <si>
    <t>HKUST 25th Anniversary - Prof Wang Jian</t>
  </si>
  <si>
    <t>Prof Wang Jian - HKUST 25th Anniversary Greetings Video</t>
  </si>
  <si>
    <t>Prof Edvard Moser - HKUST 25th Anniversary Greetings Video</t>
  </si>
  <si>
    <t>HKUST 25th Anniversary - Harry Shum</t>
  </si>
  <si>
    <t>HKUST Corporate Video (English Version - 2017)</t>
  </si>
  <si>
    <t>Have a good start of a year!</t>
  </si>
  <si>
    <t>An hour in the morning is worth two in the evening, begin your 2017 with the spectacular sunrise. Happy New Year!
Photographer credit: Ji Cheng</t>
  </si>
  <si>
    <t>Dr Harry Shum - HKUST 25th Anniversary Greetings Video</t>
  </si>
  <si>
    <t>HKUST 25th Anniversary - Prof Ingrid Daubechies</t>
  </si>
  <si>
    <t>HKUST 25th Anniversary - Prof Edvard Moser</t>
  </si>
  <si>
    <t>Prof Ingrid Daubechies - HKUST 25th Anniversary Greetings Video</t>
  </si>
  <si>
    <t>Prof Elizabeth J Perry - HKUST 25th Anniversary Greetings Video</t>
  </si>
  <si>
    <t>Prof Robert S Langer - HKUST 25th Anniversary Greetings Video</t>
  </si>
  <si>
    <t>George Smoot - HKUST 25th Anniversary Greetings Video</t>
  </si>
  <si>
    <t>HKUST Congregation 2016 - Commencement Speech by Dr Gerald L CHAN</t>
  </si>
  <si>
    <t>HKUST Congregation 2016
- Commencement Speech by Dr Gerald L CHAN</t>
  </si>
  <si>
    <t>['HKUST', 'Congregation', 'Commencement Speech', 'Dr Gerald Chan']</t>
  </si>
  <si>
    <t>HKUST 25th Anniversary - Mr Liang Xinjun</t>
  </si>
  <si>
    <t>Mr Liang Xinjun - HKUST 25th Anniversary Greetings Video</t>
  </si>
  <si>
    <t>Mr Liang Xinjun
Vice Chairman, CEO and Co-founder of Fosun Group</t>
  </si>
  <si>
    <t>HKUST 25th Anniversary Celebration Banquet</t>
  </si>
  <si>
    <t>HKUST 25th Anniversary - Mr Jay Nibbe</t>
  </si>
  <si>
    <t>Mr Jay Nibbe - HKUST 25th Anniversary Greetings Video</t>
  </si>
  <si>
    <t>My First Day @ HKUST 2016</t>
  </si>
  <si>
    <t>HKUST Corporate Video (Simplified Chinese Version - 2016)</t>
  </si>
  <si>
    <t>HKUST Corporate Video (Traditional Chinese Version - 2016)</t>
  </si>
  <si>
    <t>HKUST Corporate Video (English Version - 2016)</t>
  </si>
  <si>
    <t>The 57th International Mathematical Olympiad</t>
  </si>
  <si>
    <t>HKUST 25 projects - Underwater Robots for All</t>
  </si>
  <si>
    <t>HKUST 25th Anniversary - Prof Randy Schekman</t>
  </si>
  <si>
    <t>HKUST 25th Anniversary - Building the University (English)</t>
  </si>
  <si>
    <t>Dr the Hon. Sir S.Y. Chung - HKUST 25th Anniversary Greetings Video</t>
  </si>
  <si>
    <t>HKUST 25th Anniversary Banquet Dinner Opening Video</t>
  </si>
  <si>
    <t>Innovating Today Imagining Tomorrow</t>
  </si>
  <si>
    <t>HKUST 25 projects - Sustainability Innovation Centre</t>
  </si>
  <si>
    <t>The Sustainability Innovation Center will transform the campus into a living laboratory for experiential learning, showcasing new ideas and principles to creatively solving pressing environmental problems.
https://hkust25projects.ust.hk/en/projects/detail/sustainability_innovation_center</t>
  </si>
  <si>
    <t>HKUST 25 projects - Safer Food, Better Health</t>
  </si>
  <si>
    <t>An ultra-sensitive molecular fluorescence technology will be used to allow the general public to be their own guardian angels and carry out food testing for themselves.
https://hkust25projects.ust.hk/en/projects/detail/safer_food_better_health</t>
  </si>
  <si>
    <t>HKUST 25 projects - Serendipity Spot</t>
  </si>
  <si>
    <t>It will be the place where second-hand items can be stored, displayed and exchanged.  We cut back on waste while making life easier for students on a tight budget.
https://hkust25projects.ust.hk/en/projects/detail/serendipity_spot</t>
  </si>
  <si>
    <t>HKUST 25 projects - Smart PM2.5 Sharing Our Air</t>
  </si>
  <si>
    <t>This project is based on algorithms that estimate PM2.5 levels and members of the public can use an app to take and upload photos that will build a bigger picture of pollution levels.
https://hkust25projects.ust.hk/en/projects/detail/smart_pm2.5_sharing_our_air</t>
  </si>
  <si>
    <t>HKUST 25 projects - Non invasive Alternative for Eye Injections</t>
  </si>
  <si>
    <t>The team uses low-energy ultrasound to deliver drugs into the eye to treat a range of retinal diseases, thus negating the need for injections, saving patients from pain and anxiety.
https://hkust25projects.ust.hk/en/projects/detail/non-invasive_alternative_for_eye_injections</t>
  </si>
  <si>
    <t>HKUST 25 projects - Scent of Success</t>
  </si>
  <si>
    <t>Agarwood oil is rare and expensive, but by using chemical analysis technique we can develop agarwood oil that is not only affordable, but also green. 
https://hkust25projects.ust.hk/en/projects/detail/scent_of_success</t>
  </si>
  <si>
    <t>HKUST 25 projects - Pulse of HKUST</t>
  </si>
  <si>
    <t>HKUST 25 projects - Nutritionlaize HKUST</t>
  </si>
  <si>
    <t>The team wants to develop a website that provides a comprehensive guide to all the food available on campus and includes nutritional information.
https://hkust25projects.ust.hk/en/projects/detail/nutritionalize_hkust</t>
  </si>
  <si>
    <t>HKUST 25 projects - Mapping the World with Drones</t>
  </si>
  <si>
    <t>This project leverages automatic 3D reconstruction in surveying and mapping applications, along with the ability of cloud computing to handle huge amounts of imagery data to do just that. 
https://hkust25projects.ust.hk/en/projects/detail/mapping_the_world_with_drones</t>
  </si>
  <si>
    <t>HKUST 25 projects - Harnessing the Power of the Wind</t>
  </si>
  <si>
    <t>Wind power is a major renewable energy source. This research project will develop a generator that reduces friction and enhances stability, enabling the manufacture of larger wind power generators.
https://hkust25projects.ust.hk/en/projects/detail/harnessing_the_power_of_the_wind</t>
  </si>
  <si>
    <t>HKUST 25 projects - Empathetic Robots</t>
  </si>
  <si>
    <t>HKUST 25 projects - Learning Through Creative Arts</t>
  </si>
  <si>
    <t>HKUST 25 projects - Happiness Project</t>
  </si>
  <si>
    <t>HKUST 25 projects - Affordable &amp; Green Organic Solar Cells</t>
  </si>
  <si>
    <t>This project aims to develop a new generation of organic solar cell technology.  They are produced with low-cost printing methods and they can also be applied to windows and rooftops for a greener city.
https://hkust25projects.ust.hk/en/projects/detail/affordable_and_green_organic_solar_cells</t>
  </si>
  <si>
    <t>HKUST 25 projects - Artistic Innovations: a collaborative art project</t>
  </si>
  <si>
    <t>HKUST 25 projects - Affordable Technology to Improve Healthcare</t>
  </si>
  <si>
    <t>The team wants to improve healthcare in developing countries by establishing an Innovative Center for Affordable Technology to facilitate collaboration between HKUST and a Cambodian NGO. 
https://hkust25projects.ust.hk/en/projects/detail/affordable_technology_to_improve_healthcare</t>
  </si>
  <si>
    <t>HKUST 25 projects - Low-Cost, High-Impact Bamboo Bridges</t>
  </si>
  <si>
    <t>The lives of poor communities can be greatly improved if we can help enhance accessibility. HKUST has developed prototypes for strong and affordable bamboo bridges, with a DIY manual
https://hkust25projects.ust.hk/en/projects/detail/low_cost_high_impact_bamboo_bridges</t>
  </si>
  <si>
    <t>The HKUST Mobile App links UST with its students and is geared towards making campus life more rewarding.  This initiative not only helps bring the University and students closer together, but also highlights our strengths in technology.
https://hkust25projects.ust.hk/en/projects/detail/hkust_mobile_app</t>
  </si>
  <si>
    <t>Dr Randy Schekman - HKUST 25th Anniversary Greetings Video</t>
  </si>
  <si>
    <t>HKUST 25th ANNIVERSARY - Prof Dr Emmanuelle Charpentier</t>
  </si>
  <si>
    <t>The transformative CRISPR-Cas9 technology in genome engineering: lessons learned from bacteria</t>
  </si>
  <si>
    <t>HKUST 25th ANNIVERSARY - Prof William E Moerner Speaker</t>
  </si>
  <si>
    <t>HKUST 25TH ANNIVERSARY DISTINGUISHED SPEAKERS SERIES
The Story of Single Molecules: How Precise High-resolution Spectroscopy at Low Temperatures Led to Super-resolution Microscopy and Beyond</t>
  </si>
  <si>
    <t>HKUST 25th ANNIVERSARY - Asian Leadership Series</t>
  </si>
  <si>
    <t>Asian Leadership Series - Mr. Kenneth W. Hitchner, President of Goldman Sachs in Asia Pacific Ex-Japan</t>
  </si>
  <si>
    <t>HKUST 25th ANNIVERSARY - FSDC Practitioner Speakers Series - Careers in Financial Services</t>
  </si>
  <si>
    <t>HKUST 25th ANNIVERSARY - New Weapon Unveiled in Fight Against Infection</t>
  </si>
  <si>
    <t>HKUST 25th ANNIVERSARY - Aerosol Composition</t>
  </si>
  <si>
    <t>HKUST 25th ANNIVERSARY - New Materials for Solar Cells with Record-Breaking Efficiency</t>
  </si>
  <si>
    <t>HKUST 25th ANNIVERSARY - Photosynthesis Puzzle Solved - Insights for Future Solar Devices</t>
  </si>
  <si>
    <t>HKUST 25th ANNIVERSARY - Eco-Friendly Sewage Treatment</t>
  </si>
  <si>
    <t>HKUST 25th ANNIVERSARY - SANI Demonstration Plant</t>
  </si>
  <si>
    <t>HKUST 25th ANNIVERSARY - Mini Pulsed Electric Field Device for Water Disinfection</t>
  </si>
  <si>
    <t>HKUST 25th ANNIVERSARY - Soil, Sediment and Water Pollution Control</t>
  </si>
  <si>
    <t>HKUST 25th ANNIVERSARY - High Performance Alcohol Fuel Cell</t>
  </si>
  <si>
    <t>HKUST 25th ANNIVERSARY</t>
  </si>
  <si>
    <t>Structure of Motor Protein Necessary for Normal Eyesight and Hearing Determined</t>
  </si>
  <si>
    <t>HKUST 25th ANNIVERSARY - Bacterial Imaging</t>
  </si>
  <si>
    <t>HKUST 25th ANNIVERSARY - Fluorescent Visualization of Latent Fingerprint</t>
  </si>
  <si>
    <t>Significant Breakthrough in Superconductivity Using Ultrathin Lead Nanowires for Medical and Biological Applications</t>
  </si>
  <si>
    <t>HKUST 25th ANNIVERSARY - Making Materials More Empty Than Vacuum</t>
  </si>
  <si>
    <t>HKUST 25th ANNIVERSARY - Rendering Objects Invisible</t>
  </si>
  <si>
    <t>HKUST 25th ANNIVERSARY - Bendable Cementitious Materials</t>
  </si>
  <si>
    <t>HKUST 25th ANNIVERSARY - DJI Innovations - Leader in Unmanned Aerial Systems</t>
  </si>
  <si>
    <t>HKUST 25th ANNIVERSARY - Living Heritage of Hong Kong</t>
  </si>
  <si>
    <t>HKUST 25th ANNIVERSARY - Intimacy of Creativity 2012</t>
  </si>
  <si>
    <t>HKUST 25th ANNIVERSARY - Dress Habitat Day</t>
  </si>
  <si>
    <t>HKUST 25th ANNIVERSARY- Distinguished Speakers Series - Debt and Capitalism</t>
  </si>
  <si>
    <t>HKUST 25th ANNIVERSARY - Prof Niall Ferguson</t>
  </si>
  <si>
    <t>HKUST 25TH ANNIVERSARY DISTINGUISHED SPEAKERS SERIES
Six Lessons from History for the Next President of the United States</t>
  </si>
  <si>
    <t>HKUST 25th ANNIVERSARY - Winning Team of National Aircraft Design Competition</t>
  </si>
  <si>
    <t>HKUST 25th ANNIVERSARY - Leadership and Public Policy Executive Education</t>
  </si>
  <si>
    <t>HKUST 25th ANNIVERSARY - Capacity Building in MOOCs and Blended Learning</t>
  </si>
  <si>
    <t>HKUST 25th ANNIVERSARY - Student Innovation for Global Health Technology</t>
  </si>
  <si>
    <t>HKUST 25th ANNIVERSARY - IELM Design Thinking course</t>
  </si>
  <si>
    <t>HKUST 25th ANNIVERSARY - Building Capacity, Developing Talents - Robotics team</t>
  </si>
  <si>
    <t>HKUST 25th ANNIVERSARY - Transforming Lives: An Exhibition for HKUST 25th Anniversary</t>
  </si>
  <si>
    <t>Prof William E.  Moerner - HKUST 25th Anniversary Greetings Video</t>
  </si>
  <si>
    <t>HKUST 25th ANNIVERSARY - Let Fly for Violin and Orchestra</t>
  </si>
  <si>
    <t>HKUST 25th ANNIVERSARY - Romeo and Juliet Suite No. 2</t>
  </si>
  <si>
    <t>HKUST Corporate Video (English Version)</t>
  </si>
  <si>
    <t>HKUST Corporate Video (Simplified Chinese Version)</t>
  </si>
  <si>
    <t>HKUST Corporate Video (Traditional Chinese Version)</t>
  </si>
  <si>
    <t>HKUST 25th ANNIVERSARY -  Opening Ceremony for 25A Library Exhibition</t>
  </si>
  <si>
    <t>HKUST 25th Anniversary - FACES VIDEO -  Amy Tam</t>
  </si>
  <si>
    <t>HKUST 25th ANNIVERSARY - Prof Dr Emmanuelle Charpentier 2016</t>
  </si>
  <si>
    <t>Prof Dr Emmanuelle Charpentier - HKUST 25th Anniversary Greetings Video</t>
  </si>
  <si>
    <t>HKUST One Minute Caring [2016-04-08]</t>
  </si>
  <si>
    <t>HKUST One Minute Caring
2016-04-08</t>
  </si>
  <si>
    <t>['HKUST', 'One Minute Caring']</t>
  </si>
  <si>
    <t>HKUST 25th ANNIVERSARY - Looking Back University Early Year</t>
  </si>
  <si>
    <t>HKUST 25th Anniversary - Dr Eric Betzig</t>
  </si>
  <si>
    <t>HKUST 25TH ANNIVERSARY DISTINGUISHED SPEAKERS SERIES
Imaging Life at High Spatiotemporal Resolution</t>
  </si>
  <si>
    <t>Dr Eric Betzig - HKUST 25th Anniversary Greetings Video</t>
  </si>
  <si>
    <t>HKUST 25th Anniversary - Prof Alan J. Heeger</t>
  </si>
  <si>
    <t>HKUST 25TH ANNIVERSARY DISTINGUISHED SPEAKERS SERIES
Creativity, Discovery and Risk - Nobel Prizes Past and Future</t>
  </si>
  <si>
    <t>Prof Alan Heeger - HKUST 25th Anniversary Greetings Video</t>
  </si>
  <si>
    <t>Cheng Yu Tung Building Opening Ceremony</t>
  </si>
  <si>
    <t>HKUST 25th Anniversary - Prof Andrew Yao</t>
  </si>
  <si>
    <t>HKUST 25TH ANNIVERSARY DISTINGUISHED SPEAKERS SERIES
Quantum Computing: A Great Science in the Making</t>
  </si>
  <si>
    <t>Dr Qi Lu - HKUST 25th Anniversary Greetings Video</t>
  </si>
  <si>
    <t>Merry Christmas &amp; Happy New Year!</t>
  </si>
  <si>
    <t>HKUST 25th Anniversary - FACES VIDEO - Prof Woo Chia Wei</t>
  </si>
  <si>
    <t>HKUST 25TH ANNIVERSARY DISTINGUISHED SPEAKERS SERIES
Debt and Capitalism</t>
  </si>
  <si>
    <t>HKUST 25th Anniversary - Prof Zhong Lin Wang</t>
  </si>
  <si>
    <t>HKUST 25TH ANNIVERSARY DISTINGUISHED SPEAKERS SERIES
Nanogenerators for Self-powered Systems and  Piezotronics for Smart Devices</t>
  </si>
  <si>
    <t>HKUST 25th Anniversary - Prof Dan Shechtman</t>
  </si>
  <si>
    <t>HKUST 25TH ANNIVERSARY DISTINGUISHED SPEAKERS SERIES
Technological Entrepreneurship - A Key to World Peace and Prosperity</t>
  </si>
  <si>
    <t>HKUST 25th Anniversary - Innovating Today, Imagining Tomorrow (2012 - 2016)</t>
  </si>
  <si>
    <t>HKUST 25th Anniversary - Our Miracle Continues (2007 - 2011)</t>
  </si>
  <si>
    <t>HKUST 25th Anniversary - HKUST Soars (2002 - 2006)</t>
  </si>
  <si>
    <t>HKUST 25th Anniversary - Flying High (1997 - 2001)</t>
  </si>
  <si>
    <t>HKUST 25th Anniversary - The Nestling Years (1992 - 1996)</t>
  </si>
  <si>
    <t>HKUST 25th Anniversary - Birth of the University (1986 - 1991)</t>
  </si>
  <si>
    <t>HKUST 25th Anniversary -  CAMPUS RUN</t>
  </si>
  <si>
    <t>HKUST 25th Anniversary - Mr Wang Shi</t>
  </si>
  <si>
    <t>HKUST 25TH ANNIVERSARY DISTINGUISHED SPEAKERS SERIES
Choosing Your Own Path</t>
  </si>
  <si>
    <t>Prof Zhong Lin Wang - HKUST 25th Anniversary Greetings Video</t>
  </si>
  <si>
    <t>HKUST 25th Anniversary -  Entrepreneurship in China</t>
  </si>
  <si>
    <t>HKUST 25th Anniversary - Mr Jean-Pascale Tricoire</t>
  </si>
  <si>
    <t>HKUST 25TH ANNIVERSARY DISTINGUISHED SPEAKERS SERIES
The New Energy World</t>
  </si>
  <si>
    <t>HKUST 25th Anniversary - Prof Steven Chu</t>
  </si>
  <si>
    <t>HKUST 25TH ANNIVERSARY DISTINGUISHED SPEAKERS SERIES
Energy, Climate Change and the Transition to a Sustainable World</t>
  </si>
  <si>
    <t>Mr Wang Shi - HKUST 25th Anniversary Greetings Video</t>
  </si>
  <si>
    <t>Mr Jean Pascal Tricoire - HKUST 25th Anniversary Greetings Video</t>
  </si>
  <si>
    <t>Pro Steven Chu  - HKUST 25th Anniversary Greetings Video</t>
  </si>
  <si>
    <t>Prof Dan Shechtman - HKUST 25th Anniversary Greetings Video</t>
  </si>
  <si>
    <t>HKUST 25th Anniversary - Building the University (Simplified Chinese)</t>
  </si>
  <si>
    <t>HKUST 25th Anniversary - Building the University (Traditional Chinese)</t>
  </si>
  <si>
    <t>Souvenir Shop Grand Opening</t>
  </si>
  <si>
    <t>Souvenir Shop Soft Opening</t>
  </si>
  <si>
    <t>HKUST Business School</t>
  </si>
  <si>
    <t>Happy Chinese New Year!</t>
  </si>
  <si>
    <t>Spread the happiness to your family and friends in this festival with our unique 2015 eCard.
We wish you, your family and friends a prosperous Year of Sheep!</t>
  </si>
  <si>
    <t>2014 HKUST Corporate Video (English Short Version)</t>
  </si>
  <si>
    <t>2014 HKUST Corporate Video (Traditional Chinese Short Version)</t>
  </si>
  <si>
    <t>2014 HKUST Corporate Video (Simplified Chinese Short Version)</t>
  </si>
  <si>
    <t>Sir Michael Moritz</t>
  </si>
  <si>
    <t>The Making of Information Center - Before &amp; After</t>
  </si>
  <si>
    <t>The NEW Mr &amp; Mrs Ho Ting Sik Visitors Information Center is officially open.  Featured large LCD multi-touch tables, video walls, hologram and more for your to explore.</t>
  </si>
  <si>
    <t>['HKUST', 'Making-of', 'video', 'hologram', 'information center', 'university', 'hong kong', 'Hong Kong University Of Science And Technology (College/University)', 'multitaction', 'LCD']</t>
  </si>
  <si>
    <t>First Day @HKUST 2014</t>
  </si>
  <si>
    <t>['HKUST', 'Hong Kong University Of Science And Technology (College/University)', 'First day', 'Rock']</t>
  </si>
  <si>
    <t>Sunrise at HKUST</t>
  </si>
  <si>
    <t>Amazing summer sunrise at HKUST!</t>
  </si>
  <si>
    <t>['HKUST', 'Hong Kong University Of Science And Technology (College/University)', 'sunrise', 'timelapse', 'summer']</t>
  </si>
  <si>
    <t>Israel: from the land of milk and honey to Start Up Nation</t>
  </si>
  <si>
    <t>Talk by Sagi KARNI, Consul General of the State of Israel for Hong Kong and Macau - "Israel: from the land of milk and honey to Start Up Nation"
20 February 2014</t>
  </si>
  <si>
    <t>Happy Christmas from HKUST!</t>
  </si>
  <si>
    <t>HKUST Campus Aerial Shot Video</t>
  </si>
  <si>
    <t>Amazing aerial shots of the spectacular HKUST campus by the fly aerial filming technology!  Many thanks to the great work of Prof Zexiang Li and students which is supported by the spin-off company of the Robotics institute of HKUST!</t>
  </si>
  <si>
    <t>Happy Mid-Autumn Festival!</t>
  </si>
  <si>
    <t>A Good Story to Tell - We Tell - Voice and Language Cloud Service for Consumer Products (Part 3)</t>
  </si>
  <si>
    <t>HKUST
A Good Story to Tell
Voice and Language Cloud Service for Consumer Products</t>
  </si>
  <si>
    <t>['HKUST', 'A Good Story to Tell']</t>
  </si>
  <si>
    <t>A Good Story to Tell - We Tell - Voice and Language Cloud Service for Consumer Products (Part 2)</t>
  </si>
  <si>
    <t>A Good Story to Tell - We Tell - Terry and Terrance Tsang</t>
  </si>
  <si>
    <t>HKUST
A Good Story to Tell
Terry and Terrance Tsang</t>
  </si>
  <si>
    <t>A Good Story to Tell - Well Tell - Smart Materials for Better Health and Environment (Part 2)</t>
  </si>
  <si>
    <t>HKUST
A Good Story to Tell
Smart Materials for Better Health and Environment</t>
  </si>
  <si>
    <t>A Good Story to Tell - We Tell - Voice and Language Cloud Service for Consumer Products (Part 1)</t>
  </si>
  <si>
    <t>A Good Story to Tell - We Tell - Prof Kei May Lau (Part 1)</t>
  </si>
  <si>
    <t>HKUST
A Good Story to Tell
Prof Kei May Lau</t>
  </si>
  <si>
    <t>A Good Story to Tell - We Tell - Claudia Sin</t>
  </si>
  <si>
    <t>HKUST
A Good Story to Tell
Claudia Sin</t>
  </si>
  <si>
    <t>A Good Story to Tell - We Tell - Prof Kei May Lau (Part 2)</t>
  </si>
  <si>
    <t>A Good Story to Tell - We Tell - Prof Weijia Wen (Part 2)</t>
  </si>
  <si>
    <t>HKUST
A Good Story to Tell
Prof Weijia Wen</t>
  </si>
  <si>
    <t>A Good Story to Tell - We Tell - Oscar Lee</t>
  </si>
  <si>
    <t>HKUST
A Good Story to Tell
Oscar Lee</t>
  </si>
  <si>
    <t>A Good Story to Tell - We Tell - Prof Weijia Wen (Part 3)</t>
  </si>
  <si>
    <t>A Good Story to Tell - We Tell - Prof Guanghao Chen (Part 3)</t>
  </si>
  <si>
    <t>HKUST
A Good Story to Tell
Prof Guanghao Chen</t>
  </si>
  <si>
    <t>A Good Story to Tell - We Tell - Prof Kei May Lau (Part 3)</t>
  </si>
  <si>
    <t>A Good Story to Tell - We Tell - Prof Guanghao Chen (Part 2)</t>
  </si>
  <si>
    <t>['HKUST', 'Good Story to Tell']</t>
  </si>
  <si>
    <t>A Good Story to Tell - Well Tell - Smart Materials for Better Health and Environment (Part 4)</t>
  </si>
  <si>
    <t>A Good Story to Tell - Well Tell - Smart Materials for Better Health and Environment (Part 5)</t>
  </si>
  <si>
    <t>A Good Story to Tell - Well Tell - Smart Materials for Better Health and Environment (Part 3)</t>
  </si>
  <si>
    <t>A Good Story to Tell - Well Tell - Smart Materials for Better Health and Environment (Part 1)</t>
  </si>
  <si>
    <t>A Good Story to Tell - We Tell - Prof Weijia Wen (Part 1)</t>
  </si>
  <si>
    <t>A Good Story to Tell - We Tell - Prof Guanghao Chen (Part 1)</t>
  </si>
  <si>
    <t>Welcome Day 2013 -  Rock The World Party</t>
  </si>
  <si>
    <t>Let's Rock the World</t>
  </si>
  <si>
    <t>['HKUST', 'president', 'Rock Music (Musical Genre)']</t>
  </si>
  <si>
    <t>Welcome Day 2013 - Rock the World Party Rehearsal</t>
  </si>
  <si>
    <t>Rehearsal of "Rock the World Party". This time is in action, click below to go in! To join the fun, just come on Monday (2nd Sep) to the Atrium and be part of "Rock the World Party".</t>
  </si>
  <si>
    <t>['HKUST', 'president\\', 'Rock Music (Musical Genre)']</t>
  </si>
  <si>
    <t>TED x HKUST</t>
  </si>
  <si>
    <t>['HKUST', 'TED x HKUST', 'TED']</t>
  </si>
  <si>
    <t>The President backs "Say No to Food Waste"</t>
  </si>
  <si>
    <t xml:space="preserve"> </t>
  </si>
  <si>
    <t>['HKUST', 'GREEN', 'FOOD', 'WASTE', 'ENVIRONMENT']</t>
  </si>
  <si>
    <t>HKUST TECH X ART Day</t>
  </si>
  <si>
    <t>HKUST TECH X ART Day is an experience day for secondary school students to learn more about the science of color complexity, images and photography.  Missed the event?  Check out our video.</t>
  </si>
  <si>
    <t>['HKUST', 'photo', 'art', 'technology']</t>
  </si>
  <si>
    <t>Join Us. Join HKUST.</t>
  </si>
  <si>
    <t>Why HKUST?  Listen to HKUST's energetic students sharing their diverse social and academic life.</t>
  </si>
  <si>
    <t>SANI Process - A Novel Sewage Treatment Technology</t>
  </si>
  <si>
    <t>HKUST kicks off Hong Kong's novel sewage treatment technology trial run, which has secured the biggest joint sponsorship including The Innovation &amp; Technology Fund. It has already won five international awards.  Explore more with the video.</t>
  </si>
  <si>
    <t>['HKUST', 'sewage', 'SANI']</t>
  </si>
  <si>
    <t>Sceince &amp; Technology</t>
  </si>
  <si>
    <t>HKUST Campus Scenery</t>
  </si>
  <si>
    <t>Have you ever been to HKUST? We have pulled together some of the top popular attractions at HKUST campus, ranging from the beautiful seaside to the unique architectures. Explore more with the video.</t>
  </si>
  <si>
    <t>['HKUST', 'campus', 'scenery']</t>
  </si>
  <si>
    <t>HKUST Achieved Record-breaking Results in the History of Robocon Hong Kong Contest</t>
  </si>
  <si>
    <t>For details, please visit http://www.seng.ust.hk/web/eng/news_detail.php?id=697</t>
  </si>
  <si>
    <t>['Robocon', 'HKUST']</t>
  </si>
  <si>
    <t>HKUST 20th Anniversary Video</t>
  </si>
  <si>
    <t>World's Largest Solar-Powered Catamaran PlanetSolar Visits HKUST</t>
  </si>
  <si>
    <t>['HKUST', 'PlanetSolar']</t>
  </si>
  <si>
    <t>HKUST Dragon Boat Team Sweeps Championships in Public Competitions</t>
  </si>
  <si>
    <t>['HKUST', 'Dragon Boat Club']</t>
  </si>
  <si>
    <t>HKUST Students Win Design Elegance Award in international ROV Competition at NASA</t>
  </si>
  <si>
    <t>HKUST 20th Anniversary</t>
  </si>
  <si>
    <t>Our Miracle Continues</t>
  </si>
  <si>
    <t>Prof Andrew Hamilton, Part 1</t>
  </si>
  <si>
    <t>University of Oxford &amp; The Hong Kong University of Science and Technology Presidents Forum_x000D_
May 6 2010_x000D_
Prof Andrew Hamilton, Part 1</t>
  </si>
  <si>
    <t>['03', 'Oxford', 'Forum', 'Oxford', 'S01']</t>
  </si>
  <si>
    <t>Q&amp;A Session, Part 1</t>
  </si>
  <si>
    <t>University of Oxford &amp; The Hong Kong University of Science and Technology Presidents Forum_x000D_
May 6 2010_x000D_
Q&amp;A Session, Part 1</t>
  </si>
  <si>
    <t>['University', 'of', 'Oxford', 'The', 'Hong', 'Kong', 'Science', 'and', 'Technology', 'Presidents', 'Forum']</t>
  </si>
  <si>
    <t>Prof Tony Chan, Part 2</t>
  </si>
  <si>
    <t>University of Oxford &amp; The Hong Kong University of Science and Technology Presidents Forum_x000D_
May 6 2010_x000D_
Prof Tony Chan, Part 2</t>
  </si>
  <si>
    <t>Q&amp;A Session, Part 2</t>
  </si>
  <si>
    <t>University of Oxford &amp; The Hong Kong University of Science and Technology Presidents Forum_x000D_
May 6 2010_x000D_
Q&amp;A Session, Part 2</t>
  </si>
  <si>
    <t>Prof Andrew Hamilton, Part 2</t>
  </si>
  <si>
    <t>University of Oxford &amp; The Hong Kong University of Science and Technology Presidents Forum_x000D_
May 6 2010_x000D_
Prof Andrew Hamilton, Part 2</t>
  </si>
  <si>
    <t>Introduction</t>
  </si>
  <si>
    <t>University of Oxford &amp; The Hong Kong University of Science and Technology Presidents Forum_x000D_
May 6 2010_x000D_
Introduction</t>
  </si>
  <si>
    <t>Prof Tony Chan, Part 1</t>
  </si>
  <si>
    <t>University of Oxford &amp; The Hong Kong University of Science and Technology Presidents Forum_x000D_
May 6 2010_x000D_
Prof Tony Chan, Part 1</t>
  </si>
  <si>
    <t>Opening</t>
  </si>
  <si>
    <t>University of Oxford &amp; The Hong Kong University of Science and Technology Presidents Forum_x000D_
May 6 2010_x000D_
Opening</t>
  </si>
  <si>
    <t>HKUST Corporate Video (Putonghua) 2010</t>
  </si>
  <si>
    <t>['HKUST', 'Corporate', 'Video', '(Putonghua)', '2010']</t>
  </si>
  <si>
    <t>HKUST Corporate Video (Cantonese) 2010</t>
  </si>
  <si>
    <t>['HKUST', 'Corporate', 'Video', '(Cantonese)', '2010']</t>
  </si>
  <si>
    <t>HKUST Corporate Video (English) 2010</t>
  </si>
  <si>
    <t>['HKUST', 'Corporate', 'Video', '(English)', '2010']</t>
  </si>
  <si>
    <t>People &amp; Blogs</t>
  </si>
  <si>
    <t>The University of Hong Kong</t>
  </si>
  <si>
    <t>Highlights of the Honorary University Fellowships 2022</t>
  </si>
  <si>
    <t>['HKU', 'University of Hong Kong']</t>
  </si>
  <si>
    <t>Highlights of the Inauguration Ceremony for New Students 2022-23</t>
  </si>
  <si>
    <t>HKU Taster: Week of Taster 2022</t>
  </si>
  <si>
    <t>Highlights of the HKU 206th Congregation</t>
  </si>
  <si>
    <t>Highlights from the 111th Anniversary Celebration-cum-Tech Landmark groundbreaking ceremony</t>
  </si>
  <si>
    <t>University Distinguished Teaching Award 2021</t>
  </si>
  <si>
    <t>Mr Mathew Robert PRYOR, Department of Architecture
(HKU Excellence Awards 2021 is presented in the following year of 2022)
#Architecture #Teaching #UDTA #MathewPryor #XAPC</t>
  </si>
  <si>
    <t>Teaching Innovation Award 2021</t>
  </si>
  <si>
    <t>Individual
Ms Tanya Jacqueline KEMPSTON, Faculty of Education
Dr NG Ming Yen, Department of Diagnostic Radiology
Team
Mr Ashley Scott KELLY (Leader) and Dr LU Xiaoxuan, Faculty of Architecture
Dr George Lim TIPOE (Leader), Li Ka Shing Faculty of Medicine
Professor Amy CHOW Yin Man, Faculty of Social Sciences
Dr Fraide Jr Agustin GANOTICE, Dr May LAM Pui San and Dr Janet WONG Yuen Ha, Li Ka Shing Faculty of Medicine
(HKU Excellence Awards 2021 is presented in the following year of 2022)
#Innovation #TIA #Teaching #XAPC</t>
  </si>
  <si>
    <t>Outstanding Researcher Award 2021</t>
  </si>
  <si>
    <t>Professor CHEN Zhiwei, Department of Microbiology 
Professor George LIN Chu Sheng, Department of Geography 
Professor Anderson SHUM Ho Cheung, Department of Mechanical Engineering
(HKU Excellence Awards 2021 is presented in the following year of 2022)
#ORA #Research #XAPC</t>
  </si>
  <si>
    <t>Knowledge Exchange Excellence Award 2021</t>
  </si>
  <si>
    <t>Dr Duangporn DUANGTHIP (Leader), Professor CHU Chun Hung, Professor Edward LO Chin Man and Professor Cynthia YIU Kar Yung, Faculty of Dentistry "Promoting Child Oral Health and Managing Tooth Decay in Preschool Children"
(HKU Excellence Awards 2021 is presented in the following year of 2022)
#KEEA #KnowledgeExchange #XAPC</t>
  </si>
  <si>
    <t>Distinguished Research Achievement Award 2021</t>
  </si>
  <si>
    <t>Professor ZHAO Guochun, Department of Earth Sciences
(HKU Excellence Awards 2021 is presented in the following year of 2022)
 #DRAA #Research #Science #XAPC #ZhaoGuochun</t>
  </si>
  <si>
    <t>I am an HKUer, at the best I am!</t>
  </si>
  <si>
    <t>Join HKU and become one of us!
Follow us for more updated info:
Website: https://admissions.hku.hk/
Facebook: https://www.facebook.com/hkuintl
Instagram: https://www.instagram.com/hkuniversity/
Weibo: https://weibo.com/hongkongu</t>
  </si>
  <si>
    <t>More info on Bachelor of Science in Bioinformatics:
https://bit.ly/BSC_BIOINFO
Follow us for more updated programmes info:
Website: https://admissions.hku.hk/
Facebook: https://www.facebook.com/hkuintl
Instagram: https://www.instagram.com/hkuniversity/
Weibo: https://weibo.com/hongkongu</t>
  </si>
  <si>
    <t>More info on Bachelor of Science in Marketing Analytics and Technology:
https://bit.ly/BSC_MAT
Follow us for more updated programmes info:
Website: https://admissions.hku.hk/
Facebook: https://www.facebook.com/hkuintl
Instagram: https://www.instagram.com/hkuniversity/
Weibo: https://weibo.com/hongkongu</t>
  </si>
  <si>
    <t>More info on Bachelor of Engineering in Data Science and Engineering:
https://bit.ly/BENG_DSE
Follow us for more updated programmes info:
Website: https://admissions.hku.hk/
Facebook: https://www.facebook.com/hkuintl
Instagram: https://www.instagram.com/hkuniversity/
Weibo: https://weibo.com/hongkongu</t>
  </si>
  <si>
    <t>More info on Bachelor of Arts in Humanities and Digital Technologies:
https://bit.ly/BA_HDT
Follow us for more updated programmes info:
Website: https://admissions.hku.hk/
Facebook: https://www.facebook.com/hkuintl
Instagram: https://www.instagram.com/hkuniversity/
Weibo: https://weibo.com/hongkongu</t>
  </si>
  <si>
    <t>['HKDSE', 'Chinese History', 'tips']</t>
  </si>
  <si>
    <t>['HKDSE', 'Chemistry', 'tips']</t>
  </si>
  <si>
    <t>['HKDSE', 'Biology', 'tips']</t>
  </si>
  <si>
    <t>['HKDSE', 'Geography', 'tips']</t>
  </si>
  <si>
    <t>['HKDSE', 'Economics', 'BAFS', 'tips']</t>
  </si>
  <si>
    <t>HKU Academy for the Talented</t>
  </si>
  <si>
    <t>HKU 111 From Past to Future - HKU Foundation Day</t>
  </si>
  <si>
    <t>HKU Legal Academy for the Talented</t>
  </si>
  <si>
    <t>You can also watch it on http://111hku.live or https://uv.hku.hk/live.</t>
  </si>
  <si>
    <t>HKU Business School Corporate Video</t>
  </si>
  <si>
    <t>Our Moral Duty to Serve</t>
  </si>
  <si>
    <t>Happy 2022 Chinese New Year from HKU</t>
  </si>
  <si>
    <t>HKU Taster @ Christmas 2021</t>
  </si>
  <si>
    <t>HKU-Sciences Po Dual Degree: Student and Alumni Sharing</t>
  </si>
  <si>
    <t>HKU Taster @ Christmas 2018</t>
  </si>
  <si>
    <t>Watch the video to get a glimpse of the fun-filled HKU Taster @ Christmas 2018!</t>
  </si>
  <si>
    <t>Enroll Now: Academy Summer Programmes</t>
  </si>
  <si>
    <t>Join the summer programmes organised by the Academy for the Talented!</t>
  </si>
  <si>
    <t>Highly Cited Researchers 2021</t>
  </si>
  <si>
    <t>Admissions Talk for DAS Students</t>
  </si>
  <si>
    <t>HKU Taster Project Video 2022</t>
  </si>
  <si>
    <t>HKU New Big Data Oriented Programmes (English)</t>
  </si>
  <si>
    <t>HKU COVID-19 Vaccination Myth-breaking Webinar Q&amp;A (Cantonese)</t>
  </si>
  <si>
    <t>HKU COVID-19 Vaccination Myth-breaking Webinar Q&amp;A (English)</t>
  </si>
  <si>
    <t>00:00 Intro
01:04 How safe are the vaccines
26:46 How effective are the vaccines
39:37 Other aspects of vaccination
50:53 Q &amp; A session</t>
  </si>
  <si>
    <t>Snap Induction - HKU Common Core</t>
  </si>
  <si>
    <t>Infrastructure Imagination Exhibition Highlights</t>
  </si>
  <si>
    <t>Infrastructure Imagination showcases major infrastructure projects completed in Hong Kong between 1972 to 1988. Photographs featured in the exhibition are the work of Heather Coulson, a leading construction photographer at the time. This exhibition, led by the University of Hong Kong in collaboration with CLP, MTR and other supporters, offers an excellent opportunity to reflect on what has been known as the golden age of construction in Hong Kong and to envision ways for building a sustainable future in the 21st century.</t>
  </si>
  <si>
    <t>['HKU', 'University of Hong Kong', 'infrastructure', 'Hong Kong', 'Exhibition', 'Central', 'MTR', 'Engineering', 'Architecture', 'CLP', 'Photography']</t>
  </si>
  <si>
    <t>Parents' Talk (Non-JUPAS Edition) on Study Paths for International Qualifications</t>
  </si>
  <si>
    <t>HKU - Meeting of Minds</t>
  </si>
  <si>
    <t>Bachelor of Business Administration in International Business Global Management Admissions Talk 2021</t>
  </si>
  <si>
    <t>['HKU', 'University of Hong Kong', 'HKUTalks', 'BusinessAdminstration', 'InternationalBusiness']</t>
  </si>
  <si>
    <t>HKU Programme Deep-dive: Experience Innovation and Beyond at HKU Engineering</t>
  </si>
  <si>
    <t>This session will feature Piyush Jha, a recent HKU graduate, who along with his team won the Microsoft Imagine Cup 2020! Piyush will be chatting with his former supervisor, Dr. D. Schnieders about the many exciting opportunities at the faculty of engineering at HKU.</t>
  </si>
  <si>
    <t>HKU Programme Deep-dive: Doing Research at HKU Science</t>
  </si>
  <si>
    <t>Research plays an essential role in leading the future development of the world. At HKU, you will be nurtured by the world's "Top 1% Scholars" who are renowned Science Masters. Join this Deep Dive Dialogue with our Science academic and student ambassadors, to learn about how HKU will support you to chase your dream in Science.</t>
  </si>
  <si>
    <t>HKU Programme Deep-dive: Career prospect at HKU Business School</t>
  </si>
  <si>
    <t>HKU Business school equips students with economic and business knowledge and enable them to develop a bright career prospect. It also provides students with practical training for becoming future leaders in different industries all around the world. In this upcoming dialogue, our lecturer Mr. Jeroen van den Berg, from HKU Business School (Management and Strategy) and Assistant Director of Asia Case Research Centre(ACRC) at HKU, will talk with one top IBGM (International Business and Global Management) student ambassador in his year 3, about the career prospects and exclusive opportunities for Business students at HKU.</t>
  </si>
  <si>
    <t>Teachers as Leaders: Teaching During Periods of Uncertainty (Part II)</t>
  </si>
  <si>
    <t>Speaker: Mr. David S. Lee, Principal Lecturer, HKU Business School
Abstract
From political unrest to pandemic, recent events have demonstrated that universities are not immune from the impact of uncertainty. With such uncertainty likely to be the new norm globally, it is important for educators to consider how to enhance their teaching in such an environment. One way to navigate such uncertainty and teach more effectively is for teachers to improve as leaders through developing leadership agility. Leadership agility can lead to more effective teaching, greater learner engagement in both online and traditional teaching environments, and transformational learning outcomes for both students and teachers during their respective learning journeys.
About the Speaker
David teaches broadly in the areas of ethics, fintech, law, and corporate governance for the undergraduate, MBA, and other taught postgraduate degree programs, including the IMBA with Fudan University, and the Executive MBA-Global Asia offered with Columbia Business School and London Business School. A recipient of multiple teaching excellence and teaching innovation awards, David develops case studies and teaching materials in the areas of corporate governance, decision-making, ethics, fintech, and leadership. He has received funding to explore how technology can be used to enhance learning and is a co-teacher of the award winning online course, Fintech Ethics and Risks. Before joining HKU, David worked in law and finance. As the inaugural Director for career development at HKU Business School, David is especially interested in helping students as they consider and prepare for different career and life paths.</t>
  </si>
  <si>
    <t>Teachers as Leaders: Teaching During Periods of Uncertainty (Part I)</t>
  </si>
  <si>
    <t>Outstanding Research Student Supervisor Award 2017-2018 - Professor Dennis LEUNG Yiu Cheong</t>
  </si>
  <si>
    <t>Outstanding Research Student Supervisor Award 2017-2018 - Professor Dennis LEUNG Yiu Cheong, Department of Mechanical Engineering</t>
  </si>
  <si>
    <t>Outstanding Research Student Supervisor Award 2017-2018 - Professor Anthony YEH Gar On</t>
  </si>
  <si>
    <t>Outstanding Research Student Supervisor Award 2017-2018 - Professor Anthony YEH Gar On, Department of Urban Planning and Design</t>
  </si>
  <si>
    <t>Outstanding Research Student Supervisor Award 2017-2018 - Professor Anskar LEUNG Yu Hung</t>
  </si>
  <si>
    <t>Outstanding Research Student Supervisor Award 2017-2018 - Professor Anskar LEUNG Yu Hung, Department of Medicine</t>
  </si>
  <si>
    <t>Outstanding Young Researcher Award 2017-2018 - Dr Kai QUEK</t>
  </si>
  <si>
    <t>Outstanding Young Researcher Award 2017-2018 - Dr Kai QUEK, Department of Politics and Public Administration</t>
  </si>
  <si>
    <t>Professional Services Award 2018 (Individual) - Dr Leon LEI Chi Un</t>
  </si>
  <si>
    <t>Professional Services Award 2018 (Individual) - Dr Leon LEI Chi Un, Technology-Enriched Learning Initiative</t>
  </si>
  <si>
    <t>Professional Services Award 2018(Team)-The HKU Exercise is Medicine on Campus (EIM@HKU) Project Team</t>
  </si>
  <si>
    <t>The Making-of-Season's Greetings 2020</t>
  </si>
  <si>
    <t>HKU Will Always Be Wherever You Are</t>
  </si>
  <si>
    <t>HKU University Collaborative Programmes</t>
  </si>
  <si>
    <t>This session allows students and parents to discover the suite of undergraduate programmes offered by the Faculty of Architecture, namely BA(Architectural Studies), BA(Landscape Studies), BASc(Design+), BSc(Surveying) and BA(Urban Studies) through a dialogue with the Dean of Architecture,  panel discussion and Q&amp;A.</t>
  </si>
  <si>
    <t>HKUMed Academic Induction 2020</t>
  </si>
  <si>
    <t>What is Biomedical Engineering (BME)? What does it take to become a biomedical engineer? What exactly does an biomedical engineer do? And why do I need to care? To provide the clues about these questions, this 20-min talk, given by the Programme Director of (BEng) BME Programme at HKU, will walk you through the facts about BME that experts might not tell you.</t>
  </si>
  <si>
    <t>A sneak peek at Tam Wing Fan Innovation Wing, one of the largest maker spaces in Asia, Dr. C.K. Chui, Director of Tam Wing Fan Innovation Wing of the Faculty of Engineering, will lead you to an Inno Wing Live Tour to experience this brand new maker space for students.</t>
  </si>
  <si>
    <t>This admissions talk provides HKDSE students, parents and career masters the latest admissions updates of the Bachelor of Pharmacy programme.</t>
  </si>
  <si>
    <t>This admissions talk provides HKDSE students, parents and career masters the latest admissions updates of the Bachelor of Chinese Medicine programme.</t>
  </si>
  <si>
    <t>This admissions talk provides HKDSE students the latest admissions updates of the Bachelor of Biomedical Sciences programme.</t>
  </si>
  <si>
    <t>This admissions talk provides HKDSE students, parents and career masters the latest admissions updates of the Bachelor of Nursing programme.</t>
  </si>
  <si>
    <t>This admissions talk provides HKDSE students, parents and career masters the latest admissions updates of the Bachelor of Medicine and Bachelor of Surgery programme.</t>
  </si>
  <si>
    <t>This admissions talk provides HKDSE students, parents and career masters the latest admissions updates of the Bachelor of Arts and Sciences in Global Health and Development programme.</t>
  </si>
  <si>
    <t>This admissions talk provides HKDSE students, parents and career masters the latest admissions updates of the Bachelor of Biomedical Sciences programme.</t>
  </si>
  <si>
    <t>This admissions talk provides HKDSE students, parents and career masters the latest admissions updates of the LKS Faculty of Medicine.</t>
  </si>
  <si>
    <t>Highlight Video for 200th Congregation</t>
  </si>
  <si>
    <t>HKU Excellence Awards Presentation Ceremony 2017</t>
  </si>
  <si>
    <t>Honorary University Fellowships 2019</t>
  </si>
  <si>
    <t>HKU Excellence Awards Presentation Ceremony 2018</t>
  </si>
  <si>
    <t>Long Service Awards Presentation Ceremony 2019</t>
  </si>
  <si>
    <t>199th Congregation</t>
  </si>
  <si>
    <t>The 201st Congregation video highlights</t>
  </si>
  <si>
    <t>HKU's Progress on Innovation &amp; Entrepreneuship</t>
  </si>
  <si>
    <t>Want to learn more about your study options in BA and our Arts Majors and Minors?  Current BA students will tell you how they navigated through their first year of study and ended up with their current BA Choices!</t>
  </si>
  <si>
    <t>An interactive session with academics and current students who will share with you a wide variety of outside classroom learning opportunities offered by the Faculty.</t>
  </si>
  <si>
    <t>What preventive measures should I take other than wearing masks and washing hands frequently?</t>
  </si>
  <si>
    <t>Can I store and reuse surgical masks? How can I protect myself if I do not have a mask?</t>
  </si>
  <si>
    <t>How can I prevent infection on public transportation?</t>
  </si>
  <si>
    <t>If soap and water are not readily available for handwashing, what are the alternatives?</t>
  </si>
  <si>
    <t>Professor Yuen Kwok-yung on Public Health Self-Isolation Arrangements for Students</t>
  </si>
  <si>
    <t>HKU received MoST National Key R&amp;D Programs grant</t>
  </si>
  <si>
    <t>HKU Research Recognition in China</t>
  </si>
  <si>
    <t>HKU marine ecologist on deep-sea conservation</t>
  </si>
  <si>
    <t>Professors From Afar: Professor Chris Webster</t>
  </si>
  <si>
    <t>Professors From Afar: Dr Janet Hsiao</t>
  </si>
  <si>
    <t>Professors From Afar: Dr Mairin Hennebry</t>
  </si>
  <si>
    <t>Professors From Afar: Professor Derek Collins</t>
  </si>
  <si>
    <t>Professors From Afar: Professor Pentao Liu</t>
  </si>
  <si>
    <t>Professors From Afar: Professor Zhiwu Chen</t>
  </si>
  <si>
    <t>Professors From Afar: Dr Olga Zayts</t>
  </si>
  <si>
    <t>Professors From Afar: Dr Michael Botelho</t>
  </si>
  <si>
    <t>Professors From Afar: Professor David M. Pomfret</t>
  </si>
  <si>
    <t>Professors From Afar: Professor Nasrine Seraji-Bozorgzad</t>
  </si>
  <si>
    <t>Professors From Afar: Professor Mee-Len Chye</t>
  </si>
  <si>
    <t>This admissions talk provides admissions information and student sharing.</t>
  </si>
  <si>
    <t>This admissions talk provides HKDSE students the latest admissions updates.</t>
  </si>
  <si>
    <t>['HKU', 'University of Hong Kong', 'IDAY']</t>
  </si>
  <si>
    <t>The talk introduces 6901 BSc programme features, YSS and its associated Cambridge-track.</t>
  </si>
  <si>
    <t>This panel discussion provides the public and DSE students with the innovation &amp; entrepreneurship stories of HKU founders and overview of the support at HKU</t>
  </si>
  <si>
    <t>This information session provides applicants with an overview of the programme and the latest admissions and application information</t>
  </si>
  <si>
    <t>This admissions talk provides students with international qualifications the latest admissions updates.</t>
  </si>
  <si>
    <t>This Faculty Central Talk covers a brief introduction of the Faculty of Education, highlights of the Faculty's programmes and learning opportunities.</t>
  </si>
  <si>
    <t>The dialogue provides students with insights of research and student life at HKU Engineeirng</t>
  </si>
  <si>
    <t>The session will introduce courses and opportunities available under the Faculty of Engineering and the HKU Business School, in particular how the students are equipped to provide solutions to challenges we see in our society today by combining professional knowledge in the engineering and business sector.</t>
  </si>
  <si>
    <t>This admissions talk provides HKDSE students with an overview of the School and the UG programmes as well as the latest admissions information. Students will also share their experiences of studying at HKU Business School.</t>
  </si>
  <si>
    <t>This sharing session aims at introducing the Faculty and the BDS programme to the general public.</t>
  </si>
  <si>
    <t>This information session will outline the HKU-UCB Dual Degree programme, covering the student journey, opportunities available, as well as admissions and application information.</t>
  </si>
  <si>
    <t>Infrastructure Imagination Exhibition</t>
  </si>
  <si>
    <t>Infrastructure Imagination showcased major infrastructure projects completed in Hong Kong between 1972 to 1988. This was the promotional advert for it.</t>
  </si>
  <si>
    <t>Behind the Scenes of 2018 Season's Greeting Video</t>
  </si>
  <si>
    <t>Here's a look at the smiles and slip-ups that went into creating the HKU Gingerbread project</t>
  </si>
  <si>
    <t>Infrastructure Imagination: Colin Coulson</t>
  </si>
  <si>
    <t>An oral history of Hong Kong Infrastructure from an engineer who was involved with the completion of the cross-harbour road tunnel and responsible for the overall design of the Initial System of the Mass Transit Railway, among other projects.</t>
  </si>
  <si>
    <t>Infrastructure Imagination: Heather Coulson</t>
  </si>
  <si>
    <t>An oral history of Hong Kong Infrastructure through the view of a leading construction and architectural photographer who was involved in many prestigious projects that were carried out in what has been described as the golden period of construction in Hong Kong.</t>
  </si>
  <si>
    <t>Rediscovering our Heritage</t>
  </si>
  <si>
    <t>Making of Gingerbread Main Building</t>
  </si>
  <si>
    <t>Here's a look at the smiles and slip-ups that went into creating the HKU Gingerbread project.</t>
  </si>
  <si>
    <t>Congratulations to Professor Kenneth M.Y. Leung</t>
  </si>
  <si>
    <t>Congratulations to Professor Kenneth M.Y. Leung on receiving the Biwako Prize for Ecology</t>
  </si>
  <si>
    <t>Innovative and ideal liquid-repellent surfaces</t>
  </si>
  <si>
    <t>Innovative and ideal liquid-repellent surfaces invented by Mechanical Engineering Dept's Professor Wang Liqui and Dr Zhu Pingan</t>
  </si>
  <si>
    <t>Organ Donation Awareness Week 2017</t>
  </si>
  <si>
    <t>Organ Donation Awareness Week 2017
Nov. 6 - 10th is this year's organ donation awareness week. Please take the time to think about organ donation and discuss with your friends and family.</t>
  </si>
  <si>
    <t>In memory of Professor Sir David Todd</t>
  </si>
  <si>
    <t>Professor Sir David was an icon, a role model, a gentleman and a scholar. He was also a wonderfully warm human being. His legacy will live forever in Hong Kong. May he rest in peace.</t>
  </si>
  <si>
    <t>HKU Faculty of Arts offers 23 majors and 31 intensive majors for students to choose from.
With such a wide array of choices, how to come up with a combination that suits you most? Rest assured as our students will give you a detailed introduction of different majors and majors offered by the Faculty of Arts. They will also share with you their experiences when declaring majors/minors . If you are interested in Bachelor of Arts at HKU, be sure not to miss it!</t>
  </si>
  <si>
    <t>The University of Hong Kong offers a lot of opportunities for students to study abroad. If you are curious about what it's like to go for an exchange, be sure not to miss our students' sharing on their extraordinary exchange journey.</t>
  </si>
  <si>
    <t>This talk introduces 6729Bachelor of Science in Actuarial Science programme features.</t>
  </si>
  <si>
    <t>Highlight video for Info Day 2017</t>
  </si>
  <si>
    <t>Season's Greetings 2017</t>
  </si>
  <si>
    <t>Whatever discipline you're in,
may your holidays be filled with good cheer</t>
  </si>
  <si>
    <t>Welcoming our 16th President &amp; Vice-Chancellor: Professor Xiang Zhang</t>
  </si>
  <si>
    <t>Remembering Professor Jao Tsung-I</t>
  </si>
  <si>
    <t>World renowned scholar</t>
  </si>
  <si>
    <t>Welcome to HKU Virtual Information Day 2020</t>
  </si>
  <si>
    <t>Promoting Equal Opportunities@HKU</t>
  </si>
  <si>
    <t>Bachelor of Arts in Urban Studies:  Understanding Cities, Planning and Design Your Future</t>
  </si>
  <si>
    <t>Use your mouse to drag within the video to look around in 360-degrees</t>
  </si>
  <si>
    <t>Happy Mid-Autumn Festival</t>
  </si>
  <si>
    <t>Drag with your mouse to view this 360-degree video or just sit back and let it scroll by itself.</t>
  </si>
  <si>
    <t>HKU Monument Buildings</t>
  </si>
  <si>
    <t>We now have 7 monument buildings on campus</t>
  </si>
  <si>
    <t>2018 Inauguration Ceremony highlights</t>
  </si>
  <si>
    <t>Let's have a recap and get some inspirations for your university life.</t>
  </si>
  <si>
    <t>Professors From Afar: Professor Lin Chia Chin</t>
  </si>
  <si>
    <t>Happy Chinese New Year from us to you!</t>
  </si>
  <si>
    <t>Starring President Xiang Zhang and students:
(in order of appearance)
Lamia Rahman
American Studies and Criminology student
Nurdaulet Kemel
Decision Analytics student
Peng Lang
Economics and Finance student
Ugne Musneckyte
Business and Economics exchange student
Daniel Wong
Accounting and Finance student</t>
  </si>
  <si>
    <t>In Loving Memory of Professor Michael Wilkinson</t>
  </si>
  <si>
    <t>Degree Show 2019: Interviews</t>
  </si>
  <si>
    <t>Reflections from the graduating class of the Master of Architecture, Bachelor of Arts in Architectural Studies, and Master of Landscape Architecture.</t>
  </si>
  <si>
    <t>Highlights of the Degree Show 2019</t>
  </si>
  <si>
    <t>The Main Building - A Century in Photos</t>
  </si>
  <si>
    <t>Welcome to HKU - Registration Day 2019</t>
  </si>
  <si>
    <t>UGC Teaching Award 2019 - Common Core Teaching Team</t>
  </si>
  <si>
    <t>UGC Teaching Award 2019
Common Core Teaching Team</t>
  </si>
  <si>
    <t>Congratulations to Professor Danny Chan</t>
  </si>
  <si>
    <t>Congratulations to Professor Danny Chan
Awarded 2019/20 largest ANR/RGC grant for French-Hong Kong collaborative projects, researching FGF signaling to treat spinal defects</t>
  </si>
  <si>
    <t>Congratulations to 7 Young HKU Scientists</t>
  </si>
  <si>
    <t>Recipients of the China's Excellent Young Scientists Fund 2019
Dr HU Xiaoqing
Dr HUI Hannah Xiaoyan
Dr LAM Tsan Yuk
Dr LI Xiang David
Dr Anderson SHUM
Dr WU Jin
Dr ZHANG Binzheng</t>
  </si>
  <si>
    <t>Happy Holidays</t>
  </si>
  <si>
    <t>Wishing you a healthy and successful Year of the Rat!</t>
  </si>
  <si>
    <t>HKU more innovative mode of online teaching</t>
  </si>
  <si>
    <t>HKU Spring Spin Highlights</t>
  </si>
  <si>
    <t>Revisit the fun times from earlier in the semester! Looking forward to seeing everyone back on campus after the outbreak is over. For now -- stay strong, stay safe!</t>
  </si>
  <si>
    <t>HKU Fights the Outbreak With You</t>
  </si>
  <si>
    <t>Prof. Xiang Zhang: Opening - Virtual Forum on HKU's Big Ideas on Combating the COVID-19 Pandemic</t>
  </si>
  <si>
    <t>Opening speaker: Professor Xiang Zhang, President
Chair: Professor Alfonso Ngan, Acting Vice-President (Research)</t>
  </si>
  <si>
    <t>Prof. Christopher Chao - Virtual Forum on HKU's Big Ideas on Combating the COVID-19 Pandemic</t>
  </si>
  <si>
    <t>"Engineering Response to COVID-19"
Speaker: Christopher Chao,
Chair Professor of Mechanical Engineering Chair: Professor Ren Sun, Senior Advisor to the President</t>
  </si>
  <si>
    <t>Prof. Reynold Cheng - Virtual Forum on HKU's Big Ideas on Combating the COVID-19 Pandemic</t>
  </si>
  <si>
    <t>"Can Big Data and AI be Useful for COVID-19 Analysis?"
Speaker: Reynold Cheng, Professor of Computer Science
Chair: Professor Ren Sun, Senior Advisor to the President</t>
  </si>
  <si>
    <t>Prof. KY Yuen - Virtual Forum on HKU's Big Ideas on Combating the COVID-19 Pandemic</t>
  </si>
  <si>
    <t>"Questions About COVID-19 and SARS-CoV-2"
Chair: Professor Alfonso Ngan, Acting Vice-President (Research)
Speaker: KY Yuen, Henry Fok Professor in Infectious Diseases</t>
  </si>
  <si>
    <t>Prof. Nancy Law - Virtual Forum on HKU's Big Ideas on Combating the COVID-19 Pandemic</t>
  </si>
  <si>
    <t>"Preparing For and Surviving the Next Global Calamity"
Speaker: Nancy Law, Professor, Faculty of Education
Chair: Professor Ren Sun, Senior Advisor to the President</t>
  </si>
  <si>
    <t>Prof. Ben Cowling - Virtual Forum on HKU's Big Ideas on Combating The COVID-19 Pandemic</t>
  </si>
  <si>
    <t>"Public Health Measures to Control COVID-19"
Speaker: Ben Cowling, Professor and Head Division of Epidemiology and Biostatistics
Chair: Professor Alfonso Ngan, Acting Vice-President (Research)</t>
  </si>
  <si>
    <t>Prof. Yuguo Li - Virtual Forum on HKU's Big Ideas on Combating the COVID-19 Pandemic</t>
  </si>
  <si>
    <t>"Transmission Routes of Covid-19 and Indoor Environment"
Speaker: Yuguo Li, Chair Professor of Building Environment
Chair: Professor Ren Sun, Senior Advisor to the President</t>
  </si>
  <si>
    <t>Prof. Hongzhe Sun - Virtual Forum on HKU's Big Ideas on Combating The COVID-19 Pandemic</t>
  </si>
  <si>
    <t>"Chemical Biology-based Drug Discovery for COVID-2019"
Speaker: Hongzhe Sun, Professor of Chemistry
Chair: Professor Alfonso Ngan, Acting Vice-President (Research)</t>
  </si>
  <si>
    <t>Prof. Richard Wong - Virtual Forum on HKU's Big Ideas on Combating the COVID-19 Pandemic</t>
  </si>
  <si>
    <t>"Rebooting Domestic Demand Under COVID-19"
Speaker: Richard Wong, Philip Wong Kennedy Wong Professor in Political Economy
Chair: Professor Gabriel Leung, Dean of Medicine</t>
  </si>
  <si>
    <t>In Memory of Mr Tam Wing Fan</t>
  </si>
  <si>
    <t>Congratulations to Professor Vivian Yam</t>
  </si>
  <si>
    <t>Congratulations to Professor Vivian Yam on her prestigious Porter Medal 2020.</t>
  </si>
  <si>
    <t>In memoriam Dr Stanley Ho, our distinguished &amp; loyal alumnus</t>
  </si>
  <si>
    <t>Congratulations to Professor Johannes Chan, Professor Elizabeth Sinn and Mr Kai Cheung Dung</t>
  </si>
  <si>
    <t>Congratulations to Professor Johannes Chan, Professor Elizabeth Sinn and Mr Kai Cheung Dung on the 13th Hong Kong Book Prize.</t>
  </si>
  <si>
    <t>Congratulations to Professor Frederick K.S. Leung</t>
  </si>
  <si>
    <t>Congratulations to Professor Frederick K.S. Leung on being elected President of the International Commission on Mathematical Instruction for the term 2021-2024.</t>
  </si>
  <si>
    <t>HKU &amp; You: Still Fighting the Outbreak Together</t>
  </si>
  <si>
    <t>HKU's efforts to fight against COVID-19</t>
  </si>
  <si>
    <t>#COVID19 #HKU #HKUmedicine</t>
  </si>
  <si>
    <t>HKU Bachelor of Science in Surveying Programme Highlight</t>
  </si>
  <si>
    <t>HKU Faculty of Science Induction Talk 20 21</t>
  </si>
  <si>
    <t>HKU Inauguration Ceremony 2020-2021</t>
  </si>
  <si>
    <t>Interview with Team Hollo</t>
  </si>
  <si>
    <t>Team Hollo
Microsoft Imagine Cup 2020
Global Champion (HKU Team)</t>
  </si>
  <si>
    <t>['HKU', 'University of Hong Kong', 'HKU Engineering', 'Team Hollo']</t>
  </si>
  <si>
    <t>Bachelor of Science in Surveying JUPAS Virtual Information Session</t>
  </si>
  <si>
    <t>Digital Transformation in Urban Management via Blockchain</t>
  </si>
  <si>
    <t>Bachelor of Journalism JUPAS Virtual Information Session</t>
  </si>
  <si>
    <t>Bachelor of Arts in Architectural Studies [BA(AS)] Virtual Open House 2.0</t>
  </si>
  <si>
    <t>BASCDesign+ JUPAS Virtual Information Playback</t>
  </si>
  <si>
    <t>Student Sharing Session - Engineering May 22</t>
  </si>
  <si>
    <t>HKU Programme Deep-dive: BME &amp; BA(AS)</t>
  </si>
  <si>
    <t>HKU Programme Deep-dive: AMPB &amp; BBA(EDI)</t>
  </si>
  <si>
    <t>HKU Programme Deep-dive: BSocSc Psychology &amp; BASc</t>
  </si>
  <si>
    <t>HKU Programme Deep-dive: GHD &amp; MBBS</t>
  </si>
  <si>
    <t>HKU Programme Deep-dive: FinTech &amp; BBA(IS)</t>
  </si>
  <si>
    <t>Student Sharing from the Faculty of Business and Economics</t>
  </si>
  <si>
    <t>Online Student Sharing- Plan For The Future: Career Planning &amp; Further Education</t>
  </si>
  <si>
    <t>Recorded on Apr 24, 2020.</t>
  </si>
  <si>
    <t>Online Student Sharing- Amazing Life@HKU: Hall, Dining, Social Life</t>
  </si>
  <si>
    <t>Recorded on Apr 9, 2020.</t>
  </si>
  <si>
    <t>Join HKU, Join The World</t>
  </si>
  <si>
    <t>Explore HKU, a World-Class University.</t>
  </si>
  <si>
    <t>[Lecture] Women in Science: From Vision to Inheritance</t>
  </si>
  <si>
    <t>HKU Virtual Open House for Taiwan 2020</t>
  </si>
  <si>
    <t>HKU Virtual Open House for Indonesia 2020</t>
  </si>
  <si>
    <t>HKU Virtual Open House for Vietnam 2020</t>
  </si>
  <si>
    <t>Academy for the Talented - STEM education 2019</t>
  </si>
  <si>
    <t>Taster Session @ HKU.Law</t>
  </si>
  <si>
    <t>How does the university life at HKU Faculty of Law is like?  Experience the teaching methods by our academics and gain an insight of the learning experiences available to you!</t>
  </si>
  <si>
    <t>['HKU', 'HKU Law', 'LLB']</t>
  </si>
  <si>
    <t>Student Sharing - Teaching &amp; Learning Vibes at HKU</t>
  </si>
  <si>
    <t>Recorded session on March 13, 2020.</t>
  </si>
  <si>
    <t>Academy for the Talented - Orientation Camp</t>
  </si>
  <si>
    <t>Recorded Student Sharing: Our HKU Moments From Year 1 to 4</t>
  </si>
  <si>
    <t>This online student sharing session was on-air and recorded via Zoom on Feb 28, 2020. 
Get to know more about events hosted by HKU&amp;U, go check out: https://www.hkunyou.hku.hk/</t>
  </si>
  <si>
    <t>Academy for the Talented -Nobel Week 2019</t>
  </si>
  <si>
    <t>Academy for the Talented collaborates with the National Society of High School Scholars (NSHSS), a distinguished academic honour society co-founded by Mr. Claes Nobel, a senior member of the Noble Prize family to offer the Noble week for our members. The Nobel Week allows participants to meet and have a dialogue with the Nobel laureates. This year, four Academy members were offered scholarships to attend the Nobel Week 2019.
#HKU #AcT #NobelWeek #NSHSS #Nobel #NobelPrize</t>
  </si>
  <si>
    <t>['HKU', 'University of Hong Kong', 'NSHSS', 'Nobel Prize', 'Nobel']</t>
  </si>
  <si>
    <t>MBBS Application: Essential Reminders and Tips for MMI Interviews</t>
  </si>
  <si>
    <t>JUPAS Application: Important dates for applying to the MBBS programme</t>
  </si>
  <si>
    <t>#MBBS #HKUMED #JUPAS</t>
  </si>
  <si>
    <t>Bachelor of Arts and Sciences (BASc) Student Sharing 2019</t>
  </si>
  <si>
    <t>#HKUTalks #HKUArts #HKUSciences</t>
  </si>
  <si>
    <t>Department of History Interview with Students</t>
  </si>
  <si>
    <t>Bachelor of Laws Admissions Talk 2019</t>
  </si>
  <si>
    <t>#HKULaws #HKUTalks #BachelorofLaws
The Bachelor of Laws (LLB) offers education in fundamental legal concepts and subjects, as well as a wider liberal-arts education. In 2004-05, the LLB became a four-year programme,  in line with recommendations made by government-appointed consultants. Under the 2012 curriculum reform, the LLB remains as a 4-year programme.
The LLB comprises a professional core which equips students with a solid foundation in legal knowledge, and elective courses which allow students exposure to the broader context in which the law operates.  Students will have the opportunity to obtain a minor in a non-law area, or to obtain specialization in a specific area of law.
The LLB degree has also been recognised by professional bodies and universities overseas. The Law Society of England accepts it for exemptions from Part 1 of the Common Professional Examination, and exemptions may also be granted from certain papers in Part 1 of the Bar Final Examinations in England. Law graduates of the University regularly go on to study for higher degrees at prestigious universities such as Oxford, Cambridge, Harvard, Yale, London and Stanford.</t>
  </si>
  <si>
    <t>['HKU', 'University of Hong Kong', 'HKULLB', 'HKULaws']</t>
  </si>
  <si>
    <t>#HKUTalks #HKUSchoolOfChinese #Chinese</t>
  </si>
  <si>
    <t>Department of Comparative Literature 30th Anniversary Talk</t>
  </si>
  <si>
    <t>Ways of illuminating:  30 Years in the Cultural Scene</t>
  </si>
  <si>
    <t>['HKU', 'University of Hong Kong', 'Comparative Literature']</t>
  </si>
  <si>
    <t>Bachelor of Arts in Comparative Literature Introduction</t>
  </si>
  <si>
    <t>Comparative Literature in Film and Visual Culture by Professor Gina Marchetti</t>
  </si>
  <si>
    <t>Bachelor of Pharmacy Admissions Talk 2019</t>
  </si>
  <si>
    <t>#HKUTalks #HKUPharmacy #pharmacist
The Bachelor of Pharmacy (BPharm) programme aims to produce competent graduates with solid knowledge of pharmacy as well as abilities to apply the core knowledge and skills for effective, humane and ethical delivery of pharmaceutical care. They will contribute both to the profession of pharmacy and to the overall health of the patient body by adopting the highest standard of professional practice.  
Professional Recognition
The programme has been granted accreditation by the Pharmacy and Poisons Board of Hong Kong. Students who have completed a full-time pharmacy degree and one additional year of internship are qualified as registered pharmacists in Hong Kong.</t>
  </si>
  <si>
    <t>Part 1 What Is Landscape Architecture?</t>
  </si>
  <si>
    <t>#HKUTalks #HKUArchitecture #LandscapeArchitecture</t>
  </si>
  <si>
    <t>Part 2 Who Are Landscape Architects?</t>
  </si>
  <si>
    <t>#HKUTalks #HKUArchitecture #LandscapeArchitects</t>
  </si>
  <si>
    <t>Part 3 Why Landscape at HKU?</t>
  </si>
  <si>
    <t>Part 4 What Is Studio?</t>
  </si>
  <si>
    <t>Bachelor of Social Sciences Major/Minor Programmes in Counselling</t>
  </si>
  <si>
    <t>#HKUTalks #HKUSocSc #MentalHealth
The counselling programme offered by The University of Hong Kong has an important and growing role in strengthening the counselling workforce in Hong Kong and beyond. 
It equips students for acting as the first line of help, both at work and in their personal lives, for people in need of support before they develop more severe mental health problems; 
It also adds to the resources of practitioners in human services who find themselves in need of further training in the counselling process</t>
  </si>
  <si>
    <t>['HKU', 'University of Hong Kong', 'counselling', 'counseling', 'mental health', 'HKU Social Sciences']</t>
  </si>
  <si>
    <t>Bachelor of Social Sciences Major/Minor Programmes in Social Policy and Social Development</t>
  </si>
  <si>
    <t>#HKUTalks #HKUSocSc #SocialPolicy 
Social policy innovation for sustainable development has increasingly become a concern in the region where countries are facing rapid industrialization, urbanization, and at the same time aging of their populations. This minor programme will adopt an interdisciplinary and multidimensional approach introducing students to fundamental theories and debates in both local and global social policies and development strategies. Apart from looking at the global dimensions of poverty and development policies, including the role of states, transnational corporations (TNCs), non-governmental organizations (NGOs), and multilateral donor organizations in alleviating and exacerbating social inequalities, it also uniquely examines Asian perspectives on development and responses to poverty and inequality, livelihood strategies, the importance of political empowerment, and the conditions under which development strategies have been successful.</t>
  </si>
  <si>
    <t>Bachelor of Journalism Introduction</t>
  </si>
  <si>
    <t>['HKU', 'University of Hong Kong', 'JMSC', 'JMSCHKU', 'HKU Journalism', 'Journalist', 'Journalism']</t>
  </si>
  <si>
    <t>Bachelor of Social Sciences  (Major in Media &amp; Cultural Studies) Student Sharing 2019</t>
  </si>
  <si>
    <t>Bachelor of Social Sciences (Major in Sociology) Student Sharing 2019</t>
  </si>
  <si>
    <t>What is Sociology?</t>
  </si>
  <si>
    <t>Explore the Department of Sociology of HKU!</t>
  </si>
  <si>
    <t>Bachelor of Arts and Sciences Programme Introduction</t>
  </si>
  <si>
    <t>Bachelor of Social Sciences Programme Introduction</t>
  </si>
  <si>
    <t>#HKUTalks #HKUSocialSciences #sosci
If students are interested in studying human behaviour and society or wish to become a future leader in public service, education, industry and commerce, the Bachelor of Social Sciences should be the choice.  The flexible programme structure provides students with freedom to decide which discipline they wish to major in after the first year of study, without any quota constraint. Off-campus learning is emphasized through participation in internships or overseas academic exchange to provide opportunities for students to apply the knowledge acquired to the practical environment and to enhance their international exposure.</t>
  </si>
  <si>
    <t>Bachelor of Arts in Conservation Programme Highlights</t>
  </si>
  <si>
    <t>#HKUArchitecture The Bachelor of Arts in Conservation BA(Conservation) offers interdisciplinary and experiential learning covering a broad spectrum of subjects such as architecture, arts and humanities, real estate and construction, social sciences and urban studies. The core competencies are classified into five pillars namely (1)History and Theory of Conservation, (2) Materials and Technology, (3)Professional Practice, (4) Conservation Studio, and (5)Research Thesis. Numerous local and at least three overseas field studies and the one-month internship placements are also part of the curriculum.</t>
  </si>
  <si>
    <t>['HKU', 'University of Hong Kong', 'architecture', 'conservation']</t>
  </si>
  <si>
    <t>Bachelor of Biomedical Sciences Admissions Talk 2019</t>
  </si>
  <si>
    <t>#HKUTalks #HKUMed #BiomedicalSciences
Biomedical sciences cover a wide range of scientific and allied disciplines, including molecular and cell biology, genetics and genomic science, bioinformatics, anatomy, physiology, pharmacology, biological and medicinal chemistry, immunology, microbiology, and public and environmental health. The study of biomedical sciences focuses on the relationships between humans, health and disease, translating biomedical applications of basic sciences to the clinical practices of health services and healthcare industry. The Faculty offers an undergraduate degree in Biomedical Sciences with the aim to offer strategic training in the fundamentals of state-of-the-art sciences and to nurture graduates with a broad but core knowledge of key biomedical disciplines.  Three minors will be offered, namely, 'Biotechnology and Clinical Research', 'Genetics and Genomics' and 'Kinesiology' under the programme.</t>
  </si>
  <si>
    <t>['HKU', 'University of Hong Kong', 'Biomedical Sciences']</t>
  </si>
  <si>
    <t>Bachelor of Chinese Medicine Admissions Talk 2019</t>
  </si>
  <si>
    <t>#HKUTalk #HKUMed #ChineseMedicine
The Bachelor of Chinese Medicine (BChinMed) programme is a six-year full-time degree programme that aims to provide systematic and professional training for students to become competent Chinese medicine practitioners who can provide Chinese medicine healthcare services to the community, as well as to meet the challenges of the modernisation of Chinese medicine. 
*Professional Recognition:
Graduates of the BChinMed programme who have passed the Licensing Examination are qualified for registration as Chinese medicine practitioners with the Chinese Medicine Council of Hong Kong.</t>
  </si>
  <si>
    <t>Bachelor of Arts and Sciences in Global Health and Development Admissions Talk 2019</t>
  </si>
  <si>
    <t>Bachelor of Nursing Admissions Talk 2019</t>
  </si>
  <si>
    <t>#HKUTalks #HKUNursing #Nursing 
The Bachelor of Nursing (BNURS) is a five-year full-time programme leading to an honours degree of the University. Its objective is to provide comprehensive, holistic nursing education and nurture competent nurse leaders with an international outlook.
The curriculum includes various courses that aim to equip students with the essential knowledge and skills to be capable of working in different settings. The main areas covered are Nursing Core Courses, Nursing Care of Specialised Populations, Theoretical Foundations for Nursing Practice, Foundations in Nursing Research, Nursing Electives, Nursing Practica, Life Sciences, and Behavioural Sciences. This curriculum structure allows maximum longitudinal and a lateral correlation between courses. The teaching and learning strategies facilitate the integration of theoretical knowledge and the application of learning to nursing practice.</t>
  </si>
  <si>
    <t>by Vanessa Li, Senior Programme Manager, Admissions and Academic Liaison Section, Registry, HKU</t>
  </si>
  <si>
    <t>By Vicky Chan, Senior Programme Manager, Admissions and Academic Liaison Section, Registry, HKU</t>
  </si>
  <si>
    <t>Bachelor of Engineering in Electronic Engineering Student Sharing 2019</t>
  </si>
  <si>
    <t>Bachelor of Arts Admissions Talk 2019</t>
  </si>
  <si>
    <t>#HKUTalks #BachelorOfArts #Arts
The BA programme equips graduates with a basic breadth of knowledge, plus analytical, linguistic and interpersonal skills required in the workplace. Arts graduates have many career options in both the private and public sectors. The largest percentage joins the business sector, including many who assume management and administrative posts. The next largest group becomes teachers. Some graduates have joined the government as administrative or executive officers, while others have found work in media and advertising. In recent years, more and more Arts students have continued their studies at postgraduate level.</t>
  </si>
  <si>
    <t>['HKU', 'University of Hong Kong', 'Bachelor of Arts HKU']</t>
  </si>
  <si>
    <t>Bachelor of Arts in Architectural Studies Introduction and Facilities Tour</t>
  </si>
  <si>
    <t>['HKU', 'University of Hong Kong', 'Architecture Studies', 'HKUArchitecture']</t>
  </si>
  <si>
    <t>[Webinar] HKU Undergraduate Admissions 2019 for DAS students</t>
  </si>
  <si>
    <t>HKU-UCL Dual Degree Programme in Law Student Sharing 2019</t>
  </si>
  <si>
    <t>Bachelor of Social Sciences (Government and Laws) and Bachelor of Laws Student Sharing 2019</t>
  </si>
  <si>
    <t>Bachelor of Science in Speech and Hearing Sciences Admissions Talk 2019</t>
  </si>
  <si>
    <t>['HKU', 'University of Hong Kong', 'speech and hearing science', 'speech therapist']</t>
  </si>
  <si>
    <t>[English] Bachelor of Engineering in Mechanical Engineering Student Sharing 2019</t>
  </si>
  <si>
    <t>Listen to our student,  Shek Tsz Chun, talks about his stories from studying Mechanical Engineering at HKU.</t>
  </si>
  <si>
    <t>Bachelor of Engineering  Student Sharing 2019</t>
  </si>
  <si>
    <t>Listen to our student,  Maitraee Mistry from Bangladesh to talk about her life as Medical Engineering student at HKU.</t>
  </si>
  <si>
    <t>[Cantonese] Bachelor of Engineering in Mechanical Engineering Student Sharing 2019</t>
  </si>
  <si>
    <t>Listen to our student,  Cheung Yau Mei, talks about her stories from studying Mechanical Engineering at HKU.</t>
  </si>
  <si>
    <t>Bachelor of Arts in Urban Studies - One Minute Programme Highlights</t>
  </si>
  <si>
    <t>['HKU', 'University of Hong Kong', 'Urban Studies', 'Urban Planning', 'Design', 'HKU Architecture', 'Architecture']</t>
  </si>
  <si>
    <t>HKU x Cambridge Engineering Joint Recruitment Scheme Introduction 2019</t>
  </si>
  <si>
    <t>Under this HKU-Cambridge Undergraduate Recruitment Scheme (Engineering and Computer Science), students can graduate with three degrees: two Bachelor degrees from the two universities and a Master of Engineering from the University of Cambridge upon successful completion of five years of study.
For more information please visit https://www.infoday.hku.hk/ or https://aal.hku.hk/admissions/international/admissions-information?page=en/hku-cambridge-undergraduate-recruitment-scheme-engineering-and-computer-science</t>
  </si>
  <si>
    <t>['HKU', 'University of Hong Kong', 'Dual Degree', 'HKU x Cambridge']</t>
  </si>
  <si>
    <t>LLB (Bachelor of Laws) Student Sharing 2019</t>
  </si>
  <si>
    <t>['HKU', 'University of Hong Kong', 'Bachelor of Laws']</t>
  </si>
  <si>
    <t>[Webinar] HKU Undergraduate Admissions for HKDSE Students 2019</t>
  </si>
  <si>
    <t>By Vanessa Li, Senior Programme Manager, Admissions and Academic Liaison Section, Registry, HKU</t>
  </si>
  <si>
    <t>[Q&amp;A] HKU Undergraduate Admissions for HKDSE Students 2019</t>
  </si>
  <si>
    <t>[Webinar] HKU Undergraduate Admissions for International Students 2019</t>
  </si>
  <si>
    <t>[Q&amp;A] HKU Undergraduate Admissions for International Students 2019</t>
  </si>
  <si>
    <t>Faculty of Business and Economics Admissions Talk 2019 (non-JUPAS)</t>
  </si>
  <si>
    <t>The Faculty of Business and Economics takes an entrepreneurial approach to meeting the challenges of a rapidly changing economic and business environment by drawing together the strengths of six academic areas, namely Accounting and Law, Economics, Finance, Innovation and Information Management, Management and Strategy, and Marketing.</t>
  </si>
  <si>
    <t>Bachelor of Business Administration (Information Systems) Admissions Talk 2019</t>
  </si>
  <si>
    <t>#HKUTalks #HKUBusinessAdministration #BBAIS
The BBA(IS) programme is designed to give students a unique edge in the IT world by providing training in the fields of both business administration and information technology. It is jointly offered by the Faculty of Business and Economics, and the Department of Computer Science, and consists of a mixture of business and computer science courses.</t>
  </si>
  <si>
    <t>Bachelor of Dental Surgery Admissions Talk 2019</t>
  </si>
  <si>
    <t>#HKUTalks #HKUDentistry #Dentist
The Faculty of Dentistry at The University of Hong Kong is ranked as the top fourth dental school in the world by the QS World University Rankings by Subject in 2019 and was ranked as the top dental school in the world for three consecutive years (2016-2018). The University of Hong Kong is the only institution in Hong Kong that provides education leading to the award of undergraduate and postgraduate dental degrees. Being the only dental school in Hong Kong, the Faculty of Dentistry has been playing a key role in advancing oral healthcare of the people of Hong Kong, the neighbouring region and beyond, through teaching, patient care, research and knowledge exchange. The Faculty was established in 1982 and it has located in the Prince Philip Dental Hospital in Sai Ying Pun on Hong Kong Island. The Faculty looks to recruiting, as future leaders of the dental profession, bright, all-rounded individuals who are self-motivated and committed to improving the physical well-being of the people of Hong Kong and globally.</t>
  </si>
  <si>
    <t>['HKU', 'University of Hong Kong', 'HKU Dentistry', 'HKU Dental', 'dentist', 'dental']</t>
  </si>
  <si>
    <t>Bachelor of Arts &amp; Bachelor of Education in Language Education-English 2019 Student Sharing</t>
  </si>
  <si>
    <t>Listen to our students' stories from studying in the Bachelor of Arts &amp; Bachelor of Education in Language Education-English.</t>
  </si>
  <si>
    <t>['HKU', 'University of Hong Kong', 'English Teacher', 'enlishi language education', 'HKU Language', 'HKUEducation']</t>
  </si>
  <si>
    <t>Bachelor of Arts and Bachelor of Education in Language Education - English Admissions Talk 2019</t>
  </si>
  <si>
    <t>['HKU', 'University of Hong Kong', 'English Teaching', 'Teachers', 'Language education', 'double degree', 'HKUteaching']</t>
  </si>
  <si>
    <t>Bachelor of Business Administration- Entrepreneurship, Design &amp; Innovation  Admissions Talk 2019</t>
  </si>
  <si>
    <t>#HKUTalks #HKUBusiness #HKUEntrepreneurs
The Business Design and Innovation Major is designed for students who aspire to be entrepreneurs or management specialists who can design, innovate and market new products and services through creative thinking. It allows students to develop a deep reserve of multi-disciplinary knowledge and skills conducive to creativity and innovation, thus providing an opportunity for students to discover their true interest in the interface between business and other disciplines.</t>
  </si>
  <si>
    <t>['HKU', 'University of Hong Kong', 'Entrepreneur', 'entrpreneurship', 'design', 'innovation', 'Business Administration']</t>
  </si>
  <si>
    <t>['HKU', 'University of Hong Kong', 'ULife', 'University Life']</t>
  </si>
  <si>
    <t>Bachelor of Arts and Bachelor of Laws (Double Degree) Admissions Talk 2019 by Dr Anya Adair</t>
  </si>
  <si>
    <t>#HKUTalks #HKUDoubleDegree #Laws
This joint programme in literary studies and law provides students with the opportunity to pursue their studies in both literature and the law, and to explore the connections between the two. On completion of the five-year programme, students will be awarded both a Bachelor of Arts and a Bachelor of Laws. In addition to preparing students for legal practice, the programme cultivates an appreciation of the narrative dimensions and rhetoric of legal discourse and of the overlaps between literary and legal histories. The curriculum provides a solid foundation for legal practice as well as a wide variety of careers beyond the law, including journalism, media and communications, the arts and culture, and politics.</t>
  </si>
  <si>
    <t>['HKU', 'University of Hong Kong', 'double degree', 'arts and laws']</t>
  </si>
  <si>
    <t>Bachelor of Arts in Urban Studies Admissions Talk</t>
  </si>
  <si>
    <t>#HKUTalks HKUArchitecture #UrbanStudies 
The Bachelor of Arts in Urban Studies BA(US) programme is offered by the Department of Urban Planning and Design (DUPAD), which has more than 35 years of experience in postgraduate training in urban studies and planning; it was established as the Centre of Urban Studies and Urban Planning (CUSUP) in 1981 and restructured to the present department in 2008. Its MSc (Urban Planning) programme is the only professional-education programme recognised by the Hong Kong Institute of Planners (HKIP) and the Royal Town Planning Institute (RTPI).
BA(US) is multidisciplinary and studio-based with emphasis on design, multimedia communication skills and problem-based learning projects, equipping students to become professionals in the built environment who can approach any problem from multiple perspectives. It enables students to understand and face the challenges associated with cities and urban development in Hong Kong, China and the rest of the world. Graduates can become Planning and Development Surveyors of the Hong Kong Institute of Surveyors (HKIS) (http://www.hkis.org.hk/pdd/en) and the Royal Institution of Chartered Surveyors (RICS) (http://www.rics.org).
The programme also enables students to acquire broad knowledge of issues and methods in urban studies, including urban planning and design, urban policy and management, land development, real-estate economics, sustainability, community development, public participation, urban renewal, conservation and placemaking. In the final year, students undertake an independent research project on contemporary urban issues. As the field has an international scope, study abroad is encouraged, and there is professional training through internships.</t>
  </si>
  <si>
    <t>['HKU', 'University of Hong Kong', 'Urban', 'Urban Planning', 'Design', 'HKU Architecture', 'Urban Studies']</t>
  </si>
  <si>
    <t>Bachelor of Finance in Asset Management and Private Banking Admissions Talk 2019</t>
  </si>
  <si>
    <t>#HKUTalks #HKUFinancial #PrivateBanking
The BFin(AMPB) programme is the first undergraduate programme of its kind in Hong Kong and Asia. The career-oriented curriculum provides students with the necessary knowledge and skills for careers in asset management and private banking. Practical-oriented courses taught by teachers with solid experience in AMPB industry will be offered to students, including a final-year capstone course requiring students to apply their knowledge to real world situations by conducting analyses and managing a portfolio based on investment guidelines and risk policies of institutional or high net-worth clients.</t>
  </si>
  <si>
    <t>['HKU', 'University of Hong Kong', 'private banking', 'asset management', 'financing']</t>
  </si>
  <si>
    <t>Bachelor of Science Admissions Talk 2019</t>
  </si>
  <si>
    <t>Bachelor of Arts and Sciences in Applied Artificial Intelligence Admissions Talk 2019</t>
  </si>
  <si>
    <t>#HKUTalks #HKUArtsandScience #HKUBASc
The BASc(AppliedAI) programme aims to give students both fundamental and practical knowledge in the design and construction of intelligent systems so that they can apply their skills in a variety of career settings. Supported by a wide range of courses in computer science, geography, mathematics, psychology, statistics, and urban studies, which emphasise problem-based learning, the BASc(AppliedAI) programme features five concentrations:</t>
  </si>
  <si>
    <t>['HKU', 'University of Hong Kong', 'AI', 'Big Data', 'Machine Learning', 'Artificial Intelligence', 'NLP', 'DeepLearnig', 'Robotics']</t>
  </si>
  <si>
    <t>Bachelor of Science in Actuarial Science Admissions Talk 2019</t>
  </si>
  <si>
    <t>#HKUTalks #HKUScience #ActuarialScience 
The BSC(AC) programme is the only one of its kind in Hong Kong. It provides formal academic training to students who wish to join the actuarial profession. It is specifically designed to prepare students to sit the early actuarial examinations of the professional bodies for actuaries, allowing them to readily join the actuarial profession with internationally recognised qualifications on graduation.</t>
  </si>
  <si>
    <t>['HKU', 'University of Hong Kong', 'ActuarialScience', 'Actuarial']</t>
  </si>
  <si>
    <t>Bachelor of Science in Quantitative Finance Admissions Talk 2019</t>
  </si>
  <si>
    <t>['HKU', 'University of Hong Kong', 'QuantitativeScience']</t>
  </si>
  <si>
    <t>Bachelor of Social Sciences - Department of  Geography Introduction 2019</t>
  </si>
  <si>
    <t>#HKUTalks #HKUGeography #HKUSoSci 
The Geography curriculum is structured in such a way that first-year students are given the chance to explore the geography discipline for their academic interests. 
In order to become Geography majors, students are required to successfully complete one Introductory 6-credit geography course in their first year of study. In order to have a wider basic knowledge for pursuing their studies as Geography majors, first-year students are strongly advised to successfully complete two Introductory level geography courses.</t>
  </si>
  <si>
    <t>['HKU', 'University of Hong Kong', 'Geography Department at HKU', 'HKUGeography', 'Geography']</t>
  </si>
  <si>
    <t>Bachelor of Arts (Buddhist Studies) Admissions Talk 2019</t>
  </si>
  <si>
    <t>#HKUTalks #BuddhistStudies #HKUBuddhistStudies 
The minor in Buddhist Studies will enable you to gain a foundational understanding of Buddhist cultures, philosophies and practices and discover how this major religious tradition can offer valuable lessons for understanding the way we see ourselves and the world.</t>
  </si>
  <si>
    <t>['HKU', 'University of Hong Kong', 'BuddhistStudies']</t>
  </si>
  <si>
    <t>Bachelor of Business Administration (Major in Finance) Admissions Talk 2019</t>
  </si>
  <si>
    <t>#HKUTalks #HKUFinance #HKUBusinessAdministration
The BBA(Acc&amp;Fin) programme prepares students for a professional qualification in accounting and provides the broad-based education necessary to progress towards a leadership role in the financial sector. Tailor-made professional preparation programmes and internship opportunities with renowned accounting firms and financial institutions are available for talented students.
Professional Recognition: 
The BBA(Acc&amp;Fin) programme has been accredited as an approved accountancy degree programme under the Qualification Programme (QP) of the Hong Kong Institute of Certified Public Accountants (HKICPA). 
Graduates of the programme are eligible for direct entry to the QP, provided that they have sat and passed the subjects as listed in the approved curriculum for meeting QP's pre-entry competency requirements. 
Besides, graduates of BBA(Acc&amp;Fin) are exempted from the foundation level of the Association of Chartered Certified Accountants (ACCA) examination scheme. They must take all the non-exemptible papers at the professional level to fulfil the examination requirements for ACCA membership. Non-local BBA(Acc&amp;Fin) graduates are eligible for Associate membership of CPA Australia provided that they have completed all required core curriculum subjects. They can advance to CPA status in the manner stipulated by CPA Australia.
Graduates of BBA and BBA(Acc&amp;Fin) programmes are eligible for earning the Chartered Global Management Accountants (CGMA), with part of the CIMA examinations exempted, provided that they have completed all required subjects specified in the CIMA mapping guidance.</t>
  </si>
  <si>
    <t>['HKU', 'University of Hong Kong', 'finance', 'accounting', 'business administration']</t>
  </si>
  <si>
    <t>Faculty of Business&amp; Economics Student Sharing 2019</t>
  </si>
  <si>
    <t>Faculty of Business &amp; Economics Admission Talk 2019 (JUPAS)</t>
  </si>
  <si>
    <t>Bachelor of Economics/ Bachelor of Economics and Finance Admissions Talk 2019</t>
  </si>
  <si>
    <t>#HKUTalks #HKUBEcon #Econ
Students are required to enrol in either the BEcon or BEcon&amp;Fin programme on admission.
The BEcon programme trains students in economic theories, statistical tools, the application of theories to solve practical economic problems in trade, banking, the labour market and evaluation of the regional economic performances of China, Hong Kong and other economies.
The BEcon&amp;Fin is a double-major programme designed to meet the interests of students who are seeking a balanced study of both economics and finance.</t>
  </si>
  <si>
    <t>BEd&amp;BSc Student Sharing</t>
  </si>
  <si>
    <t>Listen to Stella Ho, our BEd&amp;BSc double major student talking!</t>
  </si>
  <si>
    <t>BBED6792 Sustainable Development in Tibet</t>
  </si>
  <si>
    <t>Ocean Park Experiential Learning Project (BBED6787)</t>
  </si>
  <si>
    <t>Bachelor of Science in Speech and Hearing Sciences [BSC(SPEECH)]</t>
  </si>
  <si>
    <t>Bachelor of Science in Speech and Hearing Sciences [BSC(SPEECH)] programme highlight</t>
  </si>
  <si>
    <t>Bachelor of Education in Early Childhood Education and Special Education [BED(ECE&amp;SE)]</t>
  </si>
  <si>
    <t>Developing Resilient Student Teachers by Nurturing Resilient in Vulnerable Groups in Cambodia 2019</t>
  </si>
  <si>
    <t>Bachelor of Arts and Sciences in Social Data Science Programme Highlights</t>
  </si>
  <si>
    <t>Bachelor of Science in Information Management [BSC(IM)]</t>
  </si>
  <si>
    <t>Lady Ho Tung Hall Promotional Video 2019</t>
  </si>
  <si>
    <t>Swire Hall Promotional Video 2019</t>
  </si>
  <si>
    <t>Lee Hysan Hall Promotional Video 2019</t>
  </si>
  <si>
    <t>CAES1000 - How Can This Course Help You In University</t>
  </si>
  <si>
    <t>#HKUCoreCourses 
CAES1000- The Core University English (CUE) course aims to help you develop the academic English language skills you will need to complete your university degree. The course develops your ability to:
UNDERSTAND &amp; PRODUCE
-- spoken and written academic texts
EXPRESS
-- academic ideas and concepts clearly and in a well-structured manner
SEARCH FOR &amp; USE
-- academic sources of information in your writing and speaking
These skills will help you study in an English-medium university environment and will give you more confidence to complete your written and spoken assignments for the Common Core Curriculum.
To find out more, visit: https://learning.hku.hk/caes1000/#courseduration</t>
  </si>
  <si>
    <t>['HKU', 'University of Hong Kong', 'English Writing Course', 'Core University English']</t>
  </si>
  <si>
    <t>Bachelor of Business Administration (Law) and Bachelor of Laws (Double Degree) Admissions Talk 2019</t>
  </si>
  <si>
    <t>#HKUTalks #HKULaws #BusinessLaw
The BBA(Law)&amp;LLB double-degree programme blends two strategic disciplines into a single course for the bright and highly motivated. It is a good choice for students seeking a broad education and flexibility in their career choices. Graduates of the programme will be awarded two degrees: BBA(Law) by the Faculty of Business and Economics, and LLB by the Faculty of Law. The LLB degree is the basic requirement to pursue a legal career. After obtaining the LLB degree, students who meet the admission requirements can apply for the Postgraduate Certificate in Laws (PCLL) programme.</t>
  </si>
  <si>
    <t>['HKU', 'University of Hong Kong', 'double degree', 'HKULaws', 'Business Law']</t>
  </si>
  <si>
    <t>Bachelor of Engineering in Biomedical Engineering Admissions Talk 2019</t>
  </si>
  <si>
    <t>#HKUTalks #HKUEngineering #BiomedicalEngineering
Built upon a strong interdisciplinary foundation across basic sciences, mathematics, engineering and life sciences, this programme covers a wide scope of modern BME disciplines and a variety of BME-related experiential learning opportunities. Such inclusive training allows students to learn how to apply engineering principles to advance biomedical practices and research; and to establish professional, ethical and social responsibilities on health-related issues.   
Professional Recognition:
BENG(BME) programme is accredited by the Hong Kong Institution of Engineers (HKIE).</t>
  </si>
  <si>
    <t>['HKU', 'University of Hong Kong', 'Biomedical Engineering']</t>
  </si>
  <si>
    <t>Bachelor of Social Work Admissions Talk 2019</t>
  </si>
  <si>
    <t>#HKUTalks #HKUSocialSciences #SocialWork
This programme provides training that leads to a professionally recognised qualification in social-work practice. The curriculum covers areas including social welfare and social policy, specialised social-work theory and practice, human behaviour and the social environment, research, law, sociology and psychology. Students are required to complete social-work practice laboratory courses, advanced courses using problem-based learning, and two fieldwork placements in local or overseas agencies under professional supervision.  
Professional Recognition:
The programme is accredited as a recognised social work qualification by the Hong Kong Social Workers Registration Board. Graduates are eligible to apply for registration as Registered Social Workers, a requirement to pursue a career in social work.mation.</t>
  </si>
  <si>
    <t>['HKU', 'University of Hong Kong', 'Social Work', 'HKU Social Sciences', 'Social Sciences', 'community']</t>
  </si>
  <si>
    <t>Bachelor of Engineering in Engineering Science Admissions Talk 2019</t>
  </si>
  <si>
    <t>#HKUTalks #HKUEngineering #EngineeringScience
The programme features a flexible structure with five areas (majors) of concentration:
- Biomedical Engineering
- Energy Engineering
- Environmental Engineering
- Materials Engineering
- Systems Analytics
Professional Recognition
Graduates can apply for professional recognition in various engineering disciplines with the Hong Kong Institution of Engineers (HKIE), subject to the relevance of courses completed under the BEng in Engineering Science degree to the discipline concerned.</t>
  </si>
  <si>
    <t>['HKU', 'University of Hong Kong', 'Engineering Science', 'Engineering']</t>
  </si>
  <si>
    <t>Bachelor of Social Sciences (Psychology) Admissions Talk 2019</t>
  </si>
  <si>
    <t>['HKU', 'University of Hong Kong', 'Psychology', 'social sciences']</t>
  </si>
  <si>
    <t>Bachelor of Science in Information Management Admissions Talk 2019</t>
  </si>
  <si>
    <t>#HKUTalks #HKUScience 
The programme is professionally accredited by the Chartered Institute of Library and Information Professionals (CILIP), UK.  This programme, which builds on the strength and expertise in the information management area in the Faculty, targets the fastest growing sector of the modern economy, namely the information sector.</t>
  </si>
  <si>
    <t>Bachelor of Science in Applied Child Development Admissions Talk 2019</t>
  </si>
  <si>
    <t>#HKUTalks #HKUEducation #educators
The BSc (Applied Child Development) programme provides students with a strong foundation in the knowledge, skills and attitude required for working with a wide diversity of children and families. Students will gain insights into the theories of child development and acquire deep understanding of the interrelationships among theory, research, practice and policy. This multi-disciplinary programme prepares students for further studies and careers in the fields of early childhood education and related areas, and offers students opportunities for field experience and supervised research.</t>
  </si>
  <si>
    <t>Bachelor of Arts and Bachelor of Laws (Double Degree) Admissions Talk 2019 by Dr. Daniel Matthews</t>
  </si>
  <si>
    <t>#HKUTalks #HKULaw #lawyers
On completion of the five-year programme, students will be awarded both a Bachelor of Arts and a Bachelor of Laws. In addition to preparing students for legal practice, the programme cultivates an appreciation of the narrative dimensions and rhetoric of legal discourse and of the overlaps between literary and legal histories. The curriculum provides a solid foundation for legal practice as well as a wide variety of careers beyond the law, including journalism, media and communications, the arts and culture, and politics.
Professional Recognition:
To practise law in Hong Kong, LLB graduates must pass the Postgraduate Certificate in Laws (PCLL), a one-year full-time or two-year part-time course taught by the Faculty of Law at HKU or by other universities. Thereafter, prospective solicitors must spend two years as a trainee in a law firm, or in the Department of Justice, while prospective barristers must undertake 12 months of pupillage. Admission to the PCLL offered by the Faculty of Law is open to law graduates from the University and other approved universities and similar institutions in Hong Kong, also to holders of other recognised law qualifications acceptable to the PCLL providers who can demonstrate competence in the required core subjects. Admission is competitive: the selection criteria currently include the standard and origin of the applicant's first degree in law. The LLB degree has also been recognised by professional bodies and universities overseas. The Law Society of England accepts it for exemptions from Part 1 of the Common Professional Examination, and exemptions may also be granted from certain papers in Part 1 of the Bar Final Examinations in England. Law graduates of the University regularly go on to study for higher degrees at prestigious universities such as Oxford, Cambridge, Harvard, Yale, London and Stanford.</t>
  </si>
  <si>
    <t>Bachelor of Dental Surgery Facilities Tour (in Chinese) 2019</t>
  </si>
  <si>
    <t>#HKUTalks #HKUDentistry #dentists
The Bachelor of Dental Surgery (BDS) curriculum is outcomes- and competency-based and adopts a problem-based learning (PBL) approach in achieving this mission. This is Prince Philip Dental Hospital, where HKU dental students have their training programmes.</t>
  </si>
  <si>
    <t>Bachelor of Education in Early Childhood Education and Special Education Admissions Talk 2019</t>
  </si>
  <si>
    <t>Bachelor of Engineering Admissions Talk 2019</t>
  </si>
  <si>
    <t>#HKUTalks #HKUEngineering
Applicants can use one single code, 6963, to apply for any one of the following 7 BEng programmes*:
- Civil Engineering
- Computer Engineering
- Computer Science
- Electrical Engineering
- Electronic Engineering
- Industrial Engineering and Logistic Management
- Mechanical Engineering
Optional minor programmes and double-degree with Bachelor of Business Administration (BBA) are also offered for students to apply.</t>
  </si>
  <si>
    <t>['HKU', 'University of Hong Kong', 'ENGINEERING']</t>
  </si>
  <si>
    <t>Faculty of Science Young Scientist Scheme Student Sharing</t>
  </si>
  <si>
    <t>#HKUTalks #HKUScience #scientists
As a strong, research-oriented faculty, the Faculty of Science is committed to providing our students with the best science education and incubating future scientists. YSS provides outstanding students with ample early research experiences in 6901 BSc Programme.</t>
  </si>
  <si>
    <t>Bachelor of Arts &amp; Education in Language Education - Chinese (Double Degree) Admissions Talk 2019</t>
  </si>
  <si>
    <t>Bachelor of Arts and Sciences in Financial Technology Admissions Talk 2019</t>
  </si>
  <si>
    <t>#HKUTalks #HKUBASc #FinTech
The BASc(FinTech) degree is jointly offered by the Department of Computer Science, the Faculty of Engineering and the Faculty of Business and Economics. The objective of the programme is to nurture financial technologists and entrepreneurs with essential knowledge in both finance and technology for taking up a leading role in innovation and applications of Financial Technology. Being an inter-disciplinary effort, the programme combines subjects on computing, finance, and policies and regulations to give students a thorough grounding in the FinTech discipline.</t>
  </si>
  <si>
    <t>Bachelor of Arts and Sciences in Social Data Science Admissions Talk 2019</t>
  </si>
  <si>
    <t>#HKUTalks #HKUBASc #Data
The programme takes an interdisciplinary approach, integrating information science, computer science, mathematics, statistics, and social sciences to address social issues and societal challenges. By bringing together different disciplines from the Faculties of Education, Science, and Social Sciences, we are positioning the BASc(SDS) as a senior year entry programme for sub-degree holders. Social data science is an area having strong demand in the twenty-first century and it is expected to grow globally and locally across settings such as innovation, information technology, marketing, consulting, health care, financial services, government, NGOs, academia, retail and consumer services, gaming, and educationally-related settings.</t>
  </si>
  <si>
    <t>Law Student Sharing 2019</t>
  </si>
  <si>
    <t>#HKUTalks #HKULaw #lawyers
Listen to our student - Alex's story from the Faculty of Law!</t>
  </si>
  <si>
    <t>Engineering Student Sharing - Computer Science 2019</t>
  </si>
  <si>
    <t>#HKUTalks #HKUEngineering #engineers
Listen to our student -  Nguyen Huan Pham's story from the Faculty of Engineering!</t>
  </si>
  <si>
    <t>Bachelor of Business Administration ( Information Systems and Analytics major) Admissions Talk 2019</t>
  </si>
  <si>
    <t>#HKUTalks #HKUBusinessAdministration #BBAISA</t>
  </si>
  <si>
    <t>Bachelor of Business Administration (Major in Marketing) Admissions Talk 2019</t>
  </si>
  <si>
    <t>#HKUTalks #HKUBusiness Administration #Marketing
The BBA Marketing Major prepares students for careers in advertising, brand management, customer relationship management, and marketing management in multinational and local companies. A distinctive feature is its focus on active-learning and responsive decision-making. All graduating students are equipped with cutting-edge marketing knowledge that enables them to proactively explore opportunities in the rapidly changing, globalising marketplace.</t>
  </si>
  <si>
    <t>Bachelor of Business Administration (Human Resource Management) Admissions Talk 2019</t>
  </si>
  <si>
    <t>#HKUTalks #HKUBusinessAdmin #HR
The Human Resource Management Major trains students to manage human resources in both profit and non-profit organisations. The courses are designed to prepare students to become members of the Hong Kong Institute of Human Resource Management.</t>
  </si>
  <si>
    <t>Engineering Science Student Sharing 2019</t>
  </si>
  <si>
    <t>#HKUTalks #HKUEngineering #engineers
Listen to our student Lau Sum's story from Faculty of Engineering!</t>
  </si>
  <si>
    <t>['HKU', 'University of Hong Kong', 'HKUStudents']</t>
  </si>
  <si>
    <t>Bachelor of Arts (English Studies) Admissions Talk 2019</t>
  </si>
  <si>
    <t>#HKUTalks #HKUArts #EnglishTeacher
English Studies is the scholarly investigation of the English language and its many uses in social and historical contexts. It prominently includes the study of literature(s) written in English, as well as creative writing. Both the language and the literatures are studied from multiple perspectives, linguistic ones and literary ones, and also including critical and cultural theory. Our English Studies programme has a strong cross-cultural orientation, recognizing English as a language of global communication and world literature, a language which people make their own, creatively and habitually, all over the world.</t>
  </si>
  <si>
    <t>['HKU', 'University of Hong Kong', 'English studies', 'Shool of English']</t>
  </si>
  <si>
    <t>Faculty of Science- Direct Admissions Scheme Admissions Talk 2019</t>
  </si>
  <si>
    <t>#HKUTalks #HKUScience #Science
HKU Faculty of Science welcomes Associate Degree (AD) and Higher Diploma (HD) graduates who wish to further studies in science to apply admissions to the 3rd year of 4-year 6901 Bachelor of Science Programme via the Direct Admission Scheme. AD and HD students in the second year of study are also welcome to apply.
The Faculty offers quality science education with the emphasis of developing students' abilities to reason logically and quantitatively and to understand scientific aspects of many complex issues, which are greatly desirable in many professions.</t>
  </si>
  <si>
    <t>['HKU', 'University of Hong Kong', 'Cambridge', 'Dual Degree']</t>
  </si>
  <si>
    <t>Bachelor of Business Administration in Accounting and Finance Admissions Talk 2019</t>
  </si>
  <si>
    <t>#HKUTalks #HKUAccounting #accountants
The BBA(Acc&amp;Fin) programme prepares students for a professional qualification in accounting and provides the broad-based education necessary to progress towards a leadership role in the financial sector. Tailor-made professional preparation programmes and internship opportunities with renowned accounting firms and financial institutions are available for talented students.</t>
  </si>
  <si>
    <t>Lee Chi Hung Hall</t>
  </si>
  <si>
    <t>Lee Chi Hung Hall is the only co-educational non-residential hall in the University. It is located on the ground floor of the Chong Yuet Ming Amenities Centre with its many facilities. The Hall itself has a welcoming home atmosphere; it is equipped with a pantry, a television, computer workstations, books and video-tapes and a variety of board games. Above all, members share hall life by participating in the choir, joining or supporting the basketball, football and debate teams and other activities.</t>
  </si>
  <si>
    <t>['HKU', 'University of Hong Kong', 'halllife', 'hkuhalls']</t>
  </si>
  <si>
    <t>Shun Hing College</t>
  </si>
  <si>
    <t>Shun Hing College is one of the HKU residential colleges,  located at Jockey Club Student Village III , Kenndy Town. For more information about Shun Hing College, please check: http://www.shunhingcollege.hku.hk/</t>
  </si>
  <si>
    <t>['HKU', 'University of Hong Kong', 'residential college', 'Shun Hing College']</t>
  </si>
  <si>
    <t>Bachelor of Dental Surgery Facilities Tour (in English) 2019</t>
  </si>
  <si>
    <t>['HKU', 'University of Hong Kong', 'HKUDent', 'Dentistry', 'Dental Surgery']</t>
  </si>
  <si>
    <t>Bachelor of Finance in Asset Management and Private Banking [BFin(AMPB)] Programme highlights</t>
  </si>
  <si>
    <t>The Bachelor of Finance in Asset Management and Private Banking (BFin(AMPB)) programme is the first undergraduate programme of its kind in Hong Kong and Asia.  The Programme aims to prepare students to enter the rapidly growing fields of asset management and private banking in Hong Kong and Asia Pacific.
During the first two years, students complete introductory courses in accounting, economics, mathematics, statistics, corporate finance, and investment and portfolio analysis.  In subsequent years, students take more specified courses related to the asset management and private banking sectors including equity valuation, investment management, lending and credit, financial regulations and compliance.
The practical and career-oriented curriculum of the BFin(AMPB) programme provides our students with the necessary knowledge and skills for careers in asset management and private banking.  Practical-oriented courses taught by teachers with solid experience in AMPB industry will be offered to BFin(AMPB) students, including a final-year capstone course requiring students to apply their knowledge to real world situations by conducting analyses and managing a portfolio based on investment guidelines and risk policies of institutional or high net-worth clients.
BFin(AMPB) students will be given opportunities to apply for different enrichment activities specific to their studies, including overseas exchange study and industry-sponsored internships in either Year 2 or 3.  Frequent networking activities with market practitioners are available, e.g. mentorship programme, coffee chat and round table talks, career seminars by professional bodies, and thematic visits to AMPB firms.
#HKU #AMPB #PrivateBanking #BFIN #FBE
Programme website: https://www.fbe.hku.hk/ug/programmes/bfin-ampb</t>
  </si>
  <si>
    <t>The University of Hong Kong - Asia's Global University</t>
  </si>
  <si>
    <t>the University of Hong Kong (HKU) campus tour</t>
  </si>
  <si>
    <t>Let our student ambassador Heidi and Simon be your virtual guide! They will take you through the University's most famous buildings and landmarks, and share their tips on having fun at HKU. The tour won't take long, but you will see the best parts of HKU for sure!
HKU Admissions: https://aal.hku.hk/admissions/
Admissions information for DSE students: http://www.hku.hk/dse
Admissions information for international students: http://www.hku.hk/international</t>
  </si>
  <si>
    <t>['HKU', 'University of Hong Kong', 'campus tour', 'hku campus']</t>
  </si>
  <si>
    <t>Academy for the Talented - Decacorn 2018</t>
  </si>
  <si>
    <t>Decacorn Entrepreneurship Bootcamp is an intensive 4-day programme which brings together young and talented minds from all over the world to solve problems through innovation and business. You will get to visit real-world businesses and learn about how do they run. Leading business professionals and entrepreneurs will also mentor and guide you to innovate, all the way from design thinking for creating business ideas, skills in finding the market and developing the product, financial management, to presentation skills. 
The bootcamp not only gives you a taste of building a startup but also provides a platform for you to compete, share knowledge and exchange ideas with like-minded students of diverse backgrounds.</t>
  </si>
  <si>
    <t>Academy for the Talented - STEM education 2018</t>
  </si>
  <si>
    <t>Welcome all the talented to HKU!</t>
  </si>
  <si>
    <t>HKU | BASc(FinTech)</t>
  </si>
  <si>
    <t>The BASc(FinTech) degree is designed to nurture financial technologists and entrepreneurs with essential knowledge in both finance and technology, so they can take leading roles in innovation and applications of financial technology.</t>
  </si>
  <si>
    <t>Ties with HKU | Dr. Pamela Lee</t>
  </si>
  <si>
    <t>Ties with HKU | Marcus Yuen</t>
  </si>
  <si>
    <t>Ties with HKU | Jessica Liu</t>
  </si>
  <si>
    <t>For more information, please visit www.hku.hk/international</t>
  </si>
  <si>
    <t>HKU | BASc(SDS)</t>
  </si>
  <si>
    <t>The BASc(SDS) degree addresses our rapidly changing, data driven society, where economic, political and technological factors are interconnected.</t>
  </si>
  <si>
    <t>HKU | BASc</t>
  </si>
  <si>
    <t>The BASc is designed for intellectually ambitious students who want to take control of their learning and develop a broad set of scholarly skills in order to become leaders across a diverse range of fields to tackle important global challenges.</t>
  </si>
  <si>
    <t>HKU | BASc(AppliedAI)</t>
  </si>
  <si>
    <t>The BASc(AppliedAI) programme emphasises the intellectual underpinning of AI applications in diverse areas, with a philosophical and ethical dimension. It aims to give students both fundamental and practical knowledge in the design and construction of intelligent systems so that they can apply their skills in a variety of career settings.</t>
  </si>
  <si>
    <t>HKU | BASc(Design+)</t>
  </si>
  <si>
    <t>The BASc(Design+) is aimed at nurturing highly effective, adaptive and creative graduates who can lead across multiple disciplinary subjects, and who will become known globally for their distinctive qualities of creativity, analytical ability, critical thinking and innovative problem-solving.</t>
  </si>
  <si>
    <t>HKU | BASc(GHD)</t>
  </si>
  <si>
    <t>HKU | BASc Programmes</t>
  </si>
  <si>
    <t>The new Bachelor of Arts &amp; Sciences (BASc) degree programmes are interdisciplinary and involve all ten faculties. 
The BASc programmes are aimed at nurturing globally-minded thinkers and leaders able to leverage their interdisciplinary knowledge and skills to address the contemporary and future challenges of our increasingly complex world.
There are five BASc programmes and one BASc programme for senior year students.</t>
  </si>
  <si>
    <t>Academy for the Talented | International Symposium on STEM Education 2017</t>
  </si>
  <si>
    <t>['HKU', 'University of Hong Kong', 'STEM']</t>
  </si>
  <si>
    <t>How to respond to your HKU offer</t>
  </si>
  <si>
    <t>['HKU', 'University of Hong Kong', 'HKU Admissions', 'Undergraduate Admissions', 'University admissions', 'Undergraduate']</t>
  </si>
  <si>
    <t>How IB curriculum helps students fit into HKU perfectly</t>
  </si>
  <si>
    <t>Every year HKU admits a lot of excellent IB students, and all of them exceed exceptionally in HKU. Check out this video on how the IB curriculum has helped these students fit into HKU perfectly and what opportunities HKU has to offer including studies abroad, dual degrees and internationalization!
Video produced by ITN Productions 
#IBbetterworld</t>
  </si>
  <si>
    <t>['HKU', 'University of Hong Kong', 'IB']</t>
  </si>
  <si>
    <t>The Way of the Sports Scholar</t>
  </si>
  <si>
    <t>Get to know our outstanding sports scholars
Video credit: HKU U-Vision 
uvision.hku.hk</t>
  </si>
  <si>
    <t>June Webinar Non Academic highlights</t>
  </si>
  <si>
    <t>Long Service Awards 2017</t>
  </si>
  <si>
    <t>Video credit: HKU U-Vision 
uvision.hku.hk</t>
  </si>
  <si>
    <t>Begin with us at HKU</t>
  </si>
  <si>
    <t>Enjoy your journey here
Video credit: HKU U-Vision 
uvision.hku.hk</t>
  </si>
  <si>
    <t>May Webinar record Academic Highlights</t>
  </si>
  <si>
    <t>Happy Tuen Ng Festival</t>
  </si>
  <si>
    <t>['HKU', 'University of Hong Kong', 'Dragon Boat Festival', 'Tuen Ng Festival']</t>
  </si>
  <si>
    <t>2017 March Webinar   Hall of Residences</t>
  </si>
  <si>
    <t>Introduction of HKU Hall of Residences</t>
  </si>
  <si>
    <t>['HKU', 'University of Hong Kong', 'student life', 'hall']</t>
  </si>
  <si>
    <t>Ways to enjoy your Easter</t>
  </si>
  <si>
    <t>Have festive fun, reflect, recharge, roam and discover!
Video credit: HKU U-Vision 
uvision.hku.hk</t>
  </si>
  <si>
    <t>The 197th Congregation video highlights</t>
  </si>
  <si>
    <t>The University's 197th Congregation was held on March 14 at Loke Yew Hall this year, at which the Pro-Chancellor of the University, Dr the Honourable Sir David Li conferred honorary degrees upon Dr Anna LOK Suk Fong, Dr BOW Sui May, and Dr LI Dak Sum.
Video credit: HKU U-Vision 
uvision.hku.hk</t>
  </si>
  <si>
    <t>2017 HKU&amp;U Mar Webinar - Familiarizing yourself with HK &amp; HKU</t>
  </si>
  <si>
    <t>his month we have complied some useful information about Hong Kong and HKU, such as accommodation, food options and health care on campus!</t>
  </si>
  <si>
    <t>['HKU', 'University of Hong Kong', 'familiarizing', 'Campus', 'HKU Accommodation', 'HKU Foods']</t>
  </si>
  <si>
    <t>['HKU', 'University of Hong Kong', 'VR360', 'VR', 'Campus Tour', 'HKU Campus', '360 video']</t>
  </si>
  <si>
    <t>Welcome to the Tunnel of Love</t>
  </si>
  <si>
    <t>Happy Valentine's Day
Video credit: HKU U-Vision 
uvision.hku.hk</t>
  </si>
  <si>
    <t>['HKU', 'University of Hong Kong', "Happy Valentine's Day"]</t>
  </si>
  <si>
    <t>Get to know CEDARS-CoPE</t>
  </si>
  <si>
    <t>['HKU', 'University of Hong Kong', 'CEDARS']</t>
  </si>
  <si>
    <t>Wishing you a happy and prosperous Chinese New Year!</t>
  </si>
  <si>
    <t>Getting ready for the Year of the Rooster! Prepare to send some wishes of auspiciousness and goodwill to your family and with our Chinese New Year e-card centre: http://uv.hku.hk/cny
Video credit: HKU U-Vision 
uvision.hku.hk</t>
  </si>
  <si>
    <t>['HKU', 'University of Hong Kong', 'Year of the Rooster', 'Chinese New Year']</t>
  </si>
  <si>
    <t>Young Scientist Scheme by Faculty of Science</t>
  </si>
  <si>
    <t>As a strong, research-oriented faculty, the Faculty of Science at HKU is committed to providing our students with the best science education and incubating future scientists.  YSS provides outstanding students with ample early research experiences in 6901 BSc Programme.
Learn more at: http://www.scifac.hku.hk/ug/prospective-student/6901/yss</t>
  </si>
  <si>
    <t>['HKU', 'University of Hong Kong', 'BSc', 'JS6901', 'Faculty of Science', 'Young Scientist Scheme', 'Science', 'Undergraduate', 'Research', 'Exchange', 'Scholarship']</t>
  </si>
  <si>
    <t>HKU Season's Greetings 2016</t>
  </si>
  <si>
    <t>May your journeys be filled with discoveries and joy.
#SeasonsGreetings</t>
  </si>
  <si>
    <t>['HKU', 'University of Hong Kong', "Season's Greetings", 'Christmas', '2016']</t>
  </si>
  <si>
    <t>Croucher Research Awards 2017-18</t>
  </si>
  <si>
    <t>Honouring four distinguished HKU scholars
Video credit: HKU U-Vision 
uvision.hku.hk</t>
  </si>
  <si>
    <t>Congratulations to Joshua Bolchover &amp; John Lin</t>
  </si>
  <si>
    <t>Recipients of the RIBA Award for International Excellence and RIBA International Emerging Architect for their Andong Hospital project in Baojing County, China.
Video credit: HKU U-Vision 
uvision.hku.hk</t>
  </si>
  <si>
    <t>HKU's Got Talent!</t>
  </si>
  <si>
    <t>This video was first debuted on stage at the Opening Ceremony of HKU Information Day for Undergraduate Admissions 2016.</t>
  </si>
  <si>
    <t>['HKU', 'University of Hong Kong', 'Talent']</t>
  </si>
  <si>
    <t>Congratulations to Professor Ron Hui</t>
  </si>
  <si>
    <t>Congratulations to Professor Ron Hui on being elected Fellow of the Royal Academy of Engineering!
Video credit: HKU U-Vision 
uvision.hku.hk</t>
  </si>
  <si>
    <t>What's on your mind?</t>
  </si>
  <si>
    <t>Happy Mid-Autumn Festival!
Video credit: HKU U-Vision 
uvision.hku.hk</t>
  </si>
  <si>
    <t>['HKU', 'University of Hong Kong', 'Mid-autumn Festival']</t>
  </si>
  <si>
    <t>Saint Teresa, Doctor of Social Sciences, honoris causa</t>
  </si>
  <si>
    <t>Before she was awarded sainthood in 2016, Mother Teresa was conferred the degree of Doctor of Social Sciences, honoris causa by HKU in 1993, in a ceremony held at Hong Kong City Hall.</t>
  </si>
  <si>
    <t>['HKU', 'University of Hong Kong', 'Saint Teresa', 'Mother Teresa']</t>
  </si>
  <si>
    <t>Inauguration Ceremony 2016 Highlights</t>
  </si>
  <si>
    <t>Highlights of the Architecture Degree Show 2016</t>
  </si>
  <si>
    <t>['HKU', 'University of Hong Kong', 'Architecture']</t>
  </si>
  <si>
    <t>Delonix regia @HKU</t>
  </si>
  <si>
    <t>Happy Dragon Boat Festival</t>
  </si>
  <si>
    <t>A time to celebrate and to reflect on history, culture and values
Video credit: HKU U-Vision 
uvision.hku.hk</t>
  </si>
  <si>
    <t>With love and respect, you will be in our hearts.
Video credit: HKU U-Vision 
uvision.hku.hk</t>
  </si>
  <si>
    <t>Croucher Senior Research Fellowships and Innovation Awards 2016</t>
  </si>
  <si>
    <t>The 13th Vice-Chancellor's Cup Highlight</t>
  </si>
  <si>
    <t>Happy Easter!</t>
  </si>
  <si>
    <t>Congratulations to the Faculty of Dentistry</t>
  </si>
  <si>
    <t>The Faculty of Dentistry at the University of Hong Kong is ranked as the best dental school in the world by the latest QS World Universities Rankings by Subject 2016
http://hku.hk/press/news_detail_14311.html
Video credit: HKU U-Vision 
uvision.hku.hk</t>
  </si>
  <si>
    <t>HKU Information Day 2015 JUPAS Admissions Talk Highlights</t>
  </si>
  <si>
    <t>['HKU', 'University of Hong Kong', 'JUPAS', 'Infoday', 'Admissions Talk']</t>
  </si>
  <si>
    <t>Congratulations to Professor So</t>
  </si>
  <si>
    <t>Congratulations to Professor So on being named a Fellow of the National Academy of Inventors
Video credit: HKU U-Vision 
uvision.hku.hk</t>
  </si>
  <si>
    <t>All Aboard the HKU Express</t>
  </si>
  <si>
    <t>Season's Greetings from HKU to the World</t>
  </si>
  <si>
    <t>Congratulations to Professor Mok</t>
  </si>
  <si>
    <t>on being elected as a Member of the Chinese Academy of Sciences
Video credit: HKU U-Vision 
uvision.hku.hk</t>
  </si>
  <si>
    <t>HKU - Creating a Healthier World</t>
  </si>
  <si>
    <t>Congratulations to Professor Vivian Yam on being elected Foreign Member of Academia Europaea</t>
  </si>
  <si>
    <t>Happy Halloween</t>
  </si>
  <si>
    <t>Faces of the Future - COMMUNITY SPIRIT (Mandarin)</t>
  </si>
  <si>
    <t>Faces of the Future - CAMPUS LIFE (Mandarin)</t>
  </si>
  <si>
    <t>Faces of the Future - LEARNING AT HKU (Cantonese)</t>
  </si>
  <si>
    <t>Faces of the Future - CAMPUS LIFE (Cantonese)</t>
  </si>
  <si>
    <t>Faces of the Future - LEARNING AT HKU (English)</t>
  </si>
  <si>
    <t>Faces of the Future - COMMUNITY SPIRIT (Cantonese)</t>
  </si>
  <si>
    <t>Faces of the Future - COMMUNITY SPIRIT (English)</t>
  </si>
  <si>
    <t>Faces of the Future - LEARNING AT HKU (Mandarin)</t>
  </si>
  <si>
    <t>Faces of the Future - MAKING A DIFFERENCE (Cantonese)</t>
  </si>
  <si>
    <t>Faces of the Future - MAKING A DIFFERENCE (Mandarin)</t>
  </si>
  <si>
    <t>Faces of the Future - CAMPUS LIFE (English)</t>
  </si>
  <si>
    <t>Faces of the Future - MAKING A DIFFERENCE (English)</t>
  </si>
  <si>
    <t>Faces of the Future - HISTORY (English)</t>
  </si>
  <si>
    <t>Faces of the Future - HISTORY (Cantonese)</t>
  </si>
  <si>
    <t>Faces of the Future - HISTORY (Mandarin)</t>
  </si>
  <si>
    <t>Faces of the Future - OPENING (Mandarin)</t>
  </si>
  <si>
    <t>Faces of the Future - OPENING (Cantonese)</t>
  </si>
  <si>
    <t>HKU Mobile App v1.6</t>
  </si>
  <si>
    <t>Do you have the HKU Mobile App yet? Download this updated version of the app today!
Video credit: HKU U-Vision 
uvision.hku.hk</t>
  </si>
  <si>
    <t>My first year at HKU &amp; Yale by Wendy Yang</t>
  </si>
  <si>
    <t>Wendy Yang is in her 1st year of MBBS at HKU and she's currently at Yale for the summer. Check out what she's been up to!</t>
  </si>
  <si>
    <t>['HKU', 'University of Hong Kong', 'Duanwu Festival (Holiday)', 'Dragon Boat (Ship Type)']</t>
  </si>
  <si>
    <t>Professor Lap-Chee Tsui</t>
  </si>
  <si>
    <t>CASE Asia-Pacific Leadership Awardee
Video credit: HKU U-Vision 
uvision.hku.hk</t>
  </si>
  <si>
    <t>Congratulations to Professor Vivian Yam on receiving Ludwig Mond Award 2015</t>
  </si>
  <si>
    <t>Congratulations to Professor Vivian Yam on receiving Ludwig Mond Award 2015 from the Royal Society of Chemistry</t>
  </si>
  <si>
    <t>HeForShe at HKU</t>
  </si>
  <si>
    <t>Have you made the commitment to support gender equality yet? We have.
Video credit: HKU U-Vision 
uvision.hku.hk</t>
  </si>
  <si>
    <t>['HKU', 'University of Hong Kong', 'HeForShe', 'HeForSheHKU', 'The University Of Hong Kong (College/University)', 'Gender Equality (Literature Subject)']</t>
  </si>
  <si>
    <t>In loving memory of Dr Rayson Huang (1920 - 2015)</t>
  </si>
  <si>
    <t>We are deeply saddened by the news of the passing of Dr Rayson Huang, our 10th Vice-Chancellor. Dr Huang made great contributions to Hong Kong, in academic, social and political arenas alike. He will be greatly missed by the University and many members of the public, and we send our deepest condolences to his family.
Video credit: HKU U-Vision 
uvision.hku.hk</t>
  </si>
  <si>
    <t>['HKU', 'University of Hong Kong', 'Rayson Huang']</t>
  </si>
  <si>
    <t>Gatherland @ HKU</t>
  </si>
  <si>
    <t>['HKU', 'University of Hong Kong', 'General Education', 'GenEd', 'The University Of Hong Kong (College/University)']</t>
  </si>
  <si>
    <t>HeForShe - Launch of HKU's Commitment</t>
  </si>
  <si>
    <t>Join us April 10 for UN's HeForShe initiative @HKU
Video credit: HKU U-Vision 
uvision.hku.hk</t>
  </si>
  <si>
    <t>['HKU', 'University of Hong Kong', 'HeForSheHKU', 'HeForShe', 'The University Of Hong Kong (College/University)']</t>
  </si>
  <si>
    <t>Happy Easter!
Video credit: HKU U-Vision 
uvision.hku.hk</t>
  </si>
  <si>
    <t>Remembering Dr Lee Kuan Yew, Doctor of Laws honoris causa</t>
  </si>
  <si>
    <t>http://uvision.hku.hk/uvweb/email/150323_RememberingDrLeeKuanYew.html
Pay Tribute to Dr. Lee Kuan Yew: http://uvision.hku.hk/playvideo.php?mid=19090
Video credit: HKU U-Vision 
uvision.hku.hk</t>
  </si>
  <si>
    <t>['HKU', 'University of Hong Kong', 'Lee Kuan Yew (Politician)']</t>
  </si>
  <si>
    <t>Long Service Awards 2015</t>
  </si>
  <si>
    <t>In Memory of Dr. Esther M.K. Cheung</t>
  </si>
  <si>
    <t>['HKU', 'University of Hong Kong', 'Chinese New Year (Holiday)', 'Year of the Goat']</t>
  </si>
  <si>
    <t>Love U-Vision\</t>
  </si>
  <si>
    <t>Celebrate Your Valentine
Video credit: HKU U-Vision 
uvision.hku.hk</t>
  </si>
  <si>
    <t>Highlights of "What Defines a Global University?"</t>
  </si>
  <si>
    <t>A Public Lecture by Professor Sir Eric Thomas
Full Lecture: http://uvision.hku.hk/playvideo.php?mid=18950
Video credit: HKU U-Vision 
uvision.hku.hk</t>
  </si>
  <si>
    <t>Dream Catching @ HKU</t>
  </si>
  <si>
    <t>HKU Mobile App v1.5 AVAILABLE NOW!</t>
  </si>
  <si>
    <t>Highlights of the 192nd Congregation</t>
  </si>
  <si>
    <t>Congratulations to the Class of 2014!
Video credit: HKU U-Vision 
uvision.hku.hk</t>
  </si>
  <si>
    <t>['HKU', 'University of Hong Kong', 'Class of 2014', 'Congregation']</t>
  </si>
  <si>
    <t>Getting from the HKU Station to the Campus</t>
  </si>
  <si>
    <t>['HKU', 'University of Hong Kong', 'MTR Corporation (Business Operation)', 'HKU Station']</t>
  </si>
  <si>
    <t>Acts of Kindness: Goodwill to All</t>
  </si>
  <si>
    <t>Spread a little love this holiday season. You never know who you might influence.
Video credit: HKU U-Vision 
uvision.hku.hk</t>
  </si>
  <si>
    <t>['HKU', 'University of Hong Kong', "season's greetings", 'festive']</t>
  </si>
  <si>
    <t>192nd Congregation</t>
  </si>
  <si>
    <t>Congratulations to Class of 2014!
This marks the completion of the 192nd Congregation ceremonies.
Video credit: HKU U-Vision 
uvision.hku.hk</t>
  </si>
  <si>
    <t>Congratulations to the Master of Urban Planning students and staff</t>
  </si>
  <si>
    <t>Congratulations to the Master of Urban Planning students and staff on winning the 1st Prize of Kai Tak Fantasy Urban Design Competition
Video credit: HKU U-Vision 
uvision.hku.hk</t>
  </si>
  <si>
    <t>The University of Hong Kong - Information Day 2014</t>
  </si>
  <si>
    <t>Check out the highlights of InfoDay 2014!
Video credit: HKU U-Vision 
uvision.hku.hk</t>
  </si>
  <si>
    <t>Campus Afterlife</t>
  </si>
  <si>
    <t>Breathe! It's Halloween!
Video credit: HKU U-Vision 
uvision.hku.hk</t>
  </si>
  <si>
    <t>Academic Dress for Graduation (Gentlemen Version)</t>
  </si>
  <si>
    <t>Academic Dress for Graduation
Gentlemen, here's the best way to wear your gowns
Video credit: HKU U-Vision 
uvision.hku.hk</t>
  </si>
  <si>
    <t>Academic Dress for Graduation (Ladies Version)</t>
  </si>
  <si>
    <t>Academic Dress for Graduation
Ladies, here's the best way to wear your gowns
Video credit: HKU U-Vision 
uvision.hku.hk</t>
  </si>
  <si>
    <t>Congratulations to John Lin &amp; Oliver Ottevaere</t>
  </si>
  <si>
    <t>Congratulations to John Lin &amp; Oliver Ottevaere on winning World Small Project of the Year 2014 for "The Pinch"
Video credit: HKU U-Vision 
uvision.hku.hk</t>
  </si>
  <si>
    <t>Congratulations to Hayley Chan</t>
  </si>
  <si>
    <t>Congratulations to Hayley Chan on receiving 2014 Asian Games Gold Medal in Women's RS:X Windsurfing
Video credit: HKU U-Vision 
uvision.hku.hk</t>
  </si>
  <si>
    <t>U-Vision Showreel 2013-14</t>
  </si>
  <si>
    <t>Faces of the Future</t>
  </si>
  <si>
    <t>Together at HKU, we're looking forward, getting ready to become the leaders of tomorrow. How? Let these inspiring Faces of the Future show you.
Video Credit: HKU U-Vision
uvision.hku.hk</t>
  </si>
  <si>
    <t>Congratulations to Mr. John Lin</t>
  </si>
  <si>
    <t>Mr. John Lin has been honoured with the 2014 UGC Teaching Award
Video credit: HKU U-Vision 
uvision.hku.hk</t>
  </si>
  <si>
    <t>Congratulations to Dr. Alexandra Cook</t>
  </si>
  <si>
    <t>Congratulations to Dr. Alexandra Cook on receiving the prestigious John Thackray Medal of the Society for the History of Natural History 2013
Video credit: HKU U-Vision 
uvision.hku.hk</t>
  </si>
  <si>
    <t>Faces of the Future - OPENING (English)</t>
  </si>
  <si>
    <t>Welcome back to school! Take a look at these faces of the future!
Video credit: HKU U-Vision 
uvision.hku.hk</t>
  </si>
  <si>
    <t>HKUx Epidemics Preview 1: Origin of Infectious Diseases</t>
  </si>
  <si>
    <t xml:space="preserve">Experience HKU Courses wherever, whenever you want! 
[HKUx Epidemics]
HKU's First Free MOOC (Massive Open Online Course) on edX
Explore the science, prevention and control of epidemics.
What do food production, international travel, exotic animals, used tires, industrial air conditioning have in common when it comes to epidemics?
[More about edX]
It is a non-profit online education platform founded by the Massachusetts Institute of Technology (MIT) and Harvard University. The interactive MOOCs offered are designed and taught by world-renowned professors at the University, built around self-paced video lectures, online discussion groups and assessment exercises. 
Registration is open to all, with no prerequisites.
HKUX Blog: http://tl.hku.hk/hkuxblog/
To register: https://www.edx.org/course/hkux/hkux-hku01x-epidemics-1778
</t>
  </si>
  <si>
    <t>['HKU', 'University of Hong Kong', 'HKUx', 'edX', 'MOOC', 'MOOCs', 'hong kong', 'epidemics', 'online course', 'science', 'Health (Industry)', 'Infection (Disease Or Medical Condition)', 'Epidemic (Cause Of Death)']</t>
  </si>
  <si>
    <t>HKU Mobile App v1.4</t>
  </si>
  <si>
    <t>Download it NOW!
Video credit: HKU U-Vision 
uvision.hku.hk</t>
  </si>
  <si>
    <t>['HKU', 'University of Hong Kong', 'The University Of Hong Kong (College/University)']</t>
  </si>
  <si>
    <t>Crimson Summer Exchange 2014 Hong Kong: Highlights</t>
  </si>
  <si>
    <t xml:space="preserve">
What an amazing summer experience! 
This year's HKU Crimson Summer Exchange (CSE) had Fellows from Cambridge, Columbia, Harvard, Oxford, Princeton and Stanford. They had spent the summer together with HKU Co-Fellows at four sites: Hong Kong, Beijing, Shanghai and Hangzhou, and they delivered wonderful lessons for secondary school students from Hong Kong, Mainland China and overseas.
More about Crimson Summer Exchange:
http://cse.cccef.org.hk
http://fb.me/crimsonsummerexchange
(Background music: Requiem for a Fish" by The Freak Fandango Orchestra)</t>
  </si>
  <si>
    <t>['HKU', 'University of Hong Kong', 'hong kong university', 'crimson summer exchange', 'cse', 'hong kong', 'summer programme']</t>
  </si>
  <si>
    <t>Congratulations to Professor Ron Hui on receiving the 2015 IEEE William E. Newell Power Electronics Award from IEEE
More details:
http://www.hku.hk/press/press-releases/detail/11496.html
Video credit: HKU U-Vision 
uvision.hku.hk</t>
  </si>
  <si>
    <t>U-Vision will live broadcast Inauguration Ceremony 2014</t>
  </si>
  <si>
    <t>Stay tuned!
Video credit: HKU U-Vision 
uvision.hku.hk</t>
  </si>
  <si>
    <t>Congratulations to Dr Yao Wang</t>
  </si>
  <si>
    <t>Congratulations to Dr Yao Wang on receiving 2014 Achievement in Asia Award from International Organization of Chinese Physicists and Astronomers
More details:
http://www.hku.hk/press/news_detail_11489.html
Video credit: HKU U-Vision 
uvision.hku.hk</t>
  </si>
  <si>
    <t>HKU Students Experiences</t>
  </si>
  <si>
    <t>What is it like to be an HKU student?
Hear stories from our current students to find out the highlight of their experience in HKU and be inspired!
- To apply for undergraduate admissions, go to www.hku.hk/admissions
- To read more about HKU students life experiences, check out hKUDOS www.hku.hk/hkudos</t>
  </si>
  <si>
    <t>['HKU', 'University of Hong Kong', 'Student (Fictional Job Title)', 'Hong Kong (Country)', 'Education (TV Genre)', 'Undergraduate Degree (Degree)', 'The University Of Hong Kong (College/University)']</t>
  </si>
  <si>
    <t>Congratulations to Prof Chi-yung Jim</t>
  </si>
  <si>
    <t>Congratulations to Prof. Chi-yung Jim on receiving the 2014 L.C. Chadwick Award for Arboriculture Research from the International Society of Arboriculture.
Video credit: HKU U-Vision
uvision.hku.hk</t>
  </si>
  <si>
    <t>['HKU', 'University of Hong Kong', 'Li Ka Shing Faculty of Medicine', 'DSE', 'Admissions']</t>
  </si>
  <si>
    <t>"Bulletin" university magazine - May 2014 issue</t>
  </si>
  <si>
    <t xml:space="preserve">Video credit: HKU U-Vision 
uvision.hku.hk </t>
  </si>
  <si>
    <t>Did you know: What is the Vice-Chancellor's Cup? And how did it start?</t>
  </si>
  <si>
    <t>['HKU', 'University of Hong Kong', 'Chinese University Of Hong Kong (Organization)', 'The University Of Hong Kong (Organization)']</t>
  </si>
  <si>
    <t>15th President &amp; Vice-Chancellor</t>
  </si>
  <si>
    <t>A welcome message from President &amp; Vice-Chancellor, Professor Peter Mathieson
Video credit: HKU U-Vision 
uvision.hku.hk</t>
  </si>
  <si>
    <t>['HKU', 'University of Hong Kong', 'The University Of Hong Kong (Organization)', 'Peter Mathieson']</t>
  </si>
  <si>
    <t>Long Service Awards (Term I) 2014</t>
  </si>
  <si>
    <t>The Vision of a Scientist: Professor Vivian Yam</t>
  </si>
  <si>
    <t>Vivian Wing-Wah YAM, Chair Professor
Philip Wong Wilson Wong Professor in Chemistry and Energy
B.Sc., Ph.D. (HK); 
Member of Chinese Academy of Sciences (China); 
Foreign Associate of National Academy of Sciences (USA);
Fellow of TWAS, The Academy of Sciences for the Developing World; 
CSci, CChem, FRSC
Video Credit: HKU U-Vision
uvision.hku.hk</t>
  </si>
  <si>
    <t>['HKU', 'University of Hong Kong', 'Scientist', 'Professor (Occupation)', 'vivian yam']</t>
  </si>
  <si>
    <t>Success in Sports and Scholarship: HKU's Hayley CHAN</t>
  </si>
  <si>
    <t>Video Credit: HKU U-Vision
uvision.hku.hk</t>
  </si>
  <si>
    <t>['Hayley Chan', 'HKU', 'University of Hong Kong', 'Sports', 'Hong Kong Sports', 'Sports Scholarship']</t>
  </si>
  <si>
    <t>190th Congregation: Zen Master Thich Nhat Hanh at Plum Village, France</t>
  </si>
  <si>
    <t>We met with the Zen Master Thich Nhat Hanh at the Plum Village in Bordeaux, France, as our university awarded him with the degree of Doctor of Social Sciences (honoris causa) for his amazing contributions to humanity and world peace.
Video credit: HKU U-Vision 
uvision.hku.hk</t>
  </si>
  <si>
    <t>Welcome to HKU (Chinese)</t>
  </si>
  <si>
    <t>Video credit: HKU U-Vision
uvision.hku.hk</t>
  </si>
  <si>
    <t>Welcome to HKU (English)</t>
  </si>
  <si>
    <t>U-Vision: A Look Back</t>
  </si>
  <si>
    <t>U-Vision with Love</t>
  </si>
  <si>
    <t>Wishing you a superb and successful Year of the Horse!</t>
  </si>
  <si>
    <t>HKU Mobile App v1.3</t>
  </si>
  <si>
    <t>Get the HKU Mobile App with new features!!!
http://uvision.hku.hk/portal/video.php?video_id=15248
Video credit: HKU U-Vision
uvision.hku.hk</t>
  </si>
  <si>
    <t>HKU's IB World Student Conference 2013</t>
  </si>
  <si>
    <t>In August 2013, HKU hosted Asia's first IB World Student Conference, bringing 150 IB students from around the world to Hong Kong to develop their CAS initiatives on the theme of 'iResponsibility: Explore How We Engage in the Online World'. The university invited academics, industry experts, young professionals and IB educators to engage with the students on these themes to inspire them to create their own ideas and projects for effecting palpable change in the world through responsible use of online tools.
Music courtesy of Dan-O at http://danosongs.com.</t>
  </si>
  <si>
    <t>['HKU', 'University of Hong Kong', 'IB', 'International Baccalaureate (Organization)', 'CAS', 'Conference', 'Hong Kong', 'High School (Degree)', 'Students', 'The University Of Hong Kong (Organization)']</t>
  </si>
  <si>
    <t>HKU Season's Greetings 2013</t>
  </si>
  <si>
    <t>Wishing you a warm &amp; magical festive season.
Video credit: HKU U-Vision 
uvision.hku.hk</t>
  </si>
  <si>
    <t>['HKU', 'University of Hong Kong', 'Christmas', 'The University Of Hong Kong (Organization)', 'Merry Christmas', 'Holiday']</t>
  </si>
  <si>
    <t>Congratulations to Prof. Frederick Leung</t>
  </si>
  <si>
    <t>Prof. Frederick Leung awarded The Hans Freudenthal Medal for a major cumulative programme of research
Video credit: HKU U-Vision 
uvision.hku.hk</t>
  </si>
  <si>
    <t>Words of Inspiration: The happiest people...</t>
  </si>
  <si>
    <t>U-Vision will live broadcast Info Day's Opening Ceremony. Stay tuned!</t>
  </si>
  <si>
    <t>['HKU', 'University of Hong Kong', 'The University Of Hong Kong (Organization)']</t>
  </si>
  <si>
    <t>Congratulations to Professor Guan Yi</t>
  </si>
  <si>
    <t>Congratulations to Professor Guan Yi on being awarded the Scientific and Technological Progress prize
Video credit: HKU U-Vision 
uvision.hku.hk</t>
  </si>
  <si>
    <t>Where the Past is Always Present - Happy Halloween</t>
  </si>
  <si>
    <t>['HKU', 'University of Hong Kong', 'Halloween (Holiday)', 'The University Of Hong Kong (Organization)']</t>
  </si>
  <si>
    <t>Where You Can Be Unique - Happy Halloween</t>
  </si>
  <si>
    <t>Congratulations to Professor Sun Kwok</t>
  </si>
  <si>
    <t>Congratulations to Professor Sun Kwok on receiving Outstanding Achievement Award from the University of Minnesota
Video credit: HKU U-Vision 
uvision.hku.hk</t>
  </si>
  <si>
    <t>Sandro Botticelli's "Venus" Exhibition</t>
  </si>
  <si>
    <t>What Does Loyalty Look Like? - Mr. Peter Lee</t>
  </si>
  <si>
    <t>What Does Loyalty Look Like? - Dr. W.C. Yam</t>
  </si>
  <si>
    <t>What Does Loyalty Look Like? - Prof. C.L. Lai</t>
  </si>
  <si>
    <t>What Does Commitment Look Like? - Ms. Margaret Chung</t>
  </si>
  <si>
    <t>Congratulations to Professor Ying CHAN on receiving Lifetime Achievement Award from AAJA</t>
  </si>
  <si>
    <t>What Does Commitment Look Like? - Prof. Elaine Ho</t>
  </si>
  <si>
    <t>What Does Loyalty Look Like? - Prof. John Spinks</t>
  </si>
  <si>
    <t>What Does Dedication Look Like? - Mrs. Dana Lau</t>
  </si>
  <si>
    <t>What Does Dedication Look Like? - Prof. Y.S. Chan</t>
  </si>
  <si>
    <t>What Does Commitment Look Like? - Prof. T.H. Tse</t>
  </si>
  <si>
    <t>What Does Loyalty Look Like? - Prof. S.P. Chow</t>
  </si>
  <si>
    <t>This is HKU!</t>
  </si>
  <si>
    <t>Catch a quick glimpse of what your life could be like at HKU in Hong Kong in this video!</t>
  </si>
  <si>
    <t>['HKU', 'University of Hong Kong', 'HKU LIfe', 'Hong Kong', 'Best University', 'HK', 'Education HK']</t>
  </si>
  <si>
    <t>Building History @ HKU</t>
  </si>
  <si>
    <t>Inauguration Ceremony 2013</t>
  </si>
  <si>
    <t>Hey freshmen, welcome to the family. 
How was your first 2 weeks after inauguration?
Video credit: HKU U-Vision
uvision.hku.hk</t>
  </si>
  <si>
    <t>Got your Survive &amp; Thrive App yet?</t>
  </si>
  <si>
    <t>HKU Mobile App v1.2
http://uvision.hku.hk/portal/video.php?video_id=14766
Video credit: HKU U-Vision
uvision.hku.hk</t>
  </si>
  <si>
    <t>Academic Year 2013-14 - Make it a good one!</t>
  </si>
  <si>
    <t>['HKU', 'University of Hong Kong', 'back to school', 'academic year']</t>
  </si>
  <si>
    <t>HKU Mobile App v1 2</t>
  </si>
  <si>
    <t>Get the HKU Mobile App with new features!!!
http://uvision.hku.hk/portal/video.php?video_id=14716
Video credit: HKU U-Vision
uvision.hku.hk</t>
  </si>
  <si>
    <t>Inauguration @ HKU</t>
  </si>
  <si>
    <t>Hello new students!
Looking forward to seeing you at this year's Inauguration Ceremony on Aug 28.
Video credit: HKU U-Vision
uvision.hku.hk</t>
  </si>
  <si>
    <t>Vice Chancellor's Cup 2013</t>
  </si>
  <si>
    <t>An exciting match between HKU and CU for the Vice-Chancellor's Cup
Video credit: HKU U-Vision
uvision.hku.hk</t>
  </si>
  <si>
    <t>Outstanding Researcher Award</t>
  </si>
  <si>
    <t>OUTSTANDING RESEARCHER AWARD
Professor Godwin CHAN Kwong Yu, Department of Chemistry 
Professor GUAN Xin-Yuan, Department of Clinical Oncology
Video credit: HKU U-Vision
uvision.hku.hk</t>
  </si>
  <si>
    <t>Outstanding Research Student Supervisor Award</t>
  </si>
  <si>
    <t>OUSTANDING RESEARCH STUDENT SUPERVISOR AWARD
Professor Annie CHEUNG Nga Yin, Department of Pathology 
Dr HUANG Jiandong, Department of Biochemistry 
Mr Stephen LAU Siu Yu, Department of Architecture 
Video credit: HKU U-Vision
uvision.hku.hk</t>
  </si>
  <si>
    <t>Outstanding Young Researcher Award</t>
  </si>
  <si>
    <t>OUSTANDING YOUNG RESEARCHER AWARD
Dr CHENG Chun Kong, Department of Computer Science 
Dr John WANG Junwen, Department of Biochemistry 
Dr WANG Mingfu, School of Biological Sciences 
Dr ZHAO Yun, Department of Law
Video credit: HKU U-Vision
uvision.hku.hk</t>
  </si>
  <si>
    <t>Congratulations to Mr  John Lin, Department of Architecture Winner of The Architectural Review's Hou</t>
  </si>
  <si>
    <t>Winner of The Architectural Review's Housing Competition 2012
Video credit: HKU U-Vision
uvision.hku.hk</t>
  </si>
  <si>
    <t>Congratulations to Prof  Vivian Yam</t>
  </si>
  <si>
    <t>Congratulations to Prof. Vivian Yam on being elected as a Foreign Associate of the US National Academy of Sciences
Video credit: HKU U-Vision
uvision.hku.hk</t>
  </si>
  <si>
    <t>Congratulations to Mr  Richard Glofcheski for winning the inaugural UGC Teaching Award 2011</t>
  </si>
  <si>
    <t>Congratulations to Prof  Vivian Yam for winning The Ho Leung Ho Lee Advancement Prize</t>
  </si>
  <si>
    <t>Congratulations to Dr  David Pomfret for winning the UGC Teaching Award 2012</t>
  </si>
  <si>
    <t>Our warmest congratulations to Dr. Pomfret on winning the UGC Teaching Award 2012
Video credit: HKU U-Vision
uvision.hku.hk</t>
  </si>
  <si>
    <t>HKU 100 Logo Unveiling Party slideshow</t>
  </si>
  <si>
    <t>HKU celebrates its Centenary with Knowledge, Heritage and Service
Video credit: HKU U-Vision
uvision.hku.hk</t>
  </si>
  <si>
    <t>['HKU', 'University of Hong Kong', 'HKU100']</t>
  </si>
  <si>
    <t>A Centenary Dialogue with Aung San Suu Kyi: Behind the Scenes</t>
  </si>
  <si>
    <t>['HKU', 'University of Hong Kong', 'Aung San Suu Kyi']</t>
  </si>
  <si>
    <t>Happy Halloween from U Vision</t>
  </si>
  <si>
    <t>The Chief Invigilator, Miss H, is in Loke Yew Hall. U-Vision dares you to join her for trick o'treating this All Hallows' Eve ~
Video credit: HKU U-Vision
uvision.hku.hk</t>
  </si>
  <si>
    <t>['HKU', 'University of Hong Kong', 'halloween']</t>
  </si>
  <si>
    <t>HKU 100 Years of Excellence: Take your place in history</t>
  </si>
  <si>
    <t>U-Vision wishes you superpass!</t>
  </si>
  <si>
    <t>HKU Freshman Info Day 2010</t>
  </si>
  <si>
    <t>Sign Up for Some Fun
Video credit: HKU U-Vision
uvision.hku.hk</t>
  </si>
  <si>
    <t>Welcoming New Students to HKU</t>
  </si>
  <si>
    <t>Inauguration Ceremony 
Video credit: HKU U-Vision
uvision.hku.hk</t>
  </si>
  <si>
    <t>Long Service Awards 2013</t>
  </si>
  <si>
    <t>Long Service Awards are presented to staff members who have served the University for more than 25 years, 35 years and 40 years respectively. Awardees include teachers and professionals from various academic and support service departments.
Video credit: HKU U-Vision
uvision.hku.hk</t>
  </si>
  <si>
    <t>Introduction to HKU Education Double Degree Programmes</t>
  </si>
  <si>
    <t>Remember to subscribe to our Youtube channel: http://www.youtube.com/user/abouthku
For more information on undegraduate international admission, please visit our website: www.als.hku.hk/admission/intl/</t>
  </si>
  <si>
    <t>['HKU', 'University of Hong Kong', 'Faculty of Education']</t>
  </si>
  <si>
    <t>Happy Chinese New Year 2011 from HKU staff members</t>
  </si>
  <si>
    <t>['Happy', 'New Year']</t>
  </si>
  <si>
    <t>Happy Chinese New Year 2011 from the HKU campus - part III</t>
  </si>
  <si>
    <t>Happy Chinese New Year 2011 from the HKU campus - part II</t>
  </si>
  <si>
    <t>Happy Chinese New Year 2011 from the HKU campus - part I</t>
  </si>
  <si>
    <t>St. Baldrick's Day 2010</t>
  </si>
  <si>
    <t>HKU Professors Shaving the Way to Conquer Kids' Cancer.
Video credit: HKU U-Vision
uvision.hku.hk</t>
  </si>
  <si>
    <t>Wishing you every success in the Year of the Rabbit</t>
  </si>
  <si>
    <t>HKU Celebrates Chinese New Year with Knowledge, Heritage and Service ---- Wishing you every success in the Year of the Rabbit
Video credit: HKU U-Vision 
uvision.hku.hk</t>
  </si>
  <si>
    <t>['HKU', 'University of Hong Kong', 'Year of the Rabbit']</t>
  </si>
  <si>
    <t>['HKU', 'University of Hong Kong', 'Year of the Dragon', 'Chinese New year']</t>
  </si>
  <si>
    <t>Season's Greetings 2011 from U-Vision</t>
  </si>
  <si>
    <t>['HKU', 'University of Hong Kong', "Season's Greetings"]</t>
  </si>
  <si>
    <t>Wishing you a superb and successful Year of the Snake!</t>
  </si>
  <si>
    <t>Season's Greetings 2012 From U-Vision</t>
  </si>
  <si>
    <t>['Christmas', 'HKU', 'University of Hong Kong', "Season's Greetings"]</t>
  </si>
  <si>
    <t>Congratulations to 2013 Croucher Foundation Research Fellowship recipients</t>
  </si>
  <si>
    <t>Congratulations to 2013 Croucher Foundation Research Fellowship recipients: Prof. Irene Ng and Prof. Ron Hui
Video credit: HKU U-Vision
uvision.hku.hk</t>
  </si>
  <si>
    <t>Outstanding Teaching Award (Team)</t>
  </si>
  <si>
    <t>OUTSTANDING TEACHING AWARD (Team Award)
Dr Susan Margaret BRIDGES (Leader), Professor Cynthia YIU Kar Yung, Dr Michael George BOTELHO, Professor Edward LO Chin Man, Dr Peter TSANG Chiu Shun, Dr Rory Munro WATT, Dr YANG Yanqi and Miss Jessica WONG Wai
Faculty of Dentistry for the PBL 2.0: E-learning for the Problem-based Learning (PBL) at the Faculty of Dentistry 
Dr Hayden SO Kwok Hay (Leader), Dr Edmund LAM Yin Mun and Dr Kenneth WONG Kin Yip
Department of Electrical and Electronic Engineering for the Design Thinking, Problem Solving, and Team Building: Reshaping the First Course in the EEE Curriculum
Video credit: HKU U-Vision
uvision.hku.hk</t>
  </si>
  <si>
    <t>Outstanding Teaching Award</t>
  </si>
  <si>
    <t>OUTSTANDING TEACHING AWARD (Individual Award)
Dr CHAN Lap Ki, Institute of Medical and Health Sciences Education / Department of Anatomy
Dr Gary James HARFITT, Faculty of Education
Dr LAM Shui Fong, Department of Psychology
Miss Alice LEE Suet Ching, Department of Law
Dr Robert Shannan PECKHAM, School of Humanities (History)
Mr Mathew Robert PRYOR, Department of Architecture
Video credit: HKU U-Vision
uvision.hku.hk</t>
  </si>
  <si>
    <t>188th Congregation Ceremony Highlights</t>
  </si>
  <si>
    <t>HKU conferred Honorary Degrees upon six outstanding Individuals at the 188th Congregation on March 14, 2013.
They are: Professor Fan Jinshi, Professor Sir Alec John JEFFREYS, Professor Mai Yiu-wing, Professor WANG Shenghong, Dr Rocco YIM Sen Kee and Dr Patrick YU Shuk Siu (in absentia).
Video credit: HKU U-Vision
uvision.hku.hk</t>
  </si>
  <si>
    <t>188th Congregation - Special Ceremony</t>
  </si>
  <si>
    <t>Dr Patrick Yu was in absentia during the 188th Congregation where he was awarded Doctor of Laws honoris causa. A special ceremony was later held for him at his place of residence. Congratulations Dr Patrick Shuk Siu YU.
Video credit: HKU U-Vision
uvision.hku.hk</t>
  </si>
  <si>
    <t>The Quest for Knowledge</t>
  </si>
  <si>
    <t>Reach a new height of excellence!
Video Credit: HKU U-Vision
uvision.hku.hk</t>
  </si>
  <si>
    <t>Introducing the Centennial Campus part II</t>
  </si>
  <si>
    <t>Take a tour of HKU's sprawling Centennial Campus equipped with modern facilities, state-of-the art learning centres, quiet open spaces, eateries and cafes serving cuisines from around the world.
Video Credit: HKU U-Vision
uvision.hku.hk</t>
  </si>
  <si>
    <t>HKU research academics receive fellowships from Croucher Foundation</t>
  </si>
  <si>
    <t>Congratulations to Dr Lu Liwei (Department of Pathology), Dr Alice S.T. Wong (Department of Biological Sciences) and Professor Ed X. Wu (Department of Electrical and Electronic Engineering) for receiving Senior Research Fellowships from the Croucher Foundation 2012/13
Video Credit: HKU U-Vision
uvision.hku.hk</t>
  </si>
  <si>
    <t>['13215']</t>
  </si>
  <si>
    <t>Did you know: One of HKU Honorary graduates is a Princess!</t>
  </si>
  <si>
    <t>Princess Maha Chakri Sirindhorn of Thailand was awarded Doctor of Letters honoris causa by HKU in 2002.
Video Credit: HKU U-Vision
uvision.hku.hk</t>
  </si>
  <si>
    <t>['13353']</t>
  </si>
  <si>
    <t>What makes HKU strong</t>
  </si>
  <si>
    <t>Together we learn, together we share. Being part of this is what makes HKU strong!
Video credit: HKU U-Vision
uvision.hku.hk</t>
  </si>
  <si>
    <t>['11464']</t>
  </si>
  <si>
    <t>Hall life: University Hall</t>
  </si>
  <si>
    <t>Founded in 1956, Ambition-Unity-Brotherhood are the central tenets of University Hall. Explore U-Hall in this 3D clip!
Video credit: HKU U-Vision
uvision.hku.hk</t>
  </si>
  <si>
    <t>['11144']</t>
  </si>
  <si>
    <t>Information Day 2012</t>
  </si>
  <si>
    <t>The Information Day for Undergraduate Admissions 2013 held on November 10th, kicked off with a vibrant Opening Ceremony that featured a bagpipe procession, the famous HKU100 ball and throngs of faculty and students alike moving across the campus from Happy Park to the newly-minted Centenary Campus.
Video Credit: HKU U-Vision
uvision.hku.hk</t>
  </si>
  <si>
    <t>['14023']</t>
  </si>
  <si>
    <t>3-D Campus Tour of HKU</t>
  </si>
  <si>
    <t>Explore HKU's campus in this exciting 3-D tour!
Video Credit: U-Vision
www.uvision.hku.hk</t>
  </si>
  <si>
    <t>['11142']</t>
  </si>
  <si>
    <t>Hall Life: Swire Hall</t>
  </si>
  <si>
    <t>Halls of residence form part of the tradition of the University. Check out Hall Life in Swire Hall! Through a series of Hall Life Education programmes in sports games, cultural activities, and self governing, Swirians learn how to contribute and co-operate with one another.</t>
  </si>
  <si>
    <t>['Swire', 'Hall']</t>
  </si>
  <si>
    <t>HKU BBA (Acc&amp;Fin)</t>
  </si>
  <si>
    <t>That's what we call FBE Pride! Here is a student-made video about the Faculty of Business and Economics (FBE) programme, BBA(Accounting and Finance). 
Video Credit: Kelvin Pang</t>
  </si>
  <si>
    <t>['Welcome', 'to', 'HKU', 'BBA', 'A&amp;F']</t>
  </si>
  <si>
    <t>HKU Graduate Profiles</t>
  </si>
  <si>
    <t>Hear from some of our non-local graduates and find out about life after HKU!
Opening credits courtesy of HKU U-Vision</t>
  </si>
  <si>
    <t>['HKU', 'Graduate', 'Career Opportunities']</t>
  </si>
  <si>
    <t>Message from the Vice Chancellor at Information Day 2012</t>
  </si>
  <si>
    <t>Vice Chancellor, Professor Lap-Chee Tsui's welcome address at 2012 Information Day for Undergraduate Admission.
Video Credit: HKU U-Vision
uvision.hku.hk</t>
  </si>
  <si>
    <t>['121022', 'VC', 'pretape', 'final3']</t>
  </si>
  <si>
    <t>About HKU</t>
  </si>
  <si>
    <t>Welcome to HKU, Asia's Leading International University.
Video Credit: HKU U-Vision
uvision.hku.hk</t>
  </si>
  <si>
    <t>['HKU', 'Corp', '09', 'English']</t>
  </si>
  <si>
    <t>South Asian Extravaganza 2010</t>
  </si>
  <si>
    <t>The South Asian Extravaganza was held in the Global Lounge in February 2010. It was a fun-filled night showcasing South Asian food, culture, music and more!</t>
  </si>
  <si>
    <t>['HKUSAN']</t>
  </si>
  <si>
    <t>Information Day 2012 Procession</t>
  </si>
  <si>
    <t>Information Day for Undergraduate Admissions 2013 held on November 10, 2012. Procession from Happy Park to Centenary Campus included members of the HKU and wider community.</t>
  </si>
  <si>
    <t>['IMG', '9084']</t>
  </si>
  <si>
    <t>A Centenary Dialogue with Aung San Suu Kyi</t>
  </si>
  <si>
    <t>Highlights of Daw Aung San Suu Kyi's distinguished lecture at HKU, her first collaboration with a university in Asia. The lecture was held in Loke Yew Hall in May 2011 and was organised by the Faculty of Social Sciences.
Video Credit: HKU U-Vision
uvision.hku.hk</t>
  </si>
  <si>
    <t>['12336', '20110726172843']</t>
  </si>
  <si>
    <t>Hall Life: Simon KY Lee Hall</t>
  </si>
  <si>
    <t>Halls of Residence form part of the tradition of the University. Here's your chance to see what it's like to be a SKYer!
Video Credit: Simon K Y Lee Hall</t>
  </si>
  <si>
    <t>['Simon', 'KY', 'Lee', 'Hall']</t>
  </si>
  <si>
    <t>Discover HKU Campus in Shek O</t>
  </si>
  <si>
    <t>The Swire Institute of Marine Science (SWIMS) is a research facility of the University of Hong Kong, situated on the Cape d'Aguilar peninsula, on the shores of Hong Kong's only Marine Reserve.
Video Credit: HKU U-Vision
uvision.hku.hk</t>
  </si>
  <si>
    <t>Introducing the Centennial Campus Part I</t>
  </si>
  <si>
    <t>The Centennial Campus will offer university students and staff a dramatically enhanced environment to help fulfil the University's ambition to be among the very best in the world. 
Video Credit: HKU U-Vision uvision.hku.hk</t>
  </si>
  <si>
    <t>['CC', 'slideshow']</t>
  </si>
  <si>
    <t>HKU Info Day 2010</t>
  </si>
  <si>
    <t>An event that provides an opportunity for visitors to learn more about the undergraduate programmes offered and diversified students community in HKU. See you there!
Video Credit: HKU U-Vision uvision.hku.hk</t>
  </si>
  <si>
    <t>['HKU', 'Info', 'Day', '2010']</t>
  </si>
  <si>
    <t>Presidents Summit</t>
  </si>
  <si>
    <t>Presidents Summit 17-18 Dec 2011
Centenary Celebrations: East meets west
Video credit: HKU U-Vision uvision.hku.hk</t>
  </si>
  <si>
    <t>['Presidents', 'Summit']</t>
  </si>
  <si>
    <t>Launch Ceremony of the Gallant Ho Experiential Learning Centre</t>
  </si>
  <si>
    <t>Experiential learning, which enables students to integrate theory and practice, is a distinctive feature of the new undergraduate curriculum at HKU. Every year the GHELC will support at least 1,000 students from all 10 Faculties to complete their experiential learning projects.
Video credit: Teaching &amp; Learning, The Registry</t>
  </si>
  <si>
    <t>['Launch', 'Ceremony', 'of', 'the', 'Gallant', 'Ho', 'Experiential', 'Learning', 'Centre']</t>
  </si>
  <si>
    <t>Taking you around HKU</t>
  </si>
  <si>
    <t>A guided tour around campus in less than a minute!
Video credit: HKU U-Vision 
uvision.hku.hk</t>
  </si>
  <si>
    <t>['Taking', 'you', 'aroung', 'HKU']</t>
  </si>
  <si>
    <t>HKU Orientation 2011 (non-local students)</t>
  </si>
  <si>
    <t>Watch what our non-local students did for this year's Orientation Day!</t>
  </si>
  <si>
    <t>['HKU', 'Orientation', 'Day', '2011']</t>
  </si>
  <si>
    <t>HKU 100</t>
  </si>
  <si>
    <t>Centennial Celebrations and Events!</t>
  </si>
  <si>
    <t>['HKU100', 'Centennial', 'University', 'of', 'Hong', 'Kong']</t>
  </si>
  <si>
    <t>Music</t>
  </si>
  <si>
    <t>Vietnamese Students in HKU.mp4</t>
  </si>
  <si>
    <t>Our Vietnamese students in HKU!</t>
  </si>
  <si>
    <t>['Vietnam', 'HKU']</t>
  </si>
  <si>
    <t>HKU Season's Greetings 2010: Best Wishes for a New Year of Happiness and a New Century of Excellence</t>
  </si>
  <si>
    <t>['Greetings', '2010']</t>
  </si>
  <si>
    <t>['100', 'Years', 'of', 'Excellence']</t>
  </si>
  <si>
    <t>HKU Study Abroad Fair</t>
  </si>
  <si>
    <t>['HKU', 'Study', 'Abroad', 'Fair']</t>
  </si>
  <si>
    <t>HKU - Your Global Journey Starts Here!</t>
  </si>
  <si>
    <t>['hku', 'your', 'global', 'journey', 'starts', 'here', 'the', 'university', 'of', 'hong', 'kong']</t>
  </si>
  <si>
    <t>Auntie Three brews Hall Blood in U Hall</t>
  </si>
  <si>
    <t>['Auntie', 'Three', 'brews', 'Hall', 'Blood', 'in', 'U', 'Hall']</t>
  </si>
  <si>
    <t>HCAP</t>
  </si>
  <si>
    <t>East meets West._x000D_
A group of Harvard visiting Hong Kong, getting to share their experiences with HKU students.</t>
  </si>
  <si>
    <t>['HCAP', 'new']</t>
  </si>
  <si>
    <t>Library Adventure</t>
  </si>
  <si>
    <t>Library Adventure_x000D_
http://lib.hku.hk/friends/shootthelibraries/LibraryAdventure.mp4_x000D_
_x000D_
Shoot the Libraries Student Competition 2009  one of the ten finalists.  For more information, visit http://lib.hku.hk/friends/filmcompeteresult.html</t>
  </si>
  <si>
    <t>['LibraryAdventure']</t>
  </si>
  <si>
    <t>Film &amp; Animation</t>
  </si>
  <si>
    <t>The Microcosmos of HKUL</t>
  </si>
  <si>
    <t>The Microcosmos of HKUL_x000D_
http://lib.hku.hk/friends/shootthelibraries/TheMicrocosmosOfHKUL.mp4_x000D_
_x000D_
Shoot the Libraries Student Competition 2009 Grand Prize Winner.  For more information, visit http://lib.hku.hk/friends/filmcompeteresult.html</t>
  </si>
  <si>
    <t>['TheMicrocosmosOfHKUL']</t>
  </si>
  <si>
    <t>HKU Libraries, we are IN!</t>
  </si>
  <si>
    <t>HKU Libraries, we are IN!_x000D_
http://evideo.lib.hku.hk/play/20000002_x000D_
_x000D_
Shoot the Libraries Student Competition 2009 First Runnup.  For more information, visit http://lib.hku.hk/friends/filmcompeteresult.html</t>
  </si>
  <si>
    <t>['HKUL', 'WeAreIN']</t>
  </si>
  <si>
    <t>HKU South Asian Night 5/5</t>
  </si>
  <si>
    <t>['South', 'Asian', 'Night', '05']</t>
  </si>
  <si>
    <t>HKU South Asian Night 3/5</t>
  </si>
  <si>
    <t>['South', 'Asian', 'Night', '03']</t>
  </si>
  <si>
    <t>HKU South Asian Night 4/5</t>
  </si>
  <si>
    <t>['South', 'Asian', 'Night', '04']</t>
  </si>
  <si>
    <t>HKU South Asian Night 1/5</t>
  </si>
  <si>
    <t>['South', 'Asian', 'Night', '01']</t>
  </si>
  <si>
    <t>HKU South Asian Night 2/5</t>
  </si>
  <si>
    <t>['South', 'Asian', 'Night', '02']</t>
  </si>
  <si>
    <t>Home-made production by HKU international students</t>
  </si>
  <si>
    <t>Short home made video by international students on Hall Life. Includes an interview with the warden as well as NG shots._x000D_
A mixture of language has been used so for your easy understanding, both Chinese and English subtitles have been included where needed._x000D_
ENJOY!!!</t>
  </si>
  <si>
    <t>['non', 'local']</t>
  </si>
  <si>
    <t>The 10th Anniversary of HKU Mainland Admission</t>
  </si>
  <si>
    <t>['The', '10th', 'Anniversary', 'of', 'HKU', 'Mainland', 'Admission']</t>
  </si>
  <si>
    <t>HKU InfoDay 2009</t>
  </si>
  <si>
    <t>['HKU', 'InfoDay', '2009']</t>
  </si>
  <si>
    <t>HKU</t>
  </si>
  <si>
    <t>['VTS', '01', '1']</t>
  </si>
  <si>
    <t>HKU Admissions</t>
  </si>
  <si>
    <t>['About', 'HKU']</t>
  </si>
  <si>
    <t>CUHK Channel</t>
  </si>
  <si>
    <t>CUHK Summer Institute 2022</t>
  </si>
  <si>
    <t>From Germany to Home Kong</t>
  </si>
  <si>
    <t>You can enjoy the beautiful view of the University's campus in 360 degrees through CUHK panoramic photos! CUHK with 137.3-hectare campus overlooking Tolo Harbour is the largest and greenest in Hong Kong. It houses a range of facilities, such as world-class libraries, swimming pool, sports fields, tennis courts and gymnasiums. Of all Hong Kong universities, CUHK is the only one that offers a college experience.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</si>
  <si>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CUHK Summer Institute 2020</t>
  </si>
  <si>
    <t>Self-help guides: Make it easy for insurance application and claims under pandemic(English Subtitle)</t>
  </si>
  <si>
    <t>'City Development and Urban History' by Prof. Ian Morley</t>
  </si>
  <si>
    <t>'Chinese Shipwrecks and the Law of Treasure Hunting' by Prof. Steven GALLAGHER</t>
  </si>
  <si>
    <t>The Impact of Covid-19 on the Hong Kong Economy and Financial Market (English subtitle)</t>
  </si>
  <si>
    <t>School of Chinese Medicine: Research on Quality Assurance / Quality Control of Chinese Medicines</t>
  </si>
  <si>
    <t>Experiencing Conference Interpreting at the United Nations</t>
  </si>
  <si>
    <t>Coursera: Solving Algorithms for Discrete Optimisation</t>
  </si>
  <si>
    <t>Everyday Chinese Medicine</t>
  </si>
  <si>
    <t>School Bus Challenge</t>
  </si>
  <si>
    <t>Between Extremes: Threatening Heat and Cold Health Series - Health Co-benefits</t>
  </si>
  <si>
    <t>Between Extremes: Threatening Heat and Cold Health Series - Help seeking</t>
  </si>
  <si>
    <t>Between Extremes: Threatening Heat and Cold Health Series - Hospital Admission</t>
  </si>
  <si>
    <t>Between Extremes: Threatening Heat and Cold Health Series - Urban Heat Island Effect</t>
  </si>
  <si>
    <t>Between Extremes: Threatening Heat and Cold Health Series - Death</t>
  </si>
  <si>
    <t>Soar with us @ CUHK</t>
  </si>
  <si>
    <t>CUHK for International Students</t>
  </si>
  <si>
    <t>CUHK Marathon Team 2017</t>
  </si>
  <si>
    <t>Modeling Discrete Optimization MOOC Specialization</t>
  </si>
  <si>
    <t>CUHK Inter-disciplinary Research Team Finds Novel Drug Candidate for Rare Neurological Diseases</t>
  </si>
  <si>
    <t>CUHK Marathon Team 2016</t>
  </si>
  <si>
    <t>Time flies! The Year of the Horse is waving goodbye to us. In the past year, members of CUHK have experienced many unforgettable moments together.</t>
  </si>
  <si>
    <t>Prof. Lutz-Christian Wolff Gives Inaugural Lecture on Chinese Foreign Investment Law</t>
  </si>
  <si>
    <t>77th Congregation for the Conferment of Degrees</t>
  </si>
  <si>
    <t>Speech by the Vice-Chancellor at the 76th Congregation for the Conferment of Degrees</t>
  </si>
  <si>
    <t>Distinguished Public Lecture by Prof. Pissarides</t>
  </si>
  <si>
    <t>CUHK 51st Anniversary: 1963-2014</t>
  </si>
  <si>
    <t>Welcome to CUHK 2014</t>
  </si>
  <si>
    <t>Over 400 staff of the University got together at the Chung Chi Tang on 8 September to spend a cheerful and relaxing evening with Prof. Joseph J.Y. Sung, Vice-Chancellor of CUHK.</t>
  </si>
  <si>
    <t>This summer, 11 CUHK students and the Pathfinder team worked with the local NGO of Cambodia, Clear Cambodia, to build new sanitary facilities and a water filtration system at Kampong Chhnang, and to share hygiene tips with primary students and local families.</t>
  </si>
  <si>
    <t>CUHK Teaching Hospital Project and CUHK Jockey Club Institute of Ageing Donation Ceremony</t>
  </si>
  <si>
    <t>CUHK Teaching Hospital Project and CUHK Jockey Club Institute of Ageing Introductory Video</t>
  </si>
  <si>
    <t>Hear It From Our Professors - Patrick Wong</t>
  </si>
  <si>
    <t>Hear It From Our Professors - Jane Jackson</t>
  </si>
  <si>
    <t>Hear It From Our Professors - Christopher Gane</t>
  </si>
  <si>
    <t>Hear It From Our Professors - Gabriel Lau</t>
  </si>
  <si>
    <t>Hear It From Our Professors - Eugene Ponomarev</t>
  </si>
  <si>
    <t>Hear It From Our Professors - Emma Macpherson</t>
  </si>
  <si>
    <t>Hear It From Our Professors - Dennis Lo</t>
  </si>
  <si>
    <t>World Cup Live at the University Mall</t>
  </si>
  <si>
    <t>Water Fun at CUHK</t>
  </si>
  <si>
    <t>CUHK Business School Global Leader Series by Mr. Antony Leung Kam-chung (Highlight Version)</t>
  </si>
  <si>
    <t>Research Excellence at CUHK</t>
  </si>
  <si>
    <t>Jockey Club Museum of Climate Change Opening Ceremony</t>
  </si>
  <si>
    <t>Christmas Party with Vice-Chancellor 2013</t>
  </si>
  <si>
    <t>More videos are available at CUTV: 
http://www.cpr.cuhk.edu.hk/cutv/index</t>
  </si>
  <si>
    <t>Please go to CUTV for the full version of the lecture
http://www.cpr.cuhk.edu.hk/cutv/detail/407</t>
  </si>
  <si>
    <t>Grand Opening of University Gallery 2013</t>
  </si>
  <si>
    <t>Please go to CUTV for the full version of the grand opening http://www.cpr.cuhk.edu.hk/cutv/detail/408</t>
  </si>
  <si>
    <t>Prof. Joseph E. Stiglitz's lecture in CUHK</t>
  </si>
  <si>
    <t>Prof. Joseph E. Stiglitz on "Sustainable Growth in the Wake of the Crisis: Lessons for Asia and the World" (Highlight version)
Please go to CUTV for the full version of the lecture
http://www.cpr.cuhk.edu.hk/cutv/detail/399</t>
  </si>
  <si>
    <t>Prof. Herbert W. Marsh on "Student Evaluation of University Teaching"</t>
  </si>
  <si>
    <t>Please visit CUTV for full version:
http://www.cpr.cuhk.edu.hk/cutv/detail/338
Professor Herbert W. Marsh on "Student Evaluation of University Teaching: Recommendation for Policy and Practice"</t>
  </si>
  <si>
    <t>Twelfth Honorary Fellowship Conferment Ceremony</t>
  </si>
  <si>
    <t>Please visit CUTV for full version : http://www.cpr.cuhk.edu.hk/cutv/detail/329</t>
  </si>
  <si>
    <t>CCOUC Ethnic Minority Health Project 2013</t>
  </si>
  <si>
    <t>Prof. Ezra F. Vogel on "Can China and Japan make peace?"</t>
  </si>
  <si>
    <t>Please visit CUTV for full version : http://www.cpr.cuhk.edu.hk/cutv/detail/300_x000D_
CUHK 50th Anniversary Distinguished Lecture by Prof. Ezra F. Vogel on "Can China and Japan make peace?"</t>
  </si>
  <si>
    <t>Mr Wu Hongbo, Under-Secretary-General, United Nations on "Youth and the Work of the United Nations"</t>
  </si>
  <si>
    <t>Please visit CUTV for full version : http://www.cpr.cuhk.edu.hk/cutv/detail/293</t>
  </si>
  <si>
    <t>CUHK 50th Anniversary Distinguished Lecture by The Honourable Chief Justice Geoffrey Ma</t>
  </si>
  <si>
    <t>Please visit CUTV for full version : http://www.cpr.cuhk.edu.hk/cutv/detail/296_x000D_
_x000D_
CUHK 50th Anniversary Distinguished Lecture by The Honourable Chief Justice Geoffrey Ma on "The Essence of Our Society: from a Written Constitution to Reality and into the Future 50 Years"</t>
  </si>
  <si>
    <t>Introduction of Yasumoto International Academic Park</t>
  </si>
  <si>
    <t>SARS A Decade On: A Conference for the Health Professionals</t>
  </si>
  <si>
    <t>CUHK 50th Anniversary Fair Kick-off Ceremony</t>
  </si>
  <si>
    <t>Please visit CUTV for full version : http://www.cpr.cuhk.edu.hk/cutv/detail/291</t>
  </si>
  <si>
    <t>Vice-Chancellor's Dinner Party with International, Mainland and Local Students</t>
  </si>
  <si>
    <t>Professor Richard J Davidson on "Change the Brain by Transforming the Mind"</t>
  </si>
  <si>
    <t>Please visit CUTV for full version : http://www.cpr.cuhk.edu.hk/cutv/detail/279_x000D_
_x000D_
Sir Run Run Shaw Distinguished Visiting Scholar 2012-13, Professor Richard J. DAVIDSON from the University of Wisconsin-Madison spoke on 'Change the Brain by Transforming the Mind', sharing how one can transform the mind through meditation and thereby alter the brain and the periphery in ways that may be beneficial for mental and physical health at Shaw College of The Chinese University of Hong Kong.</t>
  </si>
  <si>
    <t>Grand Opening of CUHK Yasumoto International Academic Park</t>
  </si>
  <si>
    <t>Professor Philip Zimbardo on "My Journey from Evil to Heroism" (Highlight Version)</t>
  </si>
  <si>
    <t>Please visit CUTV for full version : http://www.cpr.cuhk.edu.hk/cutv/detail/269</t>
  </si>
  <si>
    <t>Please visit CUTV for full version : http://www.cpr.cuhk.edu.hk/cutv/detail/267</t>
  </si>
  <si>
    <t>Master's Degree (2011-2012) Graduation Ceremony</t>
  </si>
  <si>
    <t>71st Congregation for the Conferment of Degrees</t>
  </si>
  <si>
    <t>Please visit CUTV for full version : http://www.cpr.cuhk.edu.hk/cutv/detail/255</t>
  </si>
  <si>
    <t>72nd Congregation for the Conferment of Degrees (Highlight version)</t>
  </si>
  <si>
    <t>Please visit CUTV for full version : http://www.cpr.cuhk.edu.hk/cutv/detail/260</t>
  </si>
  <si>
    <t>An address by the Vice-Chancellor Joseph Sung in 71st Congregation</t>
  </si>
  <si>
    <t>Distinguished Public Lecture by Professor Justin Yifu Lin on "Demystifying the Chinese Economy"</t>
  </si>
  <si>
    <t>Please visit CUTV for full version : http://www.cpr.cuhk.edu.hk/cutv/detail/279_x000D_
_x000D_
The Chinese University of Hong Kong (CUHK) invited Prof. Justin Yifu Lin, Former Senior Vice President and Chief Economist of the World Bank, and Honorary Dean of National School of Development at Peking University, to present a distinguished public lecture on 'Demystifying the Chinese Economy' on campus.</t>
  </si>
  <si>
    <t>The Shaw Prize Lecture by The Shaw Laureates in Astronomy 2012</t>
  </si>
  <si>
    <t>Please visit CUTV for full version : http://www.cpr.cuhk.edu.hk/cutv/detail/242_x000D_
_x000D_
Having received the Shaw Laureates in Astronomy Prize 2012, Professor Jane Luu and Professor David C Jewitt delivered a lecture entitled "Expanding the Solar System: The Kuiper Belt Discovery" and "Kuiper Belt: What We Know and What We Don't".</t>
  </si>
  <si>
    <t>Symposium in Honour of the 90th Birthday of Professor Yang Chen Ning</t>
  </si>
  <si>
    <t>['CUHK', 'new students']</t>
  </si>
  <si>
    <t>The Chinese University of Hong Kong Eleventh Honorary Fellowship Conferment Ceremony</t>
  </si>
  <si>
    <t>Six distinguished persons closely associated with CUHK were conferred honorary fellowships in recognition of their contributions to the University and the community. They are: Prof. Chang Shu-ting, Mr. Fung Siu-to Clement, Prof. Jin Sheng-hwa Serena, Prof. Lee Hon-ching, Dr. Lo Tak-shing Peter, Dr. Yeung Ming-biu.</t>
  </si>
  <si>
    <t>Travel &amp; Events</t>
  </si>
  <si>
    <t>['space', 'shenzhou 9', 'CUHK', 'spaceflight mission']</t>
  </si>
  <si>
    <t>Grand Opening of the Lo Kwee-Seong Integrated Biomedical Sciences Building</t>
  </si>
  <si>
    <t>['CUHK']</t>
  </si>
  <si>
    <t>VC's speech in Inauguration of Academic Year 2012-13</t>
  </si>
  <si>
    <t>Prof. Joseph J.Y. Sung, Vice-Chancellor of the University, described this year as a historical moment in his speech at the inauguration ceremony of the new academic year. He urged freshmen to make good use of the extra year, so that their university life would not go to waste. He challenged them to read a book every month, make at least one friend from a different country (or region) every year, and join at least one service trip offered by their Colleges to find like-minded friends.</t>
  </si>
  <si>
    <t>['Joseph Sung', 'CUHK']</t>
  </si>
  <si>
    <t>['CUHK', 'staff']</t>
  </si>
  <si>
    <t>Green Office Programme (GO!) Introduction video</t>
  </si>
  <si>
    <t>An address by the Vice-Chancellor in 69th Congregation</t>
  </si>
  <si>
    <t>"If you can live a noble, simple and humble life, you will have a fulfilled life" - An address by the Vice-Chancellor in 69th Congregation</t>
  </si>
  <si>
    <t>Vice-Chancellor's Christmas Party with Champion Teams of CUHK</t>
  </si>
  <si>
    <t>Talk of Anthony Neoh at CUHK Business School Elite Alumni Dinner Gathering</t>
  </si>
  <si>
    <t>Please visit CUTV for full version : http://www.cpr.cuhk.edu.hk/cutv/detail/236_x000D_
_x000D_
Anthony Neoh on "Global Financial Regulatory Trends, and How They Will Affect Financial Institutions and Markets in Greater China"</t>
  </si>
  <si>
    <t>Opening Ceremony of the Shenzhen Research Institute, The Chinese University of Hong Kong</t>
  </si>
  <si>
    <t>The grand opening of the Lo Kwee-Seong Integrated Biomedical Sciences Building at The Chinese University of Hong Kong was held. The building was named after the late Dr. K.S. Lo, Founder of the Vitasoy Group and the K.S. Lo Foundation, in recognition of the Foundation's support to the University's development, including in particular its research in biomedical sciences.</t>
  </si>
  <si>
    <t>['Fine Art (Literary Genre)']</t>
  </si>
  <si>
    <t>Public Lecture by Professor Ezra F. Vogel on "Deng Xiaoping and Foreign Relations"</t>
  </si>
  <si>
    <t>Please visit CUTV for full version : http://www.cpr.cuhk.edu.hk/cutv/detail/70_x000D_
_x000D_
The University is privileged to have invited Prof. Ezra F. Vogel, Henry Ford II Professor of the Social Sciences Emeritus at Harvard University, who is also an Honorary Graduate of CUHK, to present a public lecture on 'Deng Xiaopeng and Foreign Relations' to enhance understanding on modern Chinese history.</t>
  </si>
  <si>
    <t>['Social Science', 'Vogel', 'CUHK']</t>
  </si>
  <si>
    <t>['video']</t>
  </si>
  <si>
    <t>Entertainment</t>
  </si>
  <si>
    <t>CityUHongKong</t>
  </si>
  <si>
    <t>HK Tech Forum on reliability and safety of intelligent systems</t>
  </si>
  <si>
    <t>['#HKTechForum']</t>
  </si>
  <si>
    <t>CityU Anthem (Part 2) "Knowledge and Wisdom"</t>
  </si>
  <si>
    <t>City University of Hong Kong: A leading global university</t>
  </si>
  <si>
    <t>First HK Tech Forum at CityU tackles major challenges in data science and AI</t>
  </si>
  <si>
    <t>CityU hosts HK Tech Forum on tackling challenging technology issues</t>
  </si>
  <si>
    <t>Nature Conference@CityU; President Way Kuo: Pre-launch for HK Tech Forum</t>
  </si>
  <si>
    <t>Venture Beyond Boundaries</t>
  </si>
  <si>
    <t>The HK Tech online Masterclass: Advancing Research and Innovation was held on 15 December at CityU to discuss interdisciplinary collaborations to address global issues.</t>
  </si>
  <si>
    <t>Tung Biomedical Sciences Centre at CityU established and named in recognition of The Tung Foundation</t>
  </si>
  <si>
    <t>HK Tech 300: Come and Join Us!</t>
  </si>
  <si>
    <t>Four CityU students win Innovation and Technology Scholarship</t>
  </si>
  <si>
    <t>Farewell Message from President to Retirees 2021</t>
  </si>
  <si>
    <t>E-Career Success Fair 2.0</t>
  </si>
  <si>
    <t>Jockey Club One Health Tower Superstructure Commencement Ceremony</t>
  </si>
  <si>
    <t>Seawall marine biodiversity enhanced by eco-engineered tiles</t>
  </si>
  <si>
    <t>Dynamic New Hub for One Health</t>
  </si>
  <si>
    <t>All You Need is "cum laude"</t>
  </si>
  <si>
    <t>Honorary Awards Ceremony 2019/2020</t>
  </si>
  <si>
    <t>Honorary Fellow Presentation Ceremony 2020</t>
  </si>
  <si>
    <t>Welcoming Remarks by President Way Kuo at the online University Welcoming Ceremony</t>
  </si>
  <si>
    <t>Message from Dean of Jockey Club College of Veterinary Medicine and Life Sciences</t>
  </si>
  <si>
    <t>Farewell Message from President to Retirees 2020</t>
  </si>
  <si>
    <t>Pets and Covid-19</t>
  </si>
  <si>
    <t>Zero pollution technology for generating renewable energy</t>
  </si>
  <si>
    <t>New technology developed at CityU saves at least 4.5% of energy in mobile networks</t>
  </si>
  <si>
    <t>Naming ceremony of the Indra and Harry Banga Gallery</t>
  </si>
  <si>
    <t>Honorary Fellow Presentation Ceremony 2019</t>
  </si>
  <si>
    <t>THE Leadership and Management Summit 2019 at CityU</t>
  </si>
  <si>
    <t>25 years since university inauguration</t>
  </si>
  <si>
    <t>Tiny soft robot for medical purpose</t>
  </si>
  <si>
    <t>CityU Delegation at Hong Kong Marathon 2019</t>
  </si>
  <si>
    <t>Microrobots delivering cells to precise locations in the body</t>
  </si>
  <si>
    <t>Honorary Fellow Presentation Ceremony 2018</t>
  </si>
  <si>
    <t>35th World Cultural Council Award Ceremony</t>
  </si>
  <si>
    <t>Honorary Awards Ceremony 2018 for Dr the Honourable Lee Shau-kee, GBM</t>
  </si>
  <si>
    <t>Honorary Awards Ceremony 2018</t>
  </si>
  <si>
    <t>University development and achievements (Jan-Nov 2018)</t>
  </si>
  <si>
    <t>Bachelor of Veterinary Medicine Programme</t>
  </si>
  <si>
    <t>Fog Screen Projection Technology</t>
  </si>
  <si>
    <t>CityU people Episode 2: Human Observation</t>
  </si>
  <si>
    <t>Interview with CityU President Professor Way Kuo
Produced by Hong Kong Ta Kung Wen Wei Media Group, May 2018</t>
  </si>
  <si>
    <t>CityU Delegation at Hong Kong Marathon 2018</t>
  </si>
  <si>
    <t>Discovery &amp; Innovation Debating Challenge 2017</t>
  </si>
  <si>
    <t>Honorary Awards Ceremony 2017</t>
  </si>
  <si>
    <t>Bachelor Degree of Veterinary Medicine at CityU</t>
  </si>
  <si>
    <t>Opening Ceremony of CLP Power Low Carbon Energy Education Centre</t>
  </si>
  <si>
    <t>A smart real-time battery state and health diagnostics system</t>
  </si>
  <si>
    <t>Honorary Fellow Presentation Ceremony 2017</t>
  </si>
  <si>
    <t>Sincerely Yours: Personal Letters of Tsinghua Scholars</t>
  </si>
  <si>
    <t>UGC applauds unique Discovery-enriched Curriculum</t>
  </si>
  <si>
    <t>A team of dedicated faculty and staff at CityU has received the 2017 Team Award for Teaching Excellence from the University Grants Committee (UGC) for the groundbreaking Discovery-enriched Curriculum (DEC).</t>
  </si>
  <si>
    <t>University Developments and achievements (2017 mid-year)</t>
  </si>
  <si>
    <t>Supra-nano structure material developed by CityU</t>
  </si>
  <si>
    <t>Biochips and early cancer detection</t>
  </si>
  <si>
    <t>CityU woodball team wins medals for Hong Kong</t>
  </si>
  <si>
    <t>Self-transformable wheelchair</t>
  </si>
  <si>
    <t>A CityU student came up with a wheelchair design protocol to facilitate people in need to get in and out cars.</t>
  </si>
  <si>
    <t>Research Showcase 2017</t>
  </si>
  <si>
    <t>Innovative ideas at Discovery Festival 2017</t>
  </si>
  <si>
    <t>From leftover food to fashion apparel</t>
  </si>
  <si>
    <t>Biochemical scientists at CityU successfully turned food waste into textile fibre, winning the Gold Medal in the 44th Geneva International Exhibition of Inventions 2016.</t>
  </si>
  <si>
    <t>Honorary Awards Ceremony 2016</t>
  </si>
  <si>
    <t>CityU Delegation at Hong Kong Marathon 2017</t>
  </si>
  <si>
    <t>The 4th Discovery &amp; Innovation Debating Challenge 2016</t>
  </si>
  <si>
    <t>One year anniversary of Innopreneurship Ecosystem &amp; Innovation Commons</t>
  </si>
  <si>
    <t>Floral emblem for blossoming CityU</t>
  </si>
  <si>
    <t>University Development &amp; Achievement 2016</t>
  </si>
  <si>
    <t>Visiting Giuseppe Castiglione Lang Shining New Media Art Exhibition</t>
  </si>
  <si>
    <t>College of Business Orientation 2016</t>
  </si>
  <si>
    <t>Unfolding the stereotypes in The Netherlands #Biking</t>
  </si>
  <si>
    <t>Unfolding the stereotype of Germany #Language</t>
  </si>
  <si>
    <t>Unfolding the stereotype of Germany #Traits of German</t>
  </si>
  <si>
    <t>Unfolding the stereotype of The Netherlands #Geography</t>
  </si>
  <si>
    <t>Unfolding the stereotype of Germany #Sausages and Beer</t>
  </si>
  <si>
    <t>Unfolding the stereotypes of The Netherlands #Safety</t>
  </si>
  <si>
    <t>Honorary Fellow Presentation Ceremony 2016</t>
  </si>
  <si>
    <t>CityU squash players triumph for Hong Kong</t>
  </si>
  <si>
    <t>Giuseppe Castiglione Lang Shining New Media Art Exhibition (Extended until 25 Aug 2016)</t>
  </si>
  <si>
    <t>Projection mapping@Castiglione Opening Ceremony</t>
  </si>
  <si>
    <t>Giuseppe Castiglione Lang Shining New Media Art Exhibition</t>
  </si>
  <si>
    <t>Discovery &amp; Innovation Debating Challenge 2015 - 16</t>
  </si>
  <si>
    <t>CityU Delegation at Hong Kong Marathon 2016</t>
  </si>
  <si>
    <t>University development and achievements 2015</t>
  </si>
  <si>
    <t>Embrace Our Dreams</t>
  </si>
  <si>
    <t>University Life Induction Day 2015</t>
  </si>
  <si>
    <t>Tiny Fish, Global Technology</t>
  </si>
  <si>
    <t>Rebuilding the Tong-an Ships New Media Art Exhibition</t>
  </si>
  <si>
    <t>Rebuilding the Tong-an Ships New Media Art Exhibition -- Opening Ceremony</t>
  </si>
  <si>
    <t>Innovation makes a difference</t>
  </si>
  <si>
    <t>New CityU logo</t>
  </si>
  <si>
    <t>Professional Education in Practice@CityU</t>
  </si>
  <si>
    <t>Student achievements</t>
  </si>
  <si>
    <t>Shaping Your Future: A Lifetime of Difference</t>
  </si>
  <si>
    <t>'Bionic eyes' enhanced through groundbreaking CityU technology</t>
  </si>
  <si>
    <t>['City University Of Hong Kong (College/University)']</t>
  </si>
  <si>
    <t>CityU Delegation - Hong Kong Marathon 2015</t>
  </si>
  <si>
    <t>CityU Discovery Festival 2015</t>
  </si>
  <si>
    <t>Urban media open sky campus</t>
  </si>
  <si>
    <t>Students' novel genetic solution for obesity wins major international award</t>
  </si>
  <si>
    <t>CLASS: An Untold Story of Excellence in Research, Knowledge Transfer, and Education</t>
  </si>
  <si>
    <t>['Student', 'University', 'College']</t>
  </si>
  <si>
    <t>['Dr Elaine Au Liu Suk-ching', 'CityU', 'TEA']</t>
  </si>
  <si>
    <t>Mobile Technology Festival 2014</t>
  </si>
  <si>
    <t>30th Anniversary Banquet</t>
  </si>
  <si>
    <t>Naming of Mr &amp; Mrs Chan Hon Pun Lecture Theatre</t>
  </si>
  <si>
    <t>CityU Homecoming Gala 2014 cum 30th Anniversary Closing Ceremony</t>
  </si>
  <si>
    <t>A year of celebrations</t>
  </si>
  <si>
    <t>30th anniversary student programmes</t>
  </si>
  <si>
    <t>30th anniversary student programmes: Community services and enhancement projects</t>
  </si>
  <si>
    <t>Debating Challenge 2014</t>
  </si>
  <si>
    <t>Our Professional Commitment</t>
  </si>
  <si>
    <t>Research and Innovation@CityU</t>
  </si>
  <si>
    <t>The "Fleeting Light" exhibition at ICC and CMC</t>
  </si>
  <si>
    <t>Sustainability Summit (22-23 October)</t>
  </si>
  <si>
    <t>30th Anniversary Alumni Story Book</t>
  </si>
  <si>
    <t>Antarctica Expedition</t>
  </si>
  <si>
    <t>Playful Media 2014</t>
  </si>
  <si>
    <t>30th Anniversary Joint Concert</t>
  </si>
  <si>
    <t>Shaping Your Future: a Lifetime of Difference 2014</t>
  </si>
  <si>
    <t>CityU invites world renowned media artist to test his works on ICC Tower</t>
  </si>
  <si>
    <t>World renowned media artist Jim Campbell is invited by CityU and HKADC to showcase his works in Hong Kong in September 2014. This is a video of him testing effects at ICC in April.</t>
  </si>
  <si>
    <t>CityU Cultural Festival Opening</t>
  </si>
  <si>
    <t>Discovery-enriched Curriculum</t>
  </si>
  <si>
    <t>Hand2 spot@cityU</t>
  </si>
  <si>
    <t>Discovery and Innovation Debating Challenge</t>
  </si>
  <si>
    <t>30th Anniversary Joint Concert (Part 2)</t>
  </si>
  <si>
    <t>30th Anniversary Joint Concert (Part 1)</t>
  </si>
  <si>
    <t>30th Anniversary Kick-off Ceremony</t>
  </si>
  <si>
    <t>CityU Delegation at Hong Kong Marathon 2014</t>
  </si>
  <si>
    <t>CityU Hong Kong 30th Anniversary</t>
  </si>
  <si>
    <t>Teaching Excellence - Dr Alice Chong Ming Lin</t>
  </si>
  <si>
    <t>Antarctica Expedition (preparation)</t>
  </si>
  <si>
    <t>Information Day 2013</t>
  </si>
  <si>
    <t>CityU Banquet - Dream@CityU</t>
  </si>
  <si>
    <t>CityU Mobile - With all you need in campus</t>
  </si>
  <si>
    <t>An official app of City University of Hong Kong providing a convenient platform for staff, students and visitors to access important information about CityU.
Google Play: https://play.google.com/store/apps/details?id=air.hk.edu.cityu.mobile
App Store: Will be released soon
Developed by the Office of the CIO: http://ocio.cityu.edu.hk</t>
  </si>
  <si>
    <t>English Language Centre Naming Ceremony</t>
  </si>
  <si>
    <t>Student Orientation Welcoming Ceremony 2013</t>
  </si>
  <si>
    <t>['Ceremony (Quotation Subject)', 'Student Orientation']</t>
  </si>
  <si>
    <t>"Expanding Sphere of Innovation@CityU" Exhibition</t>
  </si>
  <si>
    <t>Forensic Science Scheme 2013</t>
  </si>
  <si>
    <t>City-Youth Empowerment Project</t>
  </si>
  <si>
    <t>The Perfect Dream@CityU</t>
  </si>
  <si>
    <t>Project Flame Heats Up Social Innovation and Entrepreneurship at CityU (iCUSP)</t>
  </si>
  <si>
    <t>Straw Competition 2013</t>
  </si>
  <si>
    <t>Measurement and Risk Assessment of Organic Ultraviolet Filters in the Hong Kong Environment (iCUSP)</t>
  </si>
  <si>
    <t>Rediscover Hong Kong's Lost Architectural Heritage (iCUSP)</t>
  </si>
  <si>
    <t>HKCCI: Building Economic Knowledge through the Hong Kong Consumer Confidence Index (iCUSP)</t>
  </si>
  <si>
    <t>Smart Homes with Zero Carbon Emissions (iCUSP)</t>
  </si>
  <si>
    <t>Development of Eco-friendly, Anti-microbial Textiles Using Chinese Herbal Waste (iCUSP)</t>
  </si>
  <si>
    <t>Pure Land: Virtual Environment of the Dunhuang Caves (iCUSP)</t>
  </si>
  <si>
    <t>Green Chemistry in Action: Using Paper Waste to Power Vehicles (iCUSP)</t>
  </si>
  <si>
    <t>Designing Musical Interfaces for All (iCUSP)</t>
  </si>
  <si>
    <t>Antarctica: Exploring Extreme Environments Creatively Through Art and Science (iCUSP)</t>
  </si>
  <si>
    <t>Making Good Use of Food Waste (iCUSP)</t>
  </si>
  <si>
    <t>Meeting the Environmental and Health Challenges of Atmospheric Nanoparticles Pollution (iCUSP)</t>
  </si>
  <si>
    <t>Mobile AIMS saves the day! (part 2 - staff)</t>
  </si>
  <si>
    <t>Mobile AIMS saves the day! (part 1 - student)</t>
  </si>
  <si>
    <t>"Shaping Your Future: A Lifetime of Difference" programme</t>
  </si>
  <si>
    <t>CityU student wins 2nd  prize in science communication competition</t>
  </si>
  <si>
    <t>CityU student Candy Chu Lam-hang delivered 
a 3-minute presentation on the topic "Lessons 
from Nature" at FameLab Hong Kong 2013.</t>
  </si>
  <si>
    <t>2013 CityU Discovery Festival</t>
  </si>
  <si>
    <t>Performance by CityU Dancing Society</t>
  </si>
  <si>
    <t>CityU Delegation</t>
  </si>
  <si>
    <t>CityU Student Ambassadors Inauguration Ceremony</t>
  </si>
  <si>
    <t>['20130219', 'SA']</t>
  </si>
  <si>
    <t>Social Enterprise New Year Festival @ CityU 2013</t>
  </si>
  <si>
    <t>['20130205', 'social', 'enterprise', 'bazaar']</t>
  </si>
  <si>
    <t>Naming ceremony of Mr and Mrs David T F Chow Lecture Theatre</t>
  </si>
  <si>
    <t>['20130130', 'David', 'Chow', 'LT']</t>
  </si>
  <si>
    <t>CityU Student Success Dinner</t>
  </si>
  <si>
    <t>CityU Mobile CAP</t>
  </si>
  <si>
    <t>['20130111', 'CAP', 'mobile']</t>
  </si>
  <si>
    <t>CityU marathon runners compete in Taipei</t>
  </si>
  <si>
    <t>['20121228', 'marathon']</t>
  </si>
  <si>
    <t>2012 Honorary Awards Ceremony</t>
  </si>
  <si>
    <t>['20121204', 'HonGradsPresentation']</t>
  </si>
  <si>
    <t>Teaching Excellence Award presentation</t>
  </si>
  <si>
    <t>['20121203', 'TEAPresentation']</t>
  </si>
  <si>
    <t>2012 Congregation</t>
  </si>
  <si>
    <t>['20121113', 'Congregation']</t>
  </si>
  <si>
    <t>Chow Yei Ching School of Graduate Studies</t>
  </si>
  <si>
    <t>['20121109', 'SGS', 'slideshow']</t>
  </si>
  <si>
    <t>CityU Information Day 2012</t>
  </si>
  <si>
    <t>['20121131', 'Information', 'Day']</t>
  </si>
  <si>
    <t>CityU's Homecoming Gala</t>
  </si>
  <si>
    <t>['2012-10-21', 'Homecoming', 'Gala']</t>
  </si>
  <si>
    <t>"Kouezhan" - School of Creative Media graduate Tong Yee Tak, Judy</t>
  </si>
  <si>
    <t>['20120720', 'Kouezhan']</t>
  </si>
  <si>
    <t>"Rookie Shortie" - School of Creative Media graduate Yeung Oi Wai</t>
  </si>
  <si>
    <t>['University', 'College', 'Student', 'Education']</t>
  </si>
  <si>
    <t>20120716 CityU AC3</t>
  </si>
  <si>
    <t>['20120716', 'CityU', 'AC3']</t>
  </si>
  <si>
    <t>Distinctive features of Academic 2</t>
  </si>
  <si>
    <t>['20120716', 'CityU', 'AC2']</t>
  </si>
  <si>
    <t>Top Academicians at CityU</t>
  </si>
  <si>
    <t>['20120706', 'CityU', 'Top', 'Academicians']</t>
  </si>
  <si>
    <t>Desert Art</t>
  </si>
  <si>
    <t>['20120523', 'Desert', 'Show']</t>
  </si>
  <si>
    <t>Graduation show: "SCM Annual 2012"</t>
  </si>
  <si>
    <t>['20120629', 'SCM', 'Annual', '2012', 'LONG']</t>
  </si>
  <si>
    <t>7th Outstanding Academic Papers by Students (OAPS) awards ceremony</t>
  </si>
  <si>
    <t>['20120529', 'oaps', 'final']</t>
  </si>
  <si>
    <t>CityU's rising status</t>
  </si>
  <si>
    <t>['20120531', 'CityU', 'Ranking', '2012']</t>
  </si>
  <si>
    <t>CityU wins in global battle of legal minds</t>
  </si>
  <si>
    <t>['20120605', 'CityU', 'Moot', 'Victory']</t>
  </si>
  <si>
    <t>College of Science and Engineering Student Project Exhibition 2012</t>
  </si>
  <si>
    <t>['20120612', 'CSE', 'Graduate', 'show']</t>
  </si>
  <si>
    <t>Playful Media -- SIG Showcase 2012</t>
  </si>
  <si>
    <t>['20120611', 'SIG2012']</t>
  </si>
  <si>
    <t>CityU Teaching Excellence Award 2011/12 Awardees</t>
  </si>
  <si>
    <t>['20120604', 'TEA', 'Awardees', '2011', '12']</t>
  </si>
  <si>
    <t>Sir Gordon and Lady Ivy Wu Hall Naming Ceremony</t>
  </si>
  <si>
    <t>['20120531', 'SirGordonHall']</t>
  </si>
  <si>
    <t>Pure Land: Inside the Mogao Grottoes at Dunhuang Exhibition</t>
  </si>
  <si>
    <t>['20120418', 'Pure', 'Land']</t>
  </si>
  <si>
    <t>['Awards']</t>
  </si>
  <si>
    <t>['University', 'Students', 'College', 'Education']</t>
  </si>
  <si>
    <t>School of Creative Media Faculty Exhibition</t>
  </si>
  <si>
    <t>['120315', '2SCMStaffExhibitionTrailer']</t>
  </si>
  <si>
    <t>Hall of the City 2012</t>
  </si>
  <si>
    <t>['20120307JointHallDinnerForCPro']</t>
  </si>
  <si>
    <t>['120227', 'Remembrance']</t>
  </si>
  <si>
    <t>['College', 'University', 'School', 'Student']</t>
  </si>
  <si>
    <t>['120227', 'MELODY']</t>
  </si>
  <si>
    <t>CityU Admission Model 2012</t>
  </si>
  <si>
    <t>['Admission', 'Model', '2011', '09', '02']</t>
  </si>
  <si>
    <t>Connie Fan MMR naming ceremony</t>
  </si>
  <si>
    <t>['events', 'ceremony']</t>
  </si>
  <si>
    <t>['20110705', 'ATVnews']</t>
  </si>
  <si>
    <t>IFC exhibition showcases discovery and innovation</t>
  </si>
  <si>
    <t>['20110527', 'Discover&amp;Innovate', 'at', 'CityU']</t>
  </si>
  <si>
    <t>USFHK 2010-11 Basketball Competitions Finals</t>
  </si>
  <si>
    <t>['20110419', 'BasketballFinal']</t>
  </si>
  <si>
    <t>The Run Run Shaw Creative Media Centre Naming Ceremony</t>
  </si>
  <si>
    <t>['20110408', 'CMC', 'Naming', 'interview', 'tourism', 'japanese pop', 'hindi', 'bollywood', 'canada', 'discussion']</t>
  </si>
  <si>
    <t>CityU - Social Responsibility Day</t>
  </si>
  <si>
    <t>['20110301', 'Responsibility']</t>
  </si>
  <si>
    <t>['20110208', 'theLaunch']</t>
  </si>
  <si>
    <t>CityU (Shenzhen) Research Institute Building officially opens for use</t>
  </si>
  <si>
    <t>['20110127', 'SRIBOpening']</t>
  </si>
  <si>
    <t>['20110118', 'ForestOfBattery']</t>
  </si>
  <si>
    <t>Season's Greetings Video from President Way Kuo</t>
  </si>
  <si>
    <t>["Season's", 'Greetings', 'Video', 'from', 'President', 'Way', 'Kuo']</t>
  </si>
  <si>
    <t>['cityu', 'cityuhk', 'scm', 'cityuhongkong']</t>
  </si>
  <si>
    <t>Cheque Presentation Ceremony for the donation by the Shaw Foundation Hong Kong Ltd.</t>
  </si>
  <si>
    <t>['20101006', 'Shaw']</t>
  </si>
  <si>
    <t>CityU hosts world's first arbitration and mediation moot</t>
  </si>
  <si>
    <t>['moot']</t>
  </si>
  <si>
    <t>ALiVE triggers new era in creativity</t>
  </si>
  <si>
    <t>['20100806', 'ALIVE']</t>
  </si>
  <si>
    <t>Dancing Bamboo -- by SCM student Max Tong Pun-kin</t>
  </si>
  <si>
    <t>['20100720', 'DancingBamboo', 'edited']</t>
  </si>
  <si>
    <t>Cultural celebrations and diversity at Student Residence</t>
  </si>
  <si>
    <t>['20100621', 'SRO', 'celebration']</t>
  </si>
  <si>
    <t>Teaching Excellence Awards 2009-10 winners</t>
  </si>
  <si>
    <t>['TEA2010Winners']</t>
  </si>
  <si>
    <t>Tancho - an award-winning animation by SCM graduate Oscar Sheikh</t>
  </si>
  <si>
    <t>['Tancho', 'SCM', 'CityU', 'City University of Hong Kong', 'School of Creative Media']</t>
  </si>
  <si>
    <t>A Portrait of Success video series: nine distinguished leaders share their success stories</t>
  </si>
  <si>
    <t>['20100305', 'Bridge', 'to', 'Success']</t>
  </si>
  <si>
    <t>Uniting alumni to support CityUs development</t>
  </si>
  <si>
    <t>China PLA visits CityU</t>
  </si>
  <si>
    <t>['20100208', 'PLAvisitCityU']</t>
  </si>
  <si>
    <t>Unveiling of Strategic Plan marks new milestone in CityU development</t>
  </si>
  <si>
    <t>['20100212', 'StrategicPlan']</t>
  </si>
  <si>
    <t>25th Anniversary Banquet</t>
  </si>
  <si>
    <t>['20100201', 'AnniversaryBanquet']</t>
  </si>
  <si>
    <t>1st Distinguished Alumni Awards</t>
  </si>
  <si>
    <t>['20100201', 'DistinguishedAlumni']</t>
  </si>
  <si>
    <t>25th Anniversary Greetings from Students</t>
  </si>
  <si>
    <t>['20100125', '25thStuGreetings']</t>
  </si>
  <si>
    <t>25th Anniversary History Video</t>
  </si>
  <si>
    <t>['20100125', '25thHistory']</t>
  </si>
  <si>
    <t>Structural engineering academic earns prestigious Australian honour</t>
  </si>
  <si>
    <t>['ProfKitipornchai']</t>
  </si>
  <si>
    <t>Season's greetings from President Way Kuo</t>
  </si>
  <si>
    <t>['20091223', 'XmasGreeting']</t>
  </si>
  <si>
    <t>Exchange enriches university life</t>
  </si>
  <si>
    <t>['city', 'story', 'janina']</t>
  </si>
  <si>
    <t>Talking to two from Taiwan</t>
  </si>
  <si>
    <t>['20091127', 'Talking', 'to', 'two', 'from', 'Taiwan']</t>
  </si>
  <si>
    <t>['Happy', 'Birthday']</t>
  </si>
  <si>
    <t>Student Star</t>
  </si>
  <si>
    <t>['citystory', 'student', 'star']</t>
  </si>
  <si>
    <t>['letter', 'dedicated', 'to', 'cityu']</t>
  </si>
  <si>
    <t>The war of beliefs</t>
  </si>
  <si>
    <t>['The', 'war', 'of', 'believes']</t>
  </si>
  <si>
    <t>CityU Gift</t>
  </si>
  <si>
    <t>['Cityu', 'gift']</t>
  </si>
  <si>
    <t>['20091112', 'InterviewKuo']</t>
  </si>
  <si>
    <t>Welcome you to Convocation</t>
  </si>
  <si>
    <t>['20091109', 'Convocation', 'Final']</t>
  </si>
  <si>
    <t>Congratulations Graduates</t>
  </si>
  <si>
    <t>['Congratulations Graduates', 'IHopeUDance']</t>
  </si>
  <si>
    <t>['http://www.cityu.edu.hk']</t>
  </si>
  <si>
    <t>International Advisory Board to boost internationalisation</t>
  </si>
  <si>
    <t>Bastion of quality legal education in a globalised world (English)</t>
  </si>
  <si>
    <t>['20091027', 'slw', 'English']</t>
  </si>
  <si>
    <t>College of Business sets up International Advisory Board to boost internationalisation</t>
  </si>
  <si>
    <t>Shedding light on optical fibre</t>
  </si>
  <si>
    <t>Silver Jubilee Reunion: Ocean Park Night</t>
  </si>
  <si>
    <t>Multi-media Build</t>
  </si>
  <si>
    <t>Creative media graduate portrays the life of an old Shatin village</t>
  </si>
  <si>
    <t>['20091015', 'woche']</t>
  </si>
  <si>
    <t>['20091015', 'national', 'day']</t>
  </si>
  <si>
    <t>An artistic collage of culture, technology, creativity, images and story telling</t>
  </si>
  <si>
    <t>['20091008', 'SCM']</t>
  </si>
  <si>
    <t>Joint-Hall Mid-Autumn Festival Celebration</t>
  </si>
  <si>
    <t>['20091008', 'Joint', 'Hall']</t>
  </si>
  <si>
    <t>Interview of German student</t>
  </si>
  <si>
    <t>['20090928', 'Interview', 'of', 'German', 'student']</t>
  </si>
  <si>
    <t>Interview of Korean student</t>
  </si>
  <si>
    <t>['20090928', 'Interview', 'of', 'Korean', 'student']</t>
  </si>
  <si>
    <t>Bastion of quality legal education in a globalised world (Putonghua)</t>
  </si>
  <si>
    <t>['20090922', 'slw', 'Putonghua']</t>
  </si>
  <si>
    <t>Jesse's English Learning Experience</t>
  </si>
  <si>
    <t>['20090921', 'Jesse', 'English', 'Learning']</t>
  </si>
  <si>
    <t>Interview of an Australian student</t>
  </si>
  <si>
    <t>['20090921', 'Interview', 'of', 'an', 'Australian', 'student']</t>
  </si>
  <si>
    <t>Eye-catching technology knows what we see</t>
  </si>
  <si>
    <t>Dr Mike Yao Zhengyu, Assistant Professor of the Department of Media and Communication has in recent years introduced the technology to CityU. In 2008, when the Department of Media and Communication was officially established, CityU set up an eye-tracking laboratory, which is the first of its kind among local universities.</t>
  </si>
  <si>
    <t>Challenges for CityU's students in the 21st century</t>
  </si>
  <si>
    <t>College of Business</t>
  </si>
  <si>
    <t>['20090909', 'College', 'of', 'Business']</t>
  </si>
  <si>
    <t>Student Orientation: FORMULA</t>
  </si>
  <si>
    <t>['20090907', 'EDO', 'Formula2']</t>
  </si>
  <si>
    <t>President welcomes new students</t>
  </si>
  <si>
    <t>['President', 'welcomes', 'new', 'students']</t>
  </si>
  <si>
    <t>Billy Li, SU President welcomes new students</t>
  </si>
  <si>
    <t>['090902', 'Billy']</t>
  </si>
  <si>
    <t>Will Ma, Convocation representative welcomes new students</t>
  </si>
  <si>
    <t>['090901', 'Will']</t>
  </si>
  <si>
    <t>My CityU experience</t>
  </si>
  <si>
    <t>['090901', 'MyCityUExperience09']</t>
  </si>
  <si>
    <t>['090901', 'CityU', 'Life', 'MV', '09']</t>
  </si>
  <si>
    <t>ePortfolio: May's reflective learning</t>
  </si>
  <si>
    <t>['reflection', 'ePortfolio']</t>
  </si>
  <si>
    <t>Innovative education system benefits schools</t>
  </si>
  <si>
    <t>Dr Li Kui-wai@Reuters</t>
  </si>
  <si>
    <t>['Dr', 'Li', 'Kui-wai']</t>
  </si>
  <si>
    <t>Bastion of quality legal education in a globalised world (Cantonese)</t>
  </si>
  <si>
    <t>Prof Zhang Longxi: a foreign member of Royal Swedish Academy of Letters, History and Antiquities</t>
  </si>
  <si>
    <t>['Celebrates', 'Prof', 'Zhang', 'Longxi', 'with', 'subtitles']</t>
  </si>
  <si>
    <t>The 24th CityU Students Union Joint Inauguration</t>
  </si>
  <si>
    <t>CityU Annual Sports Team Gathering cum prize presentation ceremony</t>
  </si>
  <si>
    <t>['Sports', 'Team', 'Prize', 'Presentation', 'PLASMA']</t>
  </si>
  <si>
    <t>Student Leadership Conference 2009</t>
  </si>
  <si>
    <t>['StudentAmbassador']</t>
  </si>
  <si>
    <t>['citystory', 'reg', 'day']</t>
  </si>
  <si>
    <t>Exemplary teachers claim teaching awards</t>
  </si>
  <si>
    <t>Ms Penny Akers, English Language Centre English Enhancement Course Tutor, Dr Annis Fung Lai-chu, Assistant Professor, Department of Applied Social Studies, and Dr Mei-yung Leung , Assistant Professor, Department of Building and Construction, have received the Teaching Excellence Awards 2008-09 in recognition of their outstanding teaching performance.</t>
  </si>
  <si>
    <t>['TEA']</t>
  </si>
  <si>
    <t>Media Arts Showcase 2009  School of Creative Media</t>
  </si>
  <si>
    <t>School of Creative Media staged its media art show in June which represents the integration of different media that showcase the students creativity and media knowledge.</t>
  </si>
  <si>
    <t>['SCM', 'School of Creative Media']</t>
  </si>
  <si>
    <t>['Citystory', 'CityU canteen']</t>
  </si>
  <si>
    <t>['Ma', 'Wan', 'Tour']</t>
  </si>
  <si>
    <t>['Sequence', '01']</t>
  </si>
  <si>
    <t>['BasketballFinal09']</t>
  </si>
  <si>
    <t>Scholarship Prize Presentation Ceremony 2009</t>
  </si>
  <si>
    <t>['Scholarship', 'Prize', 'Presentation', 'Ceremony', 'COMO', 'WMV']</t>
  </si>
  <si>
    <t>The Hong Kong Polytechnic University</t>
  </si>
  <si>
    <t>Myopic Defocus Technology for Myopia Control in Children</t>
  </si>
  <si>
    <t>PolyU 85th Anniversary Theme Song (Alumni Band)</t>
  </si>
  <si>
    <t>PolyU 85th Anniversary Theme Song (Chinese Orchestra)</t>
  </si>
  <si>
    <t>3D Mapping Aided GNSS for Effective Positioning and Navigation in Urban Areas</t>
  </si>
  <si>
    <t>PolyU Student Affairs Office - Introduction</t>
  </si>
  <si>
    <t>Through this video, you will be able to learn more about the key services and programmes provided by the PolyU Student Affairs Office. Wishing you an amazing university life at PolyU!</t>
  </si>
  <si>
    <t>Prof. Amy Fu, Peter Hung Endowed Professor in Pain Management</t>
  </si>
  <si>
    <t>Peter Hung Endowed Professorship in Pain Management, endowed by H H Hung Charitable Foundation</t>
  </si>
  <si>
    <t>Dr Gilman Siu, Limin Young Scholar in Medical Laboratory Science</t>
  </si>
  <si>
    <t>Limin Endowed Young Scholar in Aerospace Navigation, endowed by PolyU Technology and Consultancy Company Limited</t>
  </si>
  <si>
    <t>Dr Hsu Li-Ta, Limin Young Scholar in Aerospace Navigation</t>
  </si>
  <si>
    <t>Dr Zhou Chao, Tsui Tack Kong Young Scholar in Civil Engineering</t>
  </si>
  <si>
    <t>Tsui Tack Kong Endowed Young Scholar in Civil Engineering, endowed by Ir Tsui Tack-kong</t>
  </si>
  <si>
    <t>Dr Ada Fung, Thetos Foundation Young Scholar inSocial Services</t>
  </si>
  <si>
    <t>Thetos Foundation Endowed Young Scholar in Social Services, endowed by Thetos Foundation</t>
  </si>
  <si>
    <t>Prof. Lim Kai H., Yeung Kin Man Professor in Information Technology Innovation and Management</t>
  </si>
  <si>
    <t>Yeung Kin Man Endowed Professorship in 
Information Technology Innovation and Management, endowed by Dr Yeung Kin Man, SBS, JP</t>
  </si>
  <si>
    <t>Prof. Lu Haitian, Hong Kong Sustaintech Foundation Professor in Accounting and Finance</t>
  </si>
  <si>
    <t>Hong Kong Sustaintech Foundation Endowed Professorship in Accounting and Finance, endowed by Hong Kong Sustaintech Foundation</t>
  </si>
  <si>
    <t>Prof. Raymond Wong, Clarea Au Professor in Energy</t>
  </si>
  <si>
    <t>Clarea Au Endowed Professorship in Energy, endowed by Miss Clarea Au</t>
  </si>
  <si>
    <t>Ir Prof. Yung Kai-leung, BBS, Sir Sze-yuen Chung Professor in Precision Engineering</t>
  </si>
  <si>
    <t>Sir Sze-yuen Chung Endowed Professorship in Precision Engineering, endowed by The Sze-yuen Chung Fund</t>
  </si>
  <si>
    <t>Opening Video for the PolyU Main Entrance Unveiling Ceremony</t>
  </si>
  <si>
    <t>From a humble government trade school to a technical college, from a polytechnic to a world-class university, PolyU has been making impactful contributions to advance the development of Hong Kong, the Nation and the world for 85 years. The unveiling of our Main Entrance marks an important PolyU moment as the University marches forward into the next chapter of its story. PolyU will continue to stay at the forefront of education and research, and closely collaborate with the government, industry and other sectors of society.</t>
  </si>
  <si>
    <t>PolyU Science Research Impact 2022 EP06 - Traditional Chinese Medicine for Bone Disease Management</t>
  </si>
  <si>
    <t>PolyU Science Research Impact 2022 EP05 - Enhancement of Ultrasound Transducers</t>
  </si>
  <si>
    <t>At PolyU, undergraduate students can also realise their research and entrepreneurial dreams!</t>
  </si>
  <si>
    <t>Share Our Pride</t>
  </si>
  <si>
    <t>PolyU community constantly strives for world-class excellence in the areas of education, research and knowledge transfer, and their concerted efforts are deservedly recognised in this newly released ranking results.</t>
  </si>
  <si>
    <t>PolyU Science Research Impact 2022 EP04 - Improving Manufacturing Efficiency</t>
  </si>
  <si>
    <t>Three reasons why you should not miss The #PolyUInnoTechOpenDay!</t>
  </si>
  <si>
    <t>PolyU Flag-Raising Ceremony on 1 Jul 2022</t>
  </si>
  <si>
    <t>PolyU Power Up Exercise (Full Demonstration)</t>
  </si>
  <si>
    <t>PolyU 85th Anniversary Theme Song (Cantonese sing along version)</t>
  </si>
  <si>
    <t>FAST Research Impact 2022 EP03 - Innovating Compression Textiles</t>
  </si>
  <si>
    <t>School of Hotel and Tourism Management</t>
  </si>
  <si>
    <t>School of Hotel and Tourism Management
Speaker: Prof. Kaye Chon</t>
  </si>
  <si>
    <t>School of Design</t>
  </si>
  <si>
    <t>School of Design
Speaker: Prof. Kun-Pyo Lee</t>
  </si>
  <si>
    <t>Faculty of Humanities</t>
  </si>
  <si>
    <t>Faculty of Humanities
Speaker: Prof. Li Ping
Department of Chinese and Bilingual Studies
Speaker: Prof. David C.S. Li &amp; Miss Ho Hiu Man
Department of English and Communication
Speakers: Prof. Eric Friginal &amp; Dr Dennis Tay</t>
  </si>
  <si>
    <t>Faculty of Health and Social Sciences</t>
  </si>
  <si>
    <t>Faculty of Health and Social Sciences
Speaker: Prof. David Shum
Department of Applied Social Sciences
Speaker: Prof. Eric Chui
Department of Health Technology and Informatics
Speaker: Dr Polly Leung
Department of Rehabilitation Sciences
Speaker: Prof. Shamay Ng
School of Nursing
Speaker: Dr Engle Angela Chan
School of Optometry
Speaker: Dr Andrew Lam</t>
  </si>
  <si>
    <t>Faculty of Engineering</t>
  </si>
  <si>
    <t>Faculty of Engineering
Speaker: Prof. Kenneth Lam Kin-Man
Department of Aeronautical and Aviation Engineering
Speaker: Dr Ng Kam Hung
Department of Biomedical Engineering
Speaker: Dr Thomas Lee
Department of Computing
Speaker: Dr Leong Hong Va
Department of Electrical Engineering
Speaker: Dr Kevin KW Chan
Department of Electronic and Information Engineering
Speaker: Prof. Mak Man Wai
Department of Industrial and Systems Engineering
Speaker: Ir Prof. KC Chan
Department of Mechanical Engineering
Speaker: Dr Randolph Leung</t>
  </si>
  <si>
    <t>Faculty of Construction and Environment</t>
  </si>
  <si>
    <t>Faculty of Construction and Environment
Speaker: Prof. Xiang-dong Li
Department of Building Environment and Energy Engineering 
Speakers: Prof. Asif Sohail Usmani &amp; Dr Horace Mui
Department of Building and Real Estate
Speaker: Ir Prof. Michael C.H. Yam
Department of Civil and Environmental Engineering
Speaker: Ir Prof. C.S. Poon
Department of Land Surveying and Geo-Informatics
Speaker: Ir Dr. Wallace Lai</t>
  </si>
  <si>
    <t>Faculty of Business</t>
  </si>
  <si>
    <t>Faculty of Business
Speaker: Dr Xin Xu
School of Accounting and Finance
Speaker: Prof. Nancy Su &amp; Dr George Wong
Department of Logistics and Maritime Studies
Speaker: Prof. Andy C.L. Yeung
Department of Management and Marketing
Speaker: Prof. Liu Wu</t>
  </si>
  <si>
    <t>Faculty of Applied Science and Textiles</t>
  </si>
  <si>
    <t>Faculty of Applied Science and Textiles
Speaker: Prof Kwok Kin-wing
Department of Applied Biology and Chemical Technology
Speaker: Prof. Yu Wing-yiu, Michael
Department of Applied Mathematics
Speaker: Prof. Yiu Ka-fai, Cedric
Department of Applied Physics
Speaker: Prof. Lau Shu-ping, Daniel
Institute of Textiles and Clothing
Speaker: Dr Au Sau-chuen, Joe</t>
  </si>
  <si>
    <t>FAST Research Impact 2022 EP02 - Metal-coated Textiles</t>
  </si>
  <si>
    <t>PolyU Departmental Scheme-based Admission - AIDA &amp; IE Elements</t>
  </si>
  <si>
    <t>PolyU 85th Anniversary Theme Song (Putonghua sing along version)</t>
  </si>
  <si>
    <t>PolyU Power Up Exercise (Short version)</t>
  </si>
  <si>
    <t>FAST Research Impact 2022 EP01 - Microbial Solution for Microplastic Pollution</t>
  </si>
  <si>
    <t>Studying Computing at PolyU to build strong professional networks</t>
  </si>
  <si>
    <t>"When choosing a university, I would consider the kind of opportunities I could tap into and the range of connections I can build in the next 4 years. #PolyU offers a wide range of programmes. This city campus is spacious enough to welcome students from different nationalities but compact enough to build strong professional networks within different industries. PolyU gives you the tools you'll need to set your path to success," says Sadman Sakib Rabbani, a Computing student from Bangladesh. 
In the latest released Quacquarelli Symonds (QS) World University Rankings 2022, PolyU is ranked 66th globally. It has also achieved commendable results in Times Higher Education (THE) World University Rankings by Subject 2022, with Computer Science ranked 64th out of over 1,000 universities in the world.
Applications for 2022-23 undergraduate programmes at PolyU are now open. Entry Scholarships are available. Start your journey to university with an application now.  
Programmes on offer: https://polyu.hk/zFpfD
Admission link: https://polyu.hk/tfGvl
#PolyU #PolyU_GEO #PolyUAdmissions #WeArePolyU #StudyInHongKong #HongKong #StudyatPolyU #PolyULife #2022Intake</t>
  </si>
  <si>
    <t>FAST Research Impact 2022</t>
  </si>
  <si>
    <t>PolyVentures Unicorn - A startup providing autonomous case-handling robotic systems</t>
  </si>
  <si>
    <t>Data Analytics in Accounting and Finance</t>
  </si>
  <si>
    <t>How can accountants and finance professionals manage the growing volume of both structured and unstructured data and develop an analytical mindset to excel at work? This PolyU Massive Open Online Course (MOOC) will take an interdisciplinary approach to describe the data analytics process in the context of accounting and finance, helping learners to master data and use different tools for data analysis. Take this course for free on edx.org: https://www.edx.org/course/data-analytics-in-accounting-and-finance</t>
  </si>
  <si>
    <t>Green Deck - A Catalyst for Vibrant Community</t>
  </si>
  <si>
    <t>Prof. John Shi, Otto Poon Charitable Foundation Professor in Urban Informatics</t>
  </si>
  <si>
    <t>Otto Poon Charitable Foundation Endowed Professorship in Urban Informatics, endowed by Otto Poon Charitable Foundation</t>
  </si>
  <si>
    <t>Prof. Margaret Mak, Shun Hing Education and Charity Fund Professor in Rehabilitation Sciences</t>
  </si>
  <si>
    <t>Shun Hing Education and Charity Fund Endowed Professorship in Rehabilitation Sciences, endowed by Shun Hing Education and Charity Fund</t>
  </si>
  <si>
    <t>Ir Prof. C. S. Poon, Michael Anson Professor in Civil Engineering</t>
  </si>
  <si>
    <t>Michael Anson Endowed Professorship in Civil Engineering, endowed by Able Engineering Company Limited</t>
  </si>
  <si>
    <t>Prof. Li Xiang-dong, Ko Jan Ming Professor in Sustainable Urban Development</t>
  </si>
  <si>
    <t>Ko Jan Ming Endowed Professorship in Sustainable Urban Development, endowed by Vantage Charity Foundation Limited</t>
  </si>
  <si>
    <t>Ir Prof. Albert Chan, Able Professor in Construction Health and Safety</t>
  </si>
  <si>
    <t>Able Endowed Professorship in Construction Health and Safety, endowed by Able Engineering Holdings Limited</t>
  </si>
  <si>
    <t>Ir Prof. Ni Yiqing, Yim, Mak, Kwok &amp; Chung Professor in Smart Structures</t>
  </si>
  <si>
    <t>Yim, Mak, Kwok &amp; Chung Endowed Professorship in Smart Structures, endowed by Ir Yau Kwok-fai</t>
  </si>
  <si>
    <t>Prof. Wu Bo, Fiona Cheung Professor in Spatial Science</t>
  </si>
  <si>
    <t>Fiona Cheung Endowed Professorship in Spatial Science, endowed by Ms Fiona Cheung, MH</t>
  </si>
  <si>
    <t>PolyU International Summer School 2022</t>
  </si>
  <si>
    <t>Junior Research Mentoring Programme 2021</t>
  </si>
  <si>
    <t>OPAA UNITE VIDEO</t>
  </si>
  <si>
    <t>Initiated by the Outstanding PolyU Alumni Association, the OPAA UNITE aims at bringing together outstanding alumni, by harnessing their expertise, wisdom, network and resources to foster the development of the University.</t>
  </si>
  <si>
    <t>China Manned Space</t>
  </si>
  <si>
    <t>China Manned Space
Speaker: Prof. Yu Siu Fung
Language: Cantonese</t>
  </si>
  <si>
    <t>Solar Vehicles for Space</t>
  </si>
  <si>
    <t>Solar Vehicles for Space
Speaker: Prof. Eric Cheng
Language: Cantonese</t>
  </si>
  <si>
    <t>Bone and Joint Health on Earth and in Space</t>
  </si>
  <si>
    <t>Bone and Joint Health on Earth and in Space
Speaker: Ir Prof. Ming Zhang
Language: English</t>
  </si>
  <si>
    <t>Aerothermodynamics in the Entry, Deceleration, and Landing Phase (EDL) of the Mars Mission</t>
  </si>
  <si>
    <t>Aerothermodynamics in the Entry, Deceleration, and Landing Phase (EDL) of the Mars Mission
Speaker: Prof. Chih-Yung Wen
Language: Putonghua</t>
  </si>
  <si>
    <t>Beidou Navigation Satellite System and Our Daily Lives</t>
  </si>
  <si>
    <t>Beidou Navigation Satellite System and Our Daily Lives
Speaker: Dr Li-Ta Hsu
Language: English</t>
  </si>
  <si>
    <t>What is Microgravity? Discovering Interesting Phenomena in Microgravity</t>
  </si>
  <si>
    <t>What is Microgravity? Discovering Interesting Phenomena in Microgravity
Speaker: Dr Albert Choy &amp; Dr Michael Jim
Language: Cantonese</t>
  </si>
  <si>
    <t>Computer Software Challenges for Aerospace Missions</t>
  </si>
  <si>
    <t>Computer Software Challenges for Aerospace Missions
Speaker: Dr Qixin Wang
Language: Putonghua</t>
  </si>
  <si>
    <t>Introduction to Space Astronomy</t>
  </si>
  <si>
    <t>Introduction to Space Astronomy
Speaker: Dr Chun Sing Leung
Language: Cantonese</t>
  </si>
  <si>
    <t>Enabling Technologies for Experiments in Space</t>
  </si>
  <si>
    <t>Enabling Technologies for Experiments in Space
Speaker: Dr Roy Law
Language: Cantonese</t>
  </si>
  <si>
    <t>Introduction to Hong Kong Radio Astronomy</t>
  </si>
  <si>
    <t>Introduction to Hong Kong Radio Astronomy
Speaker: Dr Chun Sing Leung
Language: Cantonese</t>
  </si>
  <si>
    <t>PolyU 85th Anniversary Corporate Video</t>
  </si>
  <si>
    <t>The first MOOC about Interdisciplinary Innovations for Population Ageing</t>
  </si>
  <si>
    <t>Population ageing is a global phenomenon profoundly affecting the well-being of communities. Social sciences, design, and engineering each offers unique, insightful innovations for ageing societies. In response to rapidly ageing populations, this course intends to equip learners with age-friendly mindsets and capacities to fulfill the burgeoning demand for tailored, innovative policy, products, and services for older adults. The design of this course has been inspired by the belief that we should move beyond a uni-disciplinary, problem-oriented approach with the burden view when addressing ageing issues to adopt a more multidisciplinary, opportunity-oriented approach which emphasises on mobilising learners as asset for active ageing promotion.
Course Enrollment: https://www.edx.org/course/interdisciplinary-innovations-for-population-aging</t>
  </si>
  <si>
    <t>['PolyU85', 'MOOC']</t>
  </si>
  <si>
    <t>PolyU 85th Anniversary Theme Song</t>
  </si>
  <si>
    <t>['PolyU85', 'PolyU', 'PolyU Students', 'PolyU Student', 'PolyU Alumni', 'Hong Kong Polytechnic University', 'Hong Kong Polytechnic', 'Hong Kong University', 'HK PolyU', 'PolyU Research', 'PolyU Event']</t>
  </si>
  <si>
    <t>['PolyU85', 'PolyU', 'PolyU Students', 'PolyU Student', 'PolyU Alumni', 'Hong Kong Polytechnic University', 'Hong Kong Polytechnic', 'Hong Kong University', 'HK PolyU', 'PolyU Research', 'PolyU Event', 'Olympics 2020', 'Tokyo 2020', 'China Olympics', 'Olympics', 'Olympics Athletes']</t>
  </si>
  <si>
    <t>News &amp; Politics</t>
  </si>
  <si>
    <t>PolyU 85th Anniversary Celebratory Video</t>
  </si>
  <si>
    <t>['#PolyU85', 'PolyU85', 'PolyU', 'PolyU Students', 'PolyU Student', 'PolyU Alumni', 'Hong Kong Polytechnic University', 'Hong Kong Polytechnic', 'Hong Kong University', 'HK PolyU', 'PolyU Research', 'PolyU Event']</t>
  </si>
  <si>
    <t>Outstanding PolyU Alumni 2021 Awardee: Ms Mary Yu Wah</t>
  </si>
  <si>
    <t>Founder, Mary Yu Design
Higher Diploma in Fashion and Clothing 2003
Bachelor of Arts (Hons) in Fashion and Textiles (Fashion and Textile Design) 2005
Master of Design (Design Practices) 2008</t>
  </si>
  <si>
    <t>Patients with adolescent idiopathic scoliosis (AIS) are traditionally required to wear a heavy plastic brace for 23 hours every day until the skeletal growth is mature. Prolonged contact with the brace may cause skin allergy, swelling, ulcer or eczema. As a university academic and a #PolyU alumna, Dr Joanne Yip hopes to make a difference by helping these patients, leveraging her research skills and innovation. With support from PolyU Tech Launchpad Fund, she and her research team founded a startup to develop a tank-top with a biofeedback system and multiple sensors, which provide back muscle and customised posture training for AIS patients. Watch this video and learn how this biofeedback technology helps patients maintain correct postures through daily practice. Dr Joanne Yip | Associate Professor and Associate Dean, Faculty of Applied Science and Textiles Founder, Active Biotechnology (Hong Kong) Company Limited</t>
  </si>
  <si>
    <t>Outstanding PolyU Alumni 2021 Awardee: Dr Alex Wong Siu-wah</t>
  </si>
  <si>
    <t>['PolyU', 'Hong Kong PolyU', 'PolyU Alumni', 'Outstanding PolyU Alumni']</t>
  </si>
  <si>
    <t>Outstanding PolyU Alumni 2021 Awardee: Sr Augustine Wong Ho-ming, JP</t>
  </si>
  <si>
    <t>Executive Director and General Manager of the Property Development Department, 
Henderson Land Development Company Limited
Diploma in Building Studies 1980 
Higher Diploma in Surveying (General Practice Surveying) 1982
Advanced Higher Diploma in General Practice Surveying 1983
Master of Science in E-Commerce for Executives 2002</t>
  </si>
  <si>
    <t>Outstanding PolyU Alumni 2021 Awardee: The Hon. Tony Tse Wai-chuen, BBS, JP</t>
  </si>
  <si>
    <t>Member, Legislative Council (Architectural, Surveying, Planning &amp; Landscape), HKSAR Government
Higher Diploma in Surveying (General Practice Division) 1976</t>
  </si>
  <si>
    <t>Outstanding PolyU Alumni 2021 Awardee: The Hon. Alfred Sit Wing-hang, JP</t>
  </si>
  <si>
    <t>Secretary for Innovation and Technology, Innovation and Technology Bureau, HKSAR Government
Higher Diploma in Electrical Engineering 1981
Associateship in Electrical Engineering 1982</t>
  </si>
  <si>
    <t>Outstanding PolyU Alumni 2021 Awardee: Mr Michael Ross</t>
  </si>
  <si>
    <t>Vice Chairman, Charoen Pokphand Group
Co-chairman, CP Commercial Real Estate
Higher Diploma in Institutional Management and Catering Studies 1989</t>
  </si>
  <si>
    <t>Outstanding PolyU Alumni 2021 Awardee: Ir Dr Kelvin Leung Kai-yuen</t>
  </si>
  <si>
    <t>CEO, Asia Pacific, DHL Global Forwarding (Hong Kong) Limited
Doctor in Business Administration 2010</t>
  </si>
  <si>
    <t>Outstanding PolyU Alumni 2021 Awardee: Mr Tino Kwan Wing-kuen</t>
  </si>
  <si>
    <t>Founder and Principal Consultant, Tino Kwan Lighting Consultants Limited
Higher Diploma in Industrial Design 1973</t>
  </si>
  <si>
    <t>Outstanding PolyU Alumni 2021 Awardee: Ms Janet Chen Lijuan</t>
  </si>
  <si>
    <t>Chairman, Shenzhen Ebeca Beauty Technology Investment Company Limited
Master of Business Administration 2007</t>
  </si>
  <si>
    <t>Outstanding PolyU Alumni 2021 Awardee: Mr Jack Chan Hoi</t>
  </si>
  <si>
    <t>EY China Chairman, 
Greater China Regional Managing Partner and Global Executive Member, Ernst &amp; Young
Bachelor of Arts (Hons) in Accountancy 1992  
Master of Corporate Finance 2003</t>
  </si>
  <si>
    <t>Knowledge Transfer (KT) @ PolyU 2021</t>
  </si>
  <si>
    <t>Knowledge transfer to society is increasingly recognised as a significant driving force for Hong Kong's economic growth. As a dedicated strategic partner of the business and industrial sectors, PolyU is committed to creating and transferring technology and knowhow with application value to the wider world, and assisting industry to create innovative products and strengthen the competitive edge of enterprises in the global marketplace.</t>
  </si>
  <si>
    <t>['WeArePolyU', 'PolyU', 'PolyU alumni', 'PolyU alumnus', 'university', 'Poly-preneur', 'startup', 'Beyond Vision Projects', 'visually impaired', 'Tactile-Audio Interaction System', 'social enterprise', 'tactile graphics', 'tactile']</t>
  </si>
  <si>
    <t>Evidence-based Myopia Control</t>
  </si>
  <si>
    <t>Speaker: Dr Vincent Ng, School of Optometry 
Language: Cantonese</t>
  </si>
  <si>
    <t>Food as a Universal Language in World Tourism</t>
  </si>
  <si>
    <t>Speaker: Dr Pearl Lin, School of Hotel and Tourism Management 
Language: English</t>
  </si>
  <si>
    <t>Robot Alice: The Science behind an Application that Stole the Hearts Worldwide</t>
  </si>
  <si>
    <t>Speaker: Prof. Johan Hoorn, School of Design 
Language: English</t>
  </si>
  <si>
    <t>A First Look into AI+ Investment</t>
  </si>
  <si>
    <t>Speaker: Dr Yong Jimmy Jin, School of Accounting and Finance
Language: English</t>
  </si>
  <si>
    <t>Speaker: Prof. K. L. Yung, Department of Industrial and Systems Engineering 
Language: Cantonese</t>
  </si>
  <si>
    <t>Fun with Language</t>
  </si>
  <si>
    <t>Speaker: Dr Wu Wing Li, Department of Chinese and Bilingual Studies 
Language: Cantonese</t>
  </si>
  <si>
    <t>New Indoor Air-ventilation Energy Monitoring System under COVID-19</t>
  </si>
  <si>
    <t>Speaker: Dr Horace Mui, Department of Building Services Engineering 
Language: Cantonese</t>
  </si>
  <si>
    <t>Children with special educational needs often suffer from low self-esteem and tense family relationships, and struggle with their academic performance. #PolyU alumnus Ernest Chan hopes to make a difference and bring positive impact to their lives. With support from the PolyU Micro Fund Scheme, he founded a start-up social enterprise focused on developing games for children with special educational needs. Watch the first episode of our Poly-preneur series and learn about the Kinect training game developed for children with dyslexia to help them learn Chinese handwriting and an online game specially designed to enhance the execution skills of children with autism and attention deficit hyperactivity disorder.
Ernest Chan | Department of Land Surveying and Geo-Informatics alumnus
More: https://polyu.edu.hk/WeArePolyU</t>
  </si>
  <si>
    <t>['WeArePolyU', 'PolyU', 'PolyU alumni', 'PolyU alumnus', 'university', 'social enterprise', 'Poly-preneur', 'Special Educational Needs', 'startup', 'dyslexia', 'autism', 'ADHD']</t>
  </si>
  <si>
    <t>['Polyu', 'PolyU', 'Hong Kong Polytechnic University', 'HKPolyU', 'Hong Kong PolyU', 'HK Polytechnic University', 'Mars mission', 'space mission', 'space exploration', 'mars exploration']</t>
  </si>
  <si>
    <t>['WeArePolyU', 'PolyU', 'PolyU student', 'PolyU students', 'university', 'Service-learning', 'cambodia']</t>
  </si>
  <si>
    <t>['WeArePolyU', 'PolyU', 'PolyU alumnus', 'PolyU alumni', 'PolyU staff', 'university', 'Service-learning', 'cambodia']</t>
  </si>
  <si>
    <t>Rediscover your alma mater</t>
  </si>
  <si>
    <t>PolyU is our home. A place where we build friendships, explore new opportunities and make meaningful impact. A place where we Connect, Empower, Honour and Support one another. Explore the resources available to you as an alumnus. It is time to rediscover your alma mater.</t>
  </si>
  <si>
    <t>['PolyU', 'The Hong Kong Polytechnic University', 'Hongkong PolyU', 'alumni', 'alumnus', 'alma mater']</t>
  </si>
  <si>
    <t>Prof. Hector Tsang, Cally Kwong Mei Wan Professor in Psychosocial Health</t>
  </si>
  <si>
    <t>Cally Kwong Mei Wan Endowed Professorship in Psychosocial Health, endowed by Miss Cally Kwong Mei-wan</t>
  </si>
  <si>
    <t>['PolyU', 'HKPolyU', 'Hong Kong PolyU', 'Hong Kong Polytechnic University', 'professorship', 'Endowed Professorship']</t>
  </si>
  <si>
    <t>['PolyU', 'Hong Kong Polytechnic University', 'HKPolyU', 'HK Polytechnic University', 'HK PolyU', 'Aviation', 'ASRC', 'Maintenance Repair and Overhaul', 'Aviation Services Research Centre', 'MRO', 'aerospace']</t>
  </si>
  <si>
    <t>Ir Prof. H.C. Man, Cheng Yick-chi Chair Professor in Manufacturing Engineering</t>
  </si>
  <si>
    <t>Cheng Yick-chi Chair in Manufacturing Engineering, donated by The Late Dr Cheng Yick-chi</t>
  </si>
  <si>
    <t>Prof. Lee Kun-pyo, Swire Chair Professor in Design</t>
  </si>
  <si>
    <t>Swire Professorship in Design, donated by Swire Group</t>
  </si>
  <si>
    <t>Prof. Lee Kun-pyo, Alex Wong Siu Wah Gigi Wong Fook Chi Professor in Product Design Engineering</t>
  </si>
  <si>
    <t>Ir Prof. Wang Shengwei, Otto Poon Charitable Foundation Professor in Smart Building</t>
  </si>
  <si>
    <t>Otto Poon Charitable Foundation Endowed Professorship in Smart Building, endowed by Otto Poon Charitable Foundation</t>
  </si>
  <si>
    <t>Prof. Li Gang, Sir Sze-yuen Chung Professor in Renewable Energy</t>
  </si>
  <si>
    <t>Sir Sze-yuen Chung Endowed Professorship in Renewable Energy, endowed by The Sze-yuen Chung Fund</t>
  </si>
  <si>
    <t>Prof. David Shum, Yeung Tsang Wing Yee and Tsang Wing Hing Professor in Neuropsychology</t>
  </si>
  <si>
    <t>Yeung Tsang Wing Yee and Tsang Wing Hing Endowed Professorship in Neuropsychology, endowed by Dr Eddie Yeung and The Estate of Tsang Wing Hing</t>
  </si>
  <si>
    <t>Prof. Cao Jiannong, Otto Poon Charitable Foundation Professor in Data Science</t>
  </si>
  <si>
    <t>Otto Poon Charitable Foundation Endowed Professorship in Data Science, endowed by Otto Poon Charitable Foundation</t>
  </si>
  <si>
    <t>PolyU National Research Facilities</t>
  </si>
  <si>
    <t>['PolyU', 'Hong Kong Polytechnic University', 'HKPolyU', 'Hong Kong PolyU', 'HK Polytechnic University', 'research facilities', 'national research facilities', 'research excellence', 'steel construction', 'rail transit', 'drug development', 'ultra-precision machining']</t>
  </si>
  <si>
    <t>Welcome to PolyU International Summer School 2021</t>
  </si>
  <si>
    <t>['PolyU', 'HKPolyU', 'Hong Kong Polytechnic University', 'HK Polytechnic University', 'Summer School', 'Summer Programmes', 'University programmes', 'International Summer Programmes']</t>
  </si>
  <si>
    <t>['The Hong Kong Polytechnic University', 'PolyU', 'HongKongPolyU', 'Space', 'lunar exploration', 'moon exploration', 'space exploration', "Chang'e", "Chang'e 5", 'China space mission', 'space mission', 'China lunar exploration', 'lunar sample']</t>
  </si>
  <si>
    <t>['The Hong Kong Polytechnic University', 'Hong Kong PolyU', 'PolyU', 'HongKongPolyU', 'innovation', 'research', 'lunar exploration', 'space exploration', 'space', "Chang'e", 'space mission']</t>
  </si>
  <si>
    <t>['The Hong Kong Polytechnic University', 'PolyU', 'corporate video', 'brand', 'To learn and to apply', 'for the benefit of mankind', 'HongKongPolyU']</t>
  </si>
  <si>
    <t>PolyU Research Opportunities</t>
  </si>
  <si>
    <t>PolyU invites exceptional students to join our research endeavour @ The Hong Kong Polytechnic University!</t>
  </si>
  <si>
    <t>['PolyU', 'Hong Kong PolyU', 'The Hong Kong Polytechnic University', 'university research', 'research opportunities', 'PhD', 'university research student', 'research student', 'university research programme', 'PhD student']</t>
  </si>
  <si>
    <t>Sports</t>
  </si>
  <si>
    <t>PolyU Flag-Raising Ceremony on National Day</t>
  </si>
  <si>
    <t>['PolyU', 'Hong Kong PolyU', 'The Hong Kong Polytechnic University']</t>
  </si>
  <si>
    <t>Recognising Dedicated Educators: Making a Difference</t>
  </si>
  <si>
    <t>['PolyU', 'Hong Kong PolyU', 'The Hong Kong Polytechnic University', 'educators', 'Teaching &amp; Learning']</t>
  </si>
  <si>
    <t>Big Data in a Tiny Package</t>
  </si>
  <si>
    <t>A team of PolyU researchers is pioneering a new method that could revolutionise how we store data.</t>
  </si>
  <si>
    <t>['PolyU', 'Hong Kong PolyU', 'The Hong Kong Polytechnic University', 'research', 'peptide', 'data storage', 'big data']</t>
  </si>
  <si>
    <t>PolyU Campus - Aerial View</t>
  </si>
  <si>
    <t>['PolyU', 'Hong Kong PolyU', 'The Hong Kong Polytechnic University', 'university students', 'students', 'PolyU campus', 'polyu', 'polyu campus', 'polyu aerial', 'aerial']</t>
  </si>
  <si>
    <t>The 2020 Diploma of Secondary Education Examination results will be announced soon. PolyU Student Ambassadors express their support to candidates. WE ARE WITH YOU!</t>
  </si>
  <si>
    <t>['PolyU', 'Hong Kong PolyU', 'The Hong Kong Polytechnic University', 'DSE', 'HKDSE', 'Hong Kong Diploma of Secondary Education', 'Diploma of Secondary Education']</t>
  </si>
  <si>
    <t>A Crash Course into Coffee Basics</t>
  </si>
  <si>
    <t>Speaker: Mr Jonathan Sutton, School of Hotel and Tourism Management
Language: English</t>
  </si>
  <si>
    <t>['PolyU', 'Hong Kong PolyU', 'The Hong Kong Polytechnic University', 'university students', 'students', 'online lecture', 'coffee', 'online class']</t>
  </si>
  <si>
    <t>Can a Product be Designed to Heal Relationship?</t>
  </si>
  <si>
    <t>Speaker: Mr Benny Leong, School of Design
Language: Cantonese</t>
  </si>
  <si>
    <t>['PolyU', 'Hong Kong PolyU', 'The Hong Kong Polytechnic University', 'university students', 'students', 'online lecture', 'online class', 'product design', 'design']</t>
  </si>
  <si>
    <t>Fundamentals of Modern Marketing</t>
  </si>
  <si>
    <t>Speaker: Dr Winslet Chan, Department of Management and Marketing
Language: English</t>
  </si>
  <si>
    <t>['PolyU', 'Hong Kong PolyU', 'The Hong Kong Polytechnic University', 'university students', 'students', 'online lecture', 'online class', 'marketing', 'modern marketing']</t>
  </si>
  <si>
    <t>Jet Engines for Commercial Aircraft</t>
  </si>
  <si>
    <t>Speaker: Prof. Simon Yu, Interdisciplinary Division of Aeronautical and Aviation Engineering
Language: Cantonese</t>
  </si>
  <si>
    <t>['PolyU', 'Hong Kong PolyU', 'The Hong Kong Polytechnic University', 'university students', 'students', 'online lecture', 'online class', 'jet engines', 'aircraft']</t>
  </si>
  <si>
    <t>Olympics and Sports Clothing Innovation</t>
  </si>
  <si>
    <t>Speaker: Dr Joanne Yip, Institute of Textiles and Clothing
Language: Cantonese</t>
  </si>
  <si>
    <t>['PolyU', 'Hong Kong PolyU', 'The Hong Kong Polytechnic University', 'university students', 'students', 'online lecture', 'online class', 'sports clothing', 'clothing']</t>
  </si>
  <si>
    <t>Physics 101 for Physiotherapist</t>
  </si>
  <si>
    <t>Speaker: Mr Raymond Lo, Department of Rehabilitation Sciences
Language: Cantonese</t>
  </si>
  <si>
    <t>['PolyU', 'Hong Kong PolyU', 'The Hong Kong Polytechnic University', 'university students', 'students', 'online lecture', 'online class', 'physiotherapy', 'rehabilitation']</t>
  </si>
  <si>
    <t>The Magic of Light</t>
  </si>
  <si>
    <t>Speakers: Dr Michael Jim and Dr Albert Choy, Department of Applied Physics
Language: Cantonese</t>
  </si>
  <si>
    <t>['PolyU', 'Hong Kong PolyU', 'The Hong Kong Polytechnic University', 'university students', 'students', 'online lecture', 'online class', 'physics', 'light']</t>
  </si>
  <si>
    <t>Why do Housing Prices Go Sky high?</t>
  </si>
  <si>
    <t>Speaker: Prof. Eddie Hui, Department of Building and Real Estate
Language: Cantonese</t>
  </si>
  <si>
    <t>['PolyU', 'Hong Kong PolyU', 'The Hong Kong Polytechnic University', 'university students', 'students', 'online lecture', 'online class', 'housing prices', 'hong kong housing']</t>
  </si>
  <si>
    <t>Be a Fashionable Pop word User!</t>
  </si>
  <si>
    <t>Speaker: Dr Angela Tse, Department of English
Language: English</t>
  </si>
  <si>
    <t>['PolyU', 'Hong Kong PolyU', 'The Hong Kong Polytechnic University', 'university students', 'students', 'online lecture', 'English']</t>
  </si>
  <si>
    <t>Going Online at PolyU</t>
  </si>
  <si>
    <t>Combat COVID-19 in Concert</t>
  </si>
  <si>
    <t>['covid19', 'coronavirus', 'polyu', 'hong kong', 'university', 'research', 'virus', 'diagnostic', 'innovation', 'faceshield', 'diagnostic system', 'community care', 'higher education', 'pandemic']</t>
  </si>
  <si>
    <t>Messages for DSE candidates</t>
  </si>
  <si>
    <t>The 2020 Diploma of Secondary Education Examination is coming. PolyU Student Ambassadors share their experience in preparing for the Examination and express their care and encouragement to candidates.</t>
  </si>
  <si>
    <t>['PolyU', 'Hong Kong PolyU', 'The Hong Kong Polytechnic University', 'University students', 'HKDSE', 'DSE', 'Diploma of Secondary Education Examination', 'Hong Kong Diploma of Secondary Education Examination', 'Exam tips', 'Exam preparation', 'study tips']</t>
  </si>
  <si>
    <t>Technology Transfer for Disease Prevention in the Community</t>
  </si>
  <si>
    <t>['PolyU', 'Hong Kong Polytechnic University', 'Coronavirus', 'COVID-19', 'COVID19', 'face shields', 'medical supplies', 'Hong Kong PolyU', 'Technology', 'face shield']</t>
  </si>
  <si>
    <t>Innovation for Effective Control of Infectious Diseases</t>
  </si>
  <si>
    <t>PolyU develops the world's most comprehensive rapid, automated multiplex diagnostic system for detecting up to 40 infectious respiratory pathogens (including novel coronavirus) in a single test.</t>
  </si>
  <si>
    <t>['PolyU', 'Hong Kong PolyU', 'The Hong Kong Polytechnic University', 'PolyU research', 'University research', 'innovation', 'infectious respiratory pathogens', 'COVID-19', 'COVID19', 'Coronavirus', 'virus detection', 'virus diagnosis', 'virus diagnostic system']</t>
  </si>
  <si>
    <t>['PolyU', 'Hong Kong PolyU', 'PolyU School of Optometry', 'Optometry', 'Eye care', 'healthy eyes', 'eyecare', 'eye care tips', 'healthcare', 'computer vision syndrome', 'vision care']</t>
  </si>
  <si>
    <t>3D-printed face shield for frontline medical personnel</t>
  </si>
  <si>
    <t>PolyU designs a new 3D-printed face shield for Hospital Authority to help alleviate the imminent need for protective gear amongst frontline medical professionals in the fight against the coronavirus epidemic.</t>
  </si>
  <si>
    <t>['PolyU', 'Hong Kong Polytechnic University', 'Coronavirus', 'COVID-19', 'COVID19', '3Dprinting', '3D Print', 'face shields', 'medical supplies', 'Hong Kong PolyU']</t>
  </si>
  <si>
    <t>Tips for 2020 DSE Candidates</t>
  </si>
  <si>
    <t>PolyU Student Ambassadors share their experience in preparing for Diploma of Secondary Education Examination, which candidates may find it helpful particularly in the last week of preparation.</t>
  </si>
  <si>
    <t>['PolyU', 'Hong Kong PolyU', 'The Hong Kong Polytechnic University', 'University students', 'HKDSE', 'DSE', 'Diploma of Secondary Education Examination', 'Hong Kong Diploma of Secondary Education Examination', 'Exam tips', 'Exam preparation', 'Study tips']</t>
  </si>
  <si>
    <t>Encouragement to 2020 DSE Candidates</t>
  </si>
  <si>
    <t>2020 Diploma of Secondary Education Examination is coming. PolyU Student Ambassadors express their care and encouragement to candidates.</t>
  </si>
  <si>
    <t>['PolyU', 'Hong Kong PolyU', 'The Hong Kong Polytechnic University', 'HKDSE', 'Diploma of Secondary Education Examination', 'Hong Kong Diploma of Secondary Education Examination', 'Cheer', 'DSE', 'encouragement', 'University life', 'university students']</t>
  </si>
  <si>
    <t>Love@Green Campus</t>
  </si>
  <si>
    <t>['Sustainable Campus', 'green campus', 'waste reduction', 'sustainability education', 'environmental friendly']</t>
  </si>
  <si>
    <t>PolyU Research</t>
  </si>
  <si>
    <t>PolyU is a world-class university, making bold advances that break new ground. Our two State Ministry of Science and Technology approved Hong Kong Branch research centres for high performance steel and national rail transit electrification and automation, as well as two State Key Laboratories for chemical biology and drug discovery and ultra-precision machining respectively are known for innovations that steer technology advancement and contribute to local, national and regional development. More: https://polyu.hk/GfjfC</t>
  </si>
  <si>
    <t>['PolyU', 'Hong Kong PolyU', 'The Hong Kong Polytechnic University', 'PolyU research', 'university research', 'research laboratories', 'State Key Laboratories', 'research facilities', 'innovation', 'innovative research', 'innovation and technology', 'high performance steeel', 'rail transit research', 'chemical biology research', 'drug discovery', 'drug research', 'precision machining']</t>
  </si>
  <si>
    <t>eNightLog</t>
  </si>
  <si>
    <t>PolyU developed a safe and non-restraint multi-function nighttime monitoring system for elderly with dementia, to track their respiration and activities in bed for preventing fall or wandering away.</t>
  </si>
  <si>
    <t>['PolyU', 'Hong Kong Polytechnic University', 'Hong Kong PolyU', 'PolyU research', 'university research', 'dementia', 'elderly dementia', 'healthcare', 'health innovation', 'innovation and technology', 'applicable technology', 'applicable research', 'health research']</t>
  </si>
  <si>
    <t>3D fingerprint identification system</t>
  </si>
  <si>
    <t>PolyU developed a novel system for three-dimensional (3D) fingerprint identification, pushing contactless biometric technology into a new realm of speed and accuracy for use in identification, crime investigation, immigration control, security of access and forensic applications at an affordable cost.</t>
  </si>
  <si>
    <t>['PolyU', 'Hong Kong PolyU', 'The Hong Kong Polytechnic University', 'PolyU research', 'university research', '3D fingerprint', '3D technology', '3D fingerprint identification', 'fingerprint identification', 'biometric technology', 'innovation', '3D innovation', 'innovation and technology', 'applicable technology']</t>
  </si>
  <si>
    <t>Outstanding PolyU Alumni Award 2019</t>
  </si>
  <si>
    <t>PolyU presented the "Outstanding PolyU Alumni Award 2019" to nine alumni at the award presentation ceremony and dinner on 30 April 2019 at Hotel ICON, to pay tribute to their remarkable professional achievements and significant contributions to the community and their alma mater.</t>
  </si>
  <si>
    <t>['PolyU', 'Hong Kong PolyU', 'The Hong Kong Polytechnic University', 'PolyU Alumni', 'university graduate', 'outstanding PolyU alumni', 'outstanding alumni', 'award ceremony']</t>
  </si>
  <si>
    <t>Outstanding PolyU Alumni 2019 Awardee: Mr Alex Lui Chun-wan</t>
  </si>
  <si>
    <t>A renowned architect and city planner, and Member, The Hong Kong Polytechnic University Court
Higher Certificate in Building 1964</t>
  </si>
  <si>
    <t>Outstanding PolyU Alumni 2019 Awardee: Mrs Natalia Seng Sze Ka-mee</t>
  </si>
  <si>
    <t>Vice Chairman, Tricor HK and Offshore and Member, Tricor China Management Committee, Tricor Group and Tricor Services Limited
Higher Diploma in Company Secretaryship and Administration 1979</t>
  </si>
  <si>
    <t>Outstanding PolyU Alumni 2019 Awardee: Mr Elton Ng Chun-ting</t>
  </si>
  <si>
    <t>Founder and Chief Executive Officer, Centre of Rehabilitation &amp; Exercising Specialist
Bachelor of Science in Physiotherapy 2000 / 
Master of Science in Sports Physiotherapy 2005</t>
  </si>
  <si>
    <t>Outstanding PolyU Alumni 2019 Awardee: Mr Marcellus Wong Yui-keung</t>
  </si>
  <si>
    <t>Vice Chairman, AMTD Group
Higher Diploma in Accountancy 1977</t>
  </si>
  <si>
    <t>Outstanding PolyU Alumni 2019 Awardee: Mr Dominic Tam Jo-tak</t>
  </si>
  <si>
    <t>Executive Chairman and Chief Executive Officer, Combine Will International Holdings Limited
Higher Diploma in Production and Industrial Engineering 1977</t>
  </si>
  <si>
    <t>Outstanding PolyU Alumni 2019 Awardee: Mr Chu Chen-on</t>
  </si>
  <si>
    <t>Co-founder, October Pictures Limited
Diploma in Design 1985 / 
Bachelor of Arts in Design (Graphic Design) 1988</t>
  </si>
  <si>
    <t>Outstanding PolyU Alumni 2019 Awardee: Dr Herman Lau Mun-cheung</t>
  </si>
  <si>
    <t>Hospital Chief Executive, Bradbury Hospice, Cheshire Home, Shatin, and Shatin Hospital
Professional Diploma in Physiotherapy 1984 / 
Master of Philosophy 2006 / 
Doctor of Philosophy 2011</t>
  </si>
  <si>
    <t>Outstanding PolyU Alumni 2019 Awardee: Ir Arthur Lee Kam-hung</t>
  </si>
  <si>
    <t>Founder and Chairman, Kolinker Group and Member, The Hong Kong Polytechnic University Council
Higher Diploma in Electronic Engineering 1981
Master of Science in Engineering Business Management 2008</t>
  </si>
  <si>
    <t>Outstanding PolyU Alumni 2019 Awardee: Sr Lau Ping-cheung, GBS, JP</t>
  </si>
  <si>
    <t>Managing Director, Biel Asset Management Company Limited and Member, The Hong Kong Polytechnic University Council
Higher Diploma in Quantity Surveying 1974</t>
  </si>
  <si>
    <t>PolyU and the Greater Bay Area</t>
  </si>
  <si>
    <t>PolyU has been supporting the development of the Guangdong-Hong Kong-Macao Greater Bay Area through contributing our strengths in research, knowledge transfer, entrepreneurship and professional education.</t>
  </si>
  <si>
    <t>['PolyU', 'Hong Kong PolyU', 'The Hong Kong Polytechnic University', 'Greater Bay Area', 'Greater Bay Area development', 'Guangdong-Hong Kong-Macao Greater Bay Area']</t>
  </si>
  <si>
    <t>PolyU JUPAS Consultation Day 2019</t>
  </si>
  <si>
    <t>['PolyU', 'Hong Kong PolyU', 'The Hong Kong Polytechnic University', 'university admission', 'Hong Kong universities', 'universities in Hong Kong', 'University students', 'JUPAS', 'Hong Kong JUPAS', 'study in Hong Kong', 'university study', 'admission to university']</t>
  </si>
  <si>
    <t>The latest PolyU award-winning technologies invented to reshape the industries, to go beyond precision, to build a greener world, to safeguard your wellbeing and to power up your future.</t>
  </si>
  <si>
    <t>['PolyU', 'Hong Kong PolyU', 'The Hong Kong Polytechnic University', 'PolyU research', 'university research', 'research projects', 'university research and development', 'research and technology', 'green technology', 'healthcare research']</t>
  </si>
  <si>
    <t>Indirect Evaporative Cooler for Efficient Energy Recovery</t>
  </si>
  <si>
    <t>This innovative system significantly recovers energy by using exhaust air in a central air-conditioning system to cool and dehumidify fresh air, saving around 17% to 35% of energy.</t>
  </si>
  <si>
    <t>['PolyU', 'Hong Kong PolyU', 'The Hong Kong Polytechnic University', 'university research', 'PolyU research', 'energy research', 'energy recovery', 'green technology', 'building services engineering', 'building services', 'building services engineering research', 'engineering research']</t>
  </si>
  <si>
    <t>Flexible, Stable, High-energy Textile Lithium Batteries</t>
  </si>
  <si>
    <t>These flexible lithium batteries developed using metallic textiles can achieve high energy density, excellent cyclic stability and remarkable bending stability at small bending radius.</t>
  </si>
  <si>
    <t>['PolyU', 'Hong Kong PolyU', 'The Hong Kong Polytechnic University', 'PolyU research', 'university research', 'university innovation', 'wearable devices', 'wearable technology', 'textile technology', 'lithium batteries', 'metallic textiles']</t>
  </si>
  <si>
    <t>Curvature-adaptive Multi-jet Polishing System for Precision Manufacturing</t>
  </si>
  <si>
    <t>This novel technology enables fast and precise polishing of any freeform surfaces by adaptively and independently controlling the fluid pressure of each jet according to the surface curvature.</t>
  </si>
  <si>
    <t>['PolyU', 'Hong Kong PolyU', 'The Hong Kong Polytechnic University', 'university research', 'polyu research', 'precision manufacturing', 'engineering research', 'engineering innovation', 'engineering technology']</t>
  </si>
  <si>
    <t>Palm-sized 3D Ultrasound Imaging System for Radiation-free Scoliosis Assessment</t>
  </si>
  <si>
    <t>PolyU has developed a portable 3D ultrasound imaging system for radiation-free assessment of scoliosis to diagnose scoliosis in early stage, to provide monitoring of treatment outcome, and give real-time feedbacks during treatment.</t>
  </si>
  <si>
    <t>['PolyU', 'Hong Kong PolyU', 'The Hong Kong Polytechnic University', 'PolyU research', 'university research', 'health technology', 'scoliosis', 'scoliosis diagnosis', '3D ultrasound imaging', 'biomedical engineering', 'biomedical engineering research']</t>
  </si>
  <si>
    <t>WiseEye: AI-based Textile Material Inspection System</t>
  </si>
  <si>
    <t>WiseEye can be integrated with any weaving machines to inspect textile materials and detect fabric defects real-time.</t>
  </si>
  <si>
    <t>['PolyU', 'Hong Kong PolyU', 'The Hong Kong Polytechnic University', 'PolyU ITC', 'PolyU Institute of Textiles and Clothing', 'PolyU research', 'university research', 'university innovation', 'textile innovation', 'AI', 'Artificial Intelligence']</t>
  </si>
  <si>
    <t>PolyU Faculty of Construction and Environment (Research Excellence)</t>
  </si>
  <si>
    <t>The Faculty of Construction and Environment of The Hong Kong Polytechnic University is well known for its range of expertise related to sustainable urban development, particularly with respect to construction and the environment. Research students will have exciting research opportunities in the areas of construction, energy, environment, urban informatics and urban hazards mitigation. With a diversified community of staff and students from around the world, the Faculty is not only highly regarded in world university rankings, but also well recognized for its services to industry and society.</t>
  </si>
  <si>
    <t>['PolyU', 'Hong Kong PolyU', 'The Hong Kong Polytechnic University', 'PolyU Faculty of Construction and Environment', 'Construction and Environment education', 'environmental education', 'construction research', 'environment research', 'university research', 'university education', 'PolyU research']</t>
  </si>
  <si>
    <t>An IIoT based Smart Robotic Warehouse Management System for Industry 4.0</t>
  </si>
  <si>
    <t>In response to the advent of emerging Industry 4.0 technologies such as autonomous robots, Industrial Internet of Things (IIoT) and cloud computing, PolyU collaborates with an industrial partner to develop an IIoT-based Smart Robotic Logistics Management System for implementing the concept of smart warehousing.</t>
  </si>
  <si>
    <t>['PolyU', 'Hong Kong PolyU', 'The Hong Kong Polytechnic University', 'university research', 'PolyU research', 'PolyU innovation', 'Industrial Internet of Things', 'Industry 4.0', 'smart robotic', 'logistics management', 'warehouse management', 'smart warehousing']</t>
  </si>
  <si>
    <t>Mobile Exo-neuro-musculo-skeleton for Self-help Post-stroke Upper Limb Rehabilitation</t>
  </si>
  <si>
    <t>This device can offer effective self-help and mobile upper limb rehabilitation for patients after stroke.</t>
  </si>
  <si>
    <t>['PolyU', 'Hong Kong PolyU', 'PolyU Research', 'The Hong Kong Polytechnic University', 'university research', 'rehabilitation research', 'university innovation', 'innovation', 'rehabilitation innovation', 'stroke', 'stroke rehabilitation']</t>
  </si>
  <si>
    <t>#PolyUcampus Photo Competition</t>
  </si>
  <si>
    <t>['PolyU', 'Hong Kong PolyU', 'PolyU campus', 'PolyU photo competition', 'Hong Kong photo competition']</t>
  </si>
  <si>
    <t>PolyU hosted a luncheon to engage over 220 local and multinational firms from various sectors, including finance, engineering, construction, logistics, healthcare and hospitality, with the theme to shape tomorrow leaders.</t>
  </si>
  <si>
    <t>['PolyU', 'Hong Kong PolyU', 'The Hong Kong Polytechnic University', 'PolyU Alumni', 'PolyU graduates', 'university graduates', 'Hong Kong employers', 'university students career', 'Hong Kong university students']</t>
  </si>
  <si>
    <t>['PolyU', 'Hong Kong PolyU', 'The Hong Kong Polytechnic University', 'PolyU students', 'university students', 'outstanding students', 'outstanding university students', 'student awards']</t>
  </si>
  <si>
    <t>Sharing of RPg students' research studies at PolyU</t>
  </si>
  <si>
    <t>Sharing from the PhD students of The Hong Kong Polytechnic University</t>
  </si>
  <si>
    <t>['PolyU', 'Hong Kong PolyU', 'The Hong Kong Polytechnic University', 'university education', 'research students', 'university research', 'postgraduate students', 'PhD students', 'PhD']</t>
  </si>
  <si>
    <t>PolyU graduates apply their knowledge and skills to solve real-world problems. Hear what they said from the disciplines of design, food &amp; safety, nursing, hotel &amp; tourism.</t>
  </si>
  <si>
    <t>['PolyU', 'Hong Kong PolyU', 'The Hong Kong Polytechnic University', 'University graduates', 'PolyU graduates', 'PolyU alumni']</t>
  </si>
  <si>
    <t>PolyU graduates apply their knowledge and skills to solve real-world problems. Hear what they said from the disciplines of sustainability &amp; smart city, corporate communications as well as account &amp; finance.</t>
  </si>
  <si>
    <t>['PolyU', 'Hong Kong PolyU', 'The Hong Kong Polytechnic University', 'Belt and Road', 'One Belt One Road', 'Belt and Road development', 'Professional Education', 'University education']</t>
  </si>
  <si>
    <t>Belt and Road Advanced Professional Development Programme in Power and Energy 2018</t>
  </si>
  <si>
    <t>['PolyU', 'Hong Kong PolyU', 'Belt and Road', 'One Belt One Road', 'The Hong Kong Polytechnic University', 'Engineering', 'Professional Development', 'University Education', 'Power and Energy Industry']</t>
  </si>
  <si>
    <t>Exploring China in a New Perspective</t>
  </si>
  <si>
    <t>Every summer and winter, PolyU students visit China to take part in learning programmes including service-learning, summer internships, summer schools and study tours. These programmes enable students to embrace different dimensions of China, while equipping students with knowledge and skills to develop both intrapersonal attributes and professional competence, thus they can contribute to society.</t>
  </si>
  <si>
    <t>['PolyU', 'Hong Kong PolyU', 'The Hong Kong Polytechnic University', 'university education', 'university students', 'education', 'service learning', 'study tour', 'summer school', 'internship', 'China internship', 'China study tour']</t>
  </si>
  <si>
    <t>Service Leadership through Serving Children and Families with Special Needs</t>
  </si>
  <si>
    <t>['PolyU', 'Hong Kong PolyU', 'The Hong Kong Polytechnic University', 'university education', 'service learning', 'university students', 'education']</t>
  </si>
  <si>
    <t>Working at PolyU: Prof. Kaye CHON</t>
  </si>
  <si>
    <t>['PolyU', 'Hong Kong PolyU', 'The Hong Kong Polytechnic University', 'university career', 'university career opportunities', 'university job opportunities', 'university work', 'university recruitment', 'working at university', 'hospitality education', 'hotel management education', 'hospitality career']</t>
  </si>
  <si>
    <t>Working at PolyU: Prof. Johan HOORN</t>
  </si>
  <si>
    <t>['PolyU', 'Hong Kong PolyU', 'The Hong Kong Polytechnic University', 'university career', 'university career opportunities', 'university job opportunities', 'university recruitment', 'university work', 'working at university', 'university research', 'research career', 'university researcher']</t>
  </si>
  <si>
    <t>Working at PolyU: Prof. Maritta VALIMAKI</t>
  </si>
  <si>
    <t>['PolyU', 'Hong Kong PolyU', 'The Hong Kong Polytechnic University', 'university career', 'university career opportunities', 'university job opportunities', 'working at university', 'university work', 'university recruitment', 'university researcher']</t>
  </si>
  <si>
    <t>Working at PolyU: Dr Anne SCHLUTER</t>
  </si>
  <si>
    <t>['PolyU', 'Hong Kong PolyU', 'The Hong Kong Polytechnic University', 'university career', 'university career opportunities', 'university job opportunities', 'university recruitment', 'university work', 'working at university']</t>
  </si>
  <si>
    <t>Working at PolyU: Prof. Chao LU</t>
  </si>
  <si>
    <t>['PolyU', 'Hong Kong PolyU', 'The Hong Kong Polytechnic University', 'university work', 'university career', 'university job opportunities', 'university career opportunities', 'university recruitment', 'university research career', 'working at university', 'university researcher']</t>
  </si>
  <si>
    <t>Working at PolyU: Prof. Asif USMANI</t>
  </si>
  <si>
    <t>['PolyU', 'Hong Kong PolyU', 'The Hong Kong Polytechnic University', 'university career', 'university career opportunities', 'university job opportunities', 'university recruitment', 'university work', 'working at university', 'university researcher']</t>
  </si>
  <si>
    <t>Working at PolyU: Dr Walid SAFFAR</t>
  </si>
  <si>
    <t>['PolyU', 'Hong Kong PolyU', 'The Hong Kong Polytechnic Universty', 'university career', 'business scholar', 'academic career', 'university work', 'working at university', 'university job opportunities', 'university career opportunities', 'university recruitment']</t>
  </si>
  <si>
    <t>Working at PolyU: Prof. Feng YAN</t>
  </si>
  <si>
    <t>['PolyU', 'Hong Kong PolyU', 'The Hong Kong Polytechnic University', 'university career', 'university research', 'researcher', 'research career']</t>
  </si>
  <si>
    <t>['PolyU', 'Hong Kong PolyU', 'PolyU Alumni']</t>
  </si>
  <si>
    <t>Outstanding PolyU Alumni 2017 Awardee Video: Mr Mike Wong Chik-wing</t>
  </si>
  <si>
    <t>Video featuring the achievements of the recipient of Outstanding PolyU Alumni Award 2017</t>
  </si>
  <si>
    <t>['Outstanding PolyU Alumni', 'PolyU Alumni']</t>
  </si>
  <si>
    <t>Outstanding PolyU Alumni 2017 Awardee Video: Mr Stephen Au Ling-ming</t>
  </si>
  <si>
    <t>Outstanding PolyU Alumni 2017 Awardee Video: The Hon. Frankie Yick Chi-ming</t>
  </si>
  <si>
    <t>Outstanding PolyU Alumni 2017 Awardee Video: Mr Dennis Ho Chiu-ping</t>
  </si>
  <si>
    <t>Outstanding PolyU Alumni 2017 Awardee Video: Ir Dr Wong Kwok-keung</t>
  </si>
  <si>
    <t>Outstanding PolyU Alumni 2017 Awardee Video: Ir Eric Ma Siu-cheung</t>
  </si>
  <si>
    <t>Outstanding PolyU Alumni 2017 Awardee Video: Dr Lau Kam-chiu</t>
  </si>
  <si>
    <t>Outstanding PolyU Alumni Award 2017: Introduction</t>
  </si>
  <si>
    <t>Video featuring the achievements of the recipients of Outstanding PolyU Alumni Award 2017</t>
  </si>
  <si>
    <t>['PolyUBYO', 'BYO', 'Bring Your Own', 'Plastic Free']</t>
  </si>
  <si>
    <t>Prof. Haiyan Song, Mr and Mrs Chan Chak Fu Professor in International Tourism</t>
  </si>
  <si>
    <t>Mr and Mrs Chan Chak Fu Endowed Professorship in International Tourism, endowed by Seal of Love Charitable Foundation Limited</t>
  </si>
  <si>
    <t>['PolyU', 'Hong Kong PolyU', 'Endowed Professiorship', 'international tourism', 'tourism research', 'university research']</t>
  </si>
  <si>
    <t>Working at PolyU</t>
  </si>
  <si>
    <t>What makes you like your job? Hear the sharing of our colleagues at PolyU. 
For career opportunities in PolyU, please visit: https://www.polyu.edu.hk/~hro/job/en/index.php</t>
  </si>
  <si>
    <t>['PolyU', 'Hong Kong PolyU', 'The Hong Kong Polytechnic University', 'university career', 'university job opportunities', 'university career opportunities', 'university recruitment', 'university work', 'working at university']</t>
  </si>
  <si>
    <t>PolyU and the Belt and Road Initiative</t>
  </si>
  <si>
    <t>PolyU has been playing an active role in supporting the development along the Belt and Road through nurturing future-ready students and research collaboration with institutions and organizations in the region.</t>
  </si>
  <si>
    <t>['PolyU', 'Hong Kong PolyU', 'The Hong Kong Polytechnic University', 'One Belt One Road', 'Belt and Road', 'Belt and Road Initiative', 'research collaboration']</t>
  </si>
  <si>
    <t>['PolyU', 'Hong Kong PolyU', 'The Hong Kong Polytechnic University', 'Disaster Management', 'disaster risk reduction', 'earthquake', 'Wenchuan Earthquake']</t>
  </si>
  <si>
    <t>PolyU's Institute for Entrepreneurship</t>
  </si>
  <si>
    <t>Institute for Entrepreneurship - A unique platform facilitating PolyU's knowledge transfer (www.ife.polyu.edu.hk)</t>
  </si>
  <si>
    <t>['PolyU', 'Hong Kong PolyU', 'Institute for Entrepreneurship', 'PolyU Institute for Entrepreneurship', 'entrepreneurship', 'knowledge transfer']</t>
  </si>
  <si>
    <t>Star Tech Salon 2018</t>
  </si>
  <si>
    <t>['PolyU', 'Hong Kong PolyU', 'The Hong Kong Polytechnic University', 'PolyUResearch', 'University research', 'research', 'Geneva Invention Expo', 'technology', 'innovation']</t>
  </si>
  <si>
    <t>Spray-on Nanocomposite Sensors</t>
  </si>
  <si>
    <t>PolyU researchers developed a breed of nanocomposites-inspired sensors which can be sprayed on curved engineering structural surfaces. Due to its light weight and low cost, large quantities of sensors can be deployed in a sensor network for detecting hidden flaws of structures.</t>
  </si>
  <si>
    <t>['PolyU', 'Hong Kong PolyU', 'The Hong Kong Polytechnic University', 'PolyU Research', 'research', 'university research', 'structural engineering', 'engineering']</t>
  </si>
  <si>
    <t>['PolyU', 'Hong Kong PolyU', 'The Hong Kong Polytechnic University', 'innovations', 'InventionsGeneva', 'International Exhibition of Inventions Geneva', 'inventions', 'PolyU research', 'university research', 'myopia control', 'DIMS Spectacle Lens']</t>
  </si>
  <si>
    <t>UHS Health Education Video: Whole Person Wellness</t>
  </si>
  <si>
    <t>['PolyU', 'Hong Kong PolyU', 'The Hong Kong Polytechnic University', 'health', 'health services', 'PolyU student', 'student health', 'personal growth', 'university life', 'university student', 'whole person wellness']</t>
  </si>
  <si>
    <t>['PolyU', 'Hong Kong PolyU', 'The Hong Kong Polytechnic University', 'PolyU student', 'heath', 'student health', 'health services', 'personal growth', 'university life', 'whole person wellness', 'university student']</t>
  </si>
  <si>
    <t>The Third Inauguration of Endowed Professorships</t>
  </si>
  <si>
    <t>PolyU held The Third Inauguration of Endowed Professorships on 5 September 2017 at the Jockey Club Auditorium on the University campus. Seven new Endowed Professorships, one new Endowed Fellowship and three successive appointments of Endowed Professorships were inaugurated. To date, PolyU has established a total of 21 Endowed Professorships, one Endowed Fellowship and two Named Professorships.</t>
  </si>
  <si>
    <t>['PolyU', 'Hong Kong PolyU', 'The Hong Kong Polytechnic University', 'Endowed Professorships']</t>
  </si>
  <si>
    <t>The Second Inauguration of Endowed Professorships</t>
  </si>
  <si>
    <t>PolyU held the Second Inauguration of Endowed Professorships on 13 May 2015 at the Jockey Club Auditorium on the University campus. Six new Endowed Professorships were inaugurated, bringing the total number of Endowed Professorships to fourteen, alongside two named professorships by the then Hong Kong Polytechnic.</t>
  </si>
  <si>
    <t>['PolyU', 'Hong Kong PolyU', 'Endowed Professionships', 'The Hong Kong Polytechnic University']</t>
  </si>
  <si>
    <t>['PolyU', 'Hong Kong PolyU', 'The Hong Kong Polytechnic University', 'summer school', 'university', 'social entrepreneur']</t>
  </si>
  <si>
    <t>['PolyU', 'Hong Kong PolyU', 'The Hong Kong Polytechnic University', 'university', 'service learning', 'servicelearning']</t>
  </si>
  <si>
    <t>['PolyU', 'Hong Kong PolyU', 'The Hong Kong Polytechnic University', 'exchange programme', 'university', 'servicelearning', 'Service Learning']</t>
  </si>
  <si>
    <t>Introduction of PolyU Graduating Class Ambassador Scheme</t>
  </si>
  <si>
    <t>A briefing video about the objectives of the PolyU Graduating Class Ambassador Scheme and some of the privileges and benefits offered to PolyU graduates.</t>
  </si>
  <si>
    <t>['PolyU', 'Hong Kong PolyU', 'The Hong Kong Polytechnic University', 'university students', 'university graduates', 'PolyU alumni']</t>
  </si>
  <si>
    <t>['Hong Kong PolyU', 'PolyU', 'The Hong Kong Polytechnic University', 'university students', 'college students', 'outstanding students', 'students sharing', 'university life']</t>
  </si>
  <si>
    <t>BELT AND ROAD Public Lecture by Secretary-General of Shanghai Cooperation Organisation</t>
  </si>
  <si>
    <t>BELT AND ROAD Public Lecture on "Political and Economic Collaboration in Eurasia: Prospects and Challenges" was held at PolyU on 4 November 2017.  H.E. Mr. Rashid ALIMOV, Secretary-General of Shanghai Cooperation Organisation, shared his insights on the latest political and economic development in Eurasia.</t>
  </si>
  <si>
    <t>['BELT AND ROAD', 'Public Lecture', 'Eurasia', 'PolyU', 'Secretary-General of Shanghai Cooperation Organisation', 'Shanghai Cooperation Organisation']</t>
  </si>
  <si>
    <t>['PolyU', 'Hong Kong PolyU', 'The Hong Kong Polytechnic University', 'anniversary', 'PolyU80', 'university anniversary', 'anniversary celebration']</t>
  </si>
  <si>
    <t>['PolyU', 'Hong Kong PolyU', 'The Hong Kong Polytechnic University', 'anniversary', 'PolyU80', 'university anniversary', 'anniversary celebrations']</t>
  </si>
  <si>
    <t>Integrated iWheelchair System</t>
  </si>
  <si>
    <t>['PolyU', 'Hong Kong PolyU', 'The Hong Kong Polytechnic University', 'research', 'wheelchair']</t>
  </si>
  <si>
    <t>Posture Correction Girdle</t>
  </si>
  <si>
    <t>PolyU develops posture correction girdle to help young people with scoliosis.</t>
  </si>
  <si>
    <t>['PolyU', 'Hong Kong PolyU', 'The Hong Kong Polytechnic University', 'research', 'innovation', 'scoliosis', 'girdle', 'correction girdle', 'posture']</t>
  </si>
  <si>
    <t>8 x 80 Cycling @ PolyU 80th Anniversary Open Day :  Kick-off</t>
  </si>
  <si>
    <t>On 3 December 2017, over 400 staff, students, alumni and their families and friends of PolyU biked through the University campus and Yau Tsim Mong at the cycling activity "8 x 80 Cycling". Led by PolyU President Professor Timothy W. Tong and the Event Ambassador Mr Wong Kam-po, former world champion cyclist, the team took a 7.1 km urban ride.</t>
  </si>
  <si>
    <t>['polyu80', 'cycling', 'president tong', 'polyu', 'biking', '80th anniversary', '8x80 cycling']</t>
  </si>
  <si>
    <t>8 x 80 Cycling @ PolyU 80th Anniversary Open Day : The Ride</t>
  </si>
  <si>
    <t>['polyu80', 'polyu', '80th anniversary', 'cycling', '8x80 cycling', 'biking', 'President tong']</t>
  </si>
  <si>
    <t>8 x 80 Cycling @ PolyU 80th Anniversary Open Day: Closing</t>
  </si>
  <si>
    <t>['polyu80', 'polyu', '80th anniversary', 'cycling', '8x80 cycling', 'biking', 'President Tong']</t>
  </si>
  <si>
    <t>['PolyU', 'Hong Kong PolyU', 'The Hong Kong Polytechnic University', 'anniversary', 'PolyU80', 'Lang Lang', 'congratulations']</t>
  </si>
  <si>
    <t>Highlights of The Student Multi-Media Show in celebration of the 80th Anniversary [17 Nov 2017]</t>
  </si>
  <si>
    <t>The Student Multi-Media Show in celebration of the 80th Anniversary of The Hong Kong Polytechnic University was staged on 17 November 2017. PolyU students and alumni showcased their innovative multi-media works and shared their talents in various forms of performing arts. The show provided valuable opportunities for our students to develop their potentials and pursue their dreams.</t>
  </si>
  <si>
    <t>['PolyU', 'university', 'anniversary', 'students', 'The Hong Kong Polytechnic University', 'PolyU80', 'Hong Kong PolyU', 'student show', 'talent show']</t>
  </si>
  <si>
    <t>['PolyU', '80th anniversary', 'Open Day', 'Fun activities', 'workshop', 'talks', 'guided tours', 'open-top bus', 'lab']</t>
  </si>
  <si>
    <t>['PolyU', '80th anniversary', 'open day', 'STEAM workshop', 'research', 'showcase', 'health']</t>
  </si>
  <si>
    <t>Catalyst for Green Biodiesel</t>
  </si>
  <si>
    <t>PolyU develops a new class of solid catalyst to catalyze the biodiesel production, which can reduce cost and energy consumption.</t>
  </si>
  <si>
    <t>['PolyU', 'HongKongPolyU', 'Hong Kong PolyU', 'The Hong Kong Polytechnic University', 'research', 'university', 'university research', 'biodiesel']</t>
  </si>
  <si>
    <t>['PolyU', 'HongKongPolyU', 'The Hong Kong Polytechnic University', 'PolyUBYO', 'BYO', 'green campus', 'sustainability']</t>
  </si>
  <si>
    <t>['PolyU', '80th anniversary', 'Open Day', 'University', 'Research', 'education']</t>
  </si>
  <si>
    <t>['PolyU', 'Hong Kong PolyU', 'The Hong Kong Polytechnic University', 'PolyU80', 'Anniversary']</t>
  </si>
  <si>
    <t>['PolyU', 'Hong Kong PolyU', 'The Hong Kong Polytechnic University', 'hotel management', 'tourism management', 'hospitality', 'knowledge transfer', 'SHTM', 'PolyU SHTM']</t>
  </si>
  <si>
    <t>['PolyU', 'Hong Kong PolyU', 'The Hong Kong Polytechnic University', 'anti-cancer', 'drug', 'knowledge transfer']</t>
  </si>
  <si>
    <t>['PolyU', 'Hong Kong PolyU', 'The Hong Kong Polytechnic University', 'smart clothing', 'knowledge transfer']</t>
  </si>
  <si>
    <t>['PolyU', 'Hong Kong PolyU', 'The Hong Kong Polytechnic University', '3D ultrasound', 'Scoliosis', 'health']</t>
  </si>
  <si>
    <t>['PolyU', 'Hong Kong PolyU', 'The Hong Kong Polytechnic University', 'knowledge transfer', 'HVAC']</t>
  </si>
  <si>
    <t>['PolyU', 'Hong Kong PolyU', 'The Hong Kong Polytechnic University', 'knowledge transfer', 'geohazard', 'satellite']</t>
  </si>
  <si>
    <t>['PolyU', 'Hong Kong PolyU', 'The Hong Kong Polytechnic University', 'Knowledge transfer', 'air pollution', 'nanofibre']</t>
  </si>
  <si>
    <t>['PolyU', 'The Hong Kong Polytechnic University', 'Hong Kong PolyU', 'Knowledge transfer', 'transport', 'eTransport', 'geomatics', 'technology']</t>
  </si>
  <si>
    <t>['PolyU', 'Hong Kong PolyU', 'The Hong Kong Polytechnic University', 'Music therapy', 'dementia', 'nursing']</t>
  </si>
  <si>
    <t>['PolyU', 'Hong Kong PolyU', 'The Hong Kong Polytechnic University', 'Professional development', 'teaching', 'knowledge transfer']</t>
  </si>
  <si>
    <t>['PolyU', 'Hong Kong PolyU', 'Knowledge Transfer', 'Branding', 'brand management', 'marketing']</t>
  </si>
  <si>
    <t>['PolyU', 'Hong Kong PolyU', 'The Hong Kong Polytechnic University', 'Knowledge Transfer', 'surgery', 'robotics']</t>
  </si>
  <si>
    <t>['Hong Kong PolyU', 'PolyU', 'ITC', 'Institute of Textiles and Clothing', 'textile technology', 'smart clothing', 'knowledge transfer']</t>
  </si>
  <si>
    <t>['PolyU', 'Hong Kong PolyU', 'The Hong Kong Polytechnic University', 'Construction', 'Construction workers']</t>
  </si>
  <si>
    <t>['PolyU', 'Hong Kong PolyU', 'The Hong Kong Polytechnic University', 'Anniversary', 'PolyU80']</t>
  </si>
  <si>
    <t>Prof. Calvin W.K. Wong, Cheng Yik Hung Professor in Fashion</t>
  </si>
  <si>
    <t>Cheng Yik Hung Endowed Professorship in Fashion, endowed by Sau Ching Charity Foundation Limited</t>
  </si>
  <si>
    <t>['polyu', 'hong kong polyu', 'professor', 'endowed professor', 'fashion']</t>
  </si>
  <si>
    <t>Ir Prof. Yongping Zheng, Henry G. Leong Professor in Biomedical Engineering</t>
  </si>
  <si>
    <t>Henry G. Leong Endowed Professorship in Biomedical Engineering, endowed by Tai Hung Fai Charitable Foundation</t>
  </si>
  <si>
    <t>['polyu', 'hongkongpolyu', 'professor', 'endowed professor', 'biomedical', 'biomedical engineering']</t>
  </si>
  <si>
    <t>Prof. Kin Wai Michael Siu, Eric C. Yim Professor in Inclusive Design</t>
  </si>
  <si>
    <t>Eric C. Yim Endowed Professorship in Inclusive Design, endowed by Mr Eric C. Yim, JP</t>
  </si>
  <si>
    <t>['polyu', 'hong kong polyu', 'endowed professor', 'professor', 'design', 'inclusive design']</t>
  </si>
  <si>
    <t>Prof. Daniel T.L. Shek, Li &amp; Fung Professor in Service Leadership Education</t>
  </si>
  <si>
    <t>Li &amp; Fung Endowed Professorship in Service Leadership Education, endowed by Victor and William Fung Foundation Limited</t>
  </si>
  <si>
    <t>['polyu', 'hongkongpolyu', 'professor', 'endowed professor', 'service', 'service leadership', 'education', 'service leadership education']</t>
  </si>
  <si>
    <t>Ir Prof. J.G. Teng, Ko Jan Ming Professor in Sustainable Structures and Materials</t>
  </si>
  <si>
    <t>PolyU held The Third Inauguration of Endowed Professorships on 5 September 2017 to honour distinguished scholars and pay tribute to benefactors for their generous support for the University.
Endowed by Vantage Charity Foundation Limited, the appointee of Ko Jan Ming Endowed Professorship in Sustainable Structures and Materials is Ir Professor J.G. Teng.</t>
  </si>
  <si>
    <t>['polyu', 'hongkongpolyu', 'endowed professor', 'professor', 'sustainable structures', 'sustainable materials']</t>
  </si>
  <si>
    <t>Silk Road International Summer School 2017</t>
  </si>
  <si>
    <t>['Belt and road']</t>
  </si>
  <si>
    <t>My Exchange Story in Japan</t>
  </si>
  <si>
    <t>Going on exchange to Kansai Gaidai University gave PolyU Year 4 student Phoebe an opportunity to achieve her dream to study abroad and live in Japan.
"When you're living in and not just visiting another country, there are so many new things for you to learn every day which opens your mind. I took charge of my life, planned where to go, what to do every single day in a care-free atmosphere. I enjoyed being independent and do whatever I wanted to." 
-- Phoebe, Year 4 student, BA (Hons) in Chinese and Bilingual Studies, The Hong Kong Polytechnic University</t>
  </si>
  <si>
    <t>['PolyU', 'HongKongPolyU', 'The Hong Kong Polytechnic University', 'Student exchange', 'international student', 'japan', 'kansai', 'Kansai Gaidai University', 'Kansai Gaidai']</t>
  </si>
  <si>
    <t>['PolyU', 'Hong Kong PolyU', 'The Hong Kong Polytechnic University', 'international students', 'HongKongPolyU']</t>
  </si>
  <si>
    <t>['PolyU', 'HongKongPolyU', 'The Hong Kong Polytechnic University']</t>
  </si>
  <si>
    <t>PolyU International Student Ambassadors Scheme Swearing-in Ceremony &amp; Showcase 2017</t>
  </si>
  <si>
    <t>More than 100 PolyU international student ambassadors (ISA) participated in the annual "Swearing-in Ceremony &amp; Showcase 2016/17".</t>
  </si>
  <si>
    <t>['PolyU', 'The Hong Kong Polytechnic University', 'HongkongpolyU']</t>
  </si>
  <si>
    <t>Meet our Indonesian Community at PolyU</t>
  </si>
  <si>
    <t>['polyu', 'hongkongpolyu', 'The Hong Kong Polytechnic University', 'indonesian in Hong Kong']</t>
  </si>
  <si>
    <t>PolyU CBS Japanese Cultural Club</t>
  </si>
  <si>
    <t>With the aim to cultivate respect for cultural diversity, the PolyU CBS Japanese Cultural Club introduces the vast world of Japanese Culture to PolyU students through the presentation of Japanese culture, history, and language in cultural immersion activities.</t>
  </si>
  <si>
    <t>['polyu', 'hongkongpolyu', 'The Hong Kong Polytechnic University', 'Japanese in Hong Kong']</t>
  </si>
  <si>
    <t>Indian Cultural Lunch at PolyU</t>
  </si>
  <si>
    <t>['PolyU', 'hongkongpolyU', 'The Hong Kong Polytechnic University', 'Indian in Hong Kong']</t>
  </si>
  <si>
    <t>Bangladesh Cultural Lunch at PolyU</t>
  </si>
  <si>
    <t>Ayon and Saquib are two of our international students from Bangladesh. They organized a journey to Bangladesh via language, attraction, food and many more to learn about the rich Bangladeshi culture.They even made traditional Bangladeshi cuisine for everyone to try!</t>
  </si>
  <si>
    <t>['PolyU', 'hongkongpolyu', 'thehongkongpolytechnicuniversity']</t>
  </si>
  <si>
    <t>My amazing exchange semester in Denmark</t>
  </si>
  <si>
    <t>['polyu', 'hongkongpolyu', 'thehongkongpolytechnicuniversity', 'campuslife', 'studentexchange']</t>
  </si>
  <si>
    <t>Summer Internship in Singapore</t>
  </si>
  <si>
    <t>['hongkongpolyu', 'polyu', 'thehongkongpolytechnicuniversity', 'campuslife', 'internship']</t>
  </si>
  <si>
    <t>Living in Hong Kong: presented by a Korean international student</t>
  </si>
  <si>
    <t>Love it, like it, what's your idea of Hong Kong, one of the "Best Student City" ranked by QS?
Let's see how Eric Kwon, a Korean international student at PolyU, feels about the city.</t>
  </si>
  <si>
    <t>['hongkongpolyu', 'polyu', 'thehongkongpolytechnicuniversity', 'hongkong', 'campus', 'campuslife', 'universitylife']</t>
  </si>
  <si>
    <t>A Day in PolyU</t>
  </si>
  <si>
    <t>For someone who has never studied abroad, it could be quite difficult to imagine what it is like. Let Kristina, an international student from Germany, give you a quick idea of studying abroad, more specifically her experience at PolyU.</t>
  </si>
  <si>
    <t>['polyu', 'hongkongpolyu', 'thehongkongpolytechnicuniversity', 'campuslife']</t>
  </si>
  <si>
    <t>Hung Hom Halls of Residence</t>
  </si>
  <si>
    <t>There are two student halls of residence at PolyU: the Hung Hom Halls and the Homantin Halls. The Hung Hom Hall takes you only 15 minutes to walk from the main campus. Follow us and see what this place has to offer!</t>
  </si>
  <si>
    <t>['polyu', 'hongkongpolyu', 'campus', 'thehongkongpolytechnicuniversity']</t>
  </si>
  <si>
    <t>Homantin Halls of Residence</t>
  </si>
  <si>
    <t>['polyu', 'hongkongpolyu', 'the hong kong polytechnic university', 'campus']</t>
  </si>
  <si>
    <t>['polyu', 'Service-Learning']</t>
  </si>
  <si>
    <t>Innovation and Entrepreneurship Global Student Challenge 2017</t>
  </si>
  <si>
    <t>['PolyU']</t>
  </si>
  <si>
    <t>['PolyU', 'HongKongPolyU', 'The Hong Kong Polytechnic University', 'PolyU80']</t>
  </si>
  <si>
    <t>Welcome to the PolyU MOOCs!</t>
  </si>
  <si>
    <t>Message from Prof. Timothy W. Tong, President of The Hong Kong Polytechnic University 
Browse free online courses on HKPolyUx: https://www.edx.org/school/hkpolyux</t>
  </si>
  <si>
    <t>['PolyU', 'PolyU80', 'The Hong Kong Polytechnic University']</t>
  </si>
  <si>
    <t>['PolyU', 'HongKongPolyU', 'PolyU80', 'The Hong Kong Polytechnic University;']</t>
  </si>
  <si>
    <t>Board Members and Members of PolyU Australia Association</t>
  </si>
  <si>
    <t>Alumnus, PolyU - PKU Master of Social Work China</t>
  </si>
  <si>
    <t>['PolyU', 'HongKongPolyU', 'The Hong Kong Polytechnic University', 'PolyU80', 'anniversary']</t>
  </si>
  <si>
    <t>['PolyU', 'HongKongPolyU', 'The Hong Kong Polytechnic University', 'anniversary', 'PolyU80']</t>
  </si>
  <si>
    <t>['PolyU', 'HongKongPolyU', 'The Hong Kong Polytechnic Unviersity', 'PolyU80', 'anniversary']</t>
  </si>
  <si>
    <t>['HongKongPolyU', 'hong kong polytechnic university', 'anniversary', 'polyu80']</t>
  </si>
  <si>
    <t>['PolyU', 'HongKongPolyU', 'The Hong Kong Polytechnic University', 'PolyU80', 'Anniversary']</t>
  </si>
  <si>
    <t>['PolyU', 'The Hong Kong Polytechnic University', 'PolyU80', 'anniversary']</t>
  </si>
  <si>
    <t>Dr Hermann Hauser at THE Innovation and Impact Summit co-hosted by PolyU &amp; Times Higher Education</t>
  </si>
  <si>
    <t>Keynote speech: Intelligent machines
Dr Hermann Hauser, co-founder, Amadeus Capital Partners
Live report of the Summit: http://www.scmp.com/topics/polyu-innovation-impact-summit</t>
  </si>
  <si>
    <t>['Hermann Hauser', 'THEinnovation', 'PolyU', 'Times higher Education', 'Innovatioin and Impact Summit', 'Amadeus Capital Partners', 'THE']</t>
  </si>
  <si>
    <t>THE Innovation and Impact Summit - Models of strategic leadership: turning ideas into impact</t>
  </si>
  <si>
    <t>Panel discussion: Models of strategic leadership: turning ideas into impact
Mr John Gill, editor, Times Higher Education
Prof. Tateo Arimoto, principal fellow, Japan Science and Technology Agency
Prof. Alexander Wai Ping-kong, vice president (research development) The Hong Kong Polytechnic University
Prof. Paul Feigin, assistant to the president for strategic projects, Technion, Israel Institute of Technology
Dr Indu Shahani, founding dean, Indian School of Management &amp; Entrepreneurship (ISME)
Live report of the Summit: http://www.scmp.com/topics/polyu-innovation-impact-summit</t>
  </si>
  <si>
    <t>['THE', 'Times Higher Education', 'Innovation and Impact Summit', 'THEinnovation', 'PolyU']</t>
  </si>
  <si>
    <t>Service-Learning Programme in Cambodia for PolyU Staff 2016</t>
  </si>
  <si>
    <t>The first Service-Learning Programme for PolyU Staff took place in Cambodia on 12-18 June 2016. A group of 15 staff members, from both academic and non-academic departments of the University, participated in the trip to serve in Phnom Penh. Watch for the sharing of participants on this meaningful programme.</t>
  </si>
  <si>
    <t>['cambodia', 'Phnom Penh', 'volunteering', 'PolyU']</t>
  </si>
  <si>
    <t>PolyU Showcase - THE Innovation and Impact Summit co-hosted by PolyU &amp; THE</t>
  </si>
  <si>
    <t>['THE', 'Times higher education', 'innovation &amp; impact summit', 'PolyU', 'PolyU Showcase']</t>
  </si>
  <si>
    <t>PolyU President Timothy W. Tong at THE Innovation and Impact Summit co-hosted by PolyU &amp; THE</t>
  </si>
  <si>
    <t>Welcome remarks
Prof. Timothy W. Tong, President, The Hong Kong Polytechnic University
Live report of the summit: http://www.scmp.com/topics/polyu-innovation-impact-summit</t>
  </si>
  <si>
    <t>PolyU - THE Innovation and Impact Summit Closing Video</t>
  </si>
  <si>
    <t>['Times higher education', 'PolyU', 'THE', 'Innovation &amp; Impact summit']</t>
  </si>
  <si>
    <t>THE Innovation and Impact Summit - Calculating the economic and social impact of higher education</t>
  </si>
  <si>
    <t>['THE', 'Times Higher Education', 'THEinnovation', 'PolyU', 'Phil Baty']</t>
  </si>
  <si>
    <t>PolyU - THE Innovation and Impact Summit Opening Video</t>
  </si>
  <si>
    <t>More than 200 participants, including influential higher education and industry leaders, entrepreneurs and policy-makers around the globe, gather in Hong Kong for the inaugural Times Higher Education (THE) Innovation and Impact Summit. Co-hosted by The Hong Kong Polytechnic University (PolyU) and THE, the Summit inspires participants with a series of thought-provoking panel discussions on best practices and case studies to empower universities' economic and social impact through innovative research and teaching.</t>
  </si>
  <si>
    <t>['Times Higher Education', 'THE', 'PolyU', 'Innovation &amp; Impact Summit', 'Universities', 'university']</t>
  </si>
  <si>
    <t>Dr Candace Johnson at THE Innovation and Impact Summit co-hosted by PolyU &amp; Times Higher Education</t>
  </si>
  <si>
    <t>Keynote speech: Can entrepreneurs be created?
Dr Candace Johnson, founder/co-founder, SES, Loral-Teleport Europe, Europe Online, VATM, GTWN, OWNSAT, Success Europe
Live report of the Summit: http://www.scmp.com/topics/polyu-innovation-impact-summit</t>
  </si>
  <si>
    <t>['THEinnovation', 'Candace Johnson', 'PolyU', 'Times higher education', 'Innovation and Impact Summit', 'SES', 'entrepreneurs', 'entrepreneurship']</t>
  </si>
  <si>
    <t>['PolyU', 'PolyU80', '80th anniversary']</t>
  </si>
  <si>
    <t>THE Innovation and Impact Summit 2017, The Hong Kong Polytechnic University</t>
  </si>
  <si>
    <t>['PolyU', 'Times Higher Education', 'THEInnovation', 'Hong Kong', 'Innovation &amp; Impact Summit', 'university', 'university summit', 'university ranking', 'research summit', 'innovation', 'technology', 'innovation and technology']</t>
  </si>
  <si>
    <t>['Tan Dun', 'Composer', 'Conductor']</t>
  </si>
  <si>
    <t>['Violinist', 'PolyU', 'Yao Jue']</t>
  </si>
  <si>
    <t>['PolyU80', '80anniversary', 'PolyU']</t>
  </si>
  <si>
    <t>['contest', 'competition', 'photo', 'photo competition', 'photo contest', 'hashtag', 'instagram', 'twitter', 'Hotel ICON', 'PolyU', 'PolyU80', 'The Hong Kong Polytechnic University']</t>
  </si>
  <si>
    <t>Dr Candace Johnson</t>
  </si>
  <si>
    <t>Mrs Fatima Guzman Quintin</t>
  </si>
  <si>
    <t>C AllStar</t>
  </si>
  <si>
    <t>['C AllStar']</t>
  </si>
  <si>
    <t>Nurturing Talent and Building Capacity in Supporting the Belt and Road Development</t>
  </si>
  <si>
    <t>['PolyU', 'PolyU80', 'Universities Alliance of the Silk Road', 'UASR', 'Silk Road Global Youth Leadership Programme']</t>
  </si>
  <si>
    <t>['PolyU', 'PolyU80', 'The Hong Kong Polytechnic University', '80th Anniversary']</t>
  </si>
  <si>
    <t>['PolyU', 'PolyU80', 'Anniversary Celebrations', 'C AllStar', 'University']</t>
  </si>
  <si>
    <t>['PolyU', 'The Hong Kong Polytechnic University', 'PolyU80', 'C AllStar']</t>
  </si>
  <si>
    <t>PolyU 80th Anniversary Theme Song - "Shape the Future" by C AllStar</t>
  </si>
  <si>
    <t>Innovative hotel and tourism management education at PolyU</t>
  </si>
  <si>
    <t>Dr Basak Denizci Guillet shares her experience and insights about teaching and research in the School of Hotel and Tourism Management of PolyU.</t>
  </si>
  <si>
    <t>Public Design for better public living</t>
  </si>
  <si>
    <t>The Shipping Research Centre (SRC) serves as an agent to facilitate collaboration between academic researchers and industrial practitioners to generate solutions to the shipping industry's problems, to develop state-of-the-art business models, and to promote the adoption of innovative management practices in the shipping and related industries.
Find out more about SRC on http://www.lms.polyu.edu.hk/en/centres/src/</t>
  </si>
  <si>
    <t>Intelligent Transportation Systems</t>
  </si>
  <si>
    <t>The systems developed by Professor William Lam and his research team aim to turn Hong Kong into a Smart City. With more effective use of roads and transportation, people will enjoy smart living in Hong Kong.
For more information about the systems, please visit http://www.polyu.edu.hk/web/en/media/media_releases/index_id_6172.html</t>
  </si>
  <si>
    <t>Interactive Polymeric Optical Fibre Textiles</t>
  </si>
  <si>
    <t>With an interactive and illuminative effect, this award-winning fabric can come with sensors, allowing users to remotely control the colours and illumination effect through Bluetooth technology in smartphones.
Please visit http://drjeannetanresearch.com/dimensional.html for details.</t>
  </si>
  <si>
    <t>A Gift for Alumni</t>
  </si>
  <si>
    <t>['PolyU', 'alumni', 'alma mater', 'Alumni Atrium']</t>
  </si>
  <si>
    <t>Accelerating reading ability for children with reading difficulties</t>
  </si>
  <si>
    <t>The Department of Chinese and Bilingual Studies has developed an intervention programme for local primary students who suffer from reading difficulties of various degrees. The programme has been incorporated as a Service-Learning subject for PolyU students to serve primary students with reading difficulties and their caretakers.
For details: http://www.polyu.edu.hk/cpa/milestones/en/201506/research_innovation/life_sciences/accelerating_reading_ability_for_children_with/index.html</t>
  </si>
  <si>
    <t>Exploring China 2014/15</t>
  </si>
  <si>
    <t>['The Hong Kong Polytechnic University', 'service-learning', 'volunteer', 'branding', 'tagline']</t>
  </si>
  <si>
    <t>Serving People with Special Healthcare Needs in the Chinese Mainland</t>
  </si>
  <si>
    <t>The Department of Rehabilitation Sciences of the Hong Kong Polytechnic University is the only tertiary institution that provides occupational therapy and physiotherapy education in Hong Kong. This year, 35 PolyU students from different healthcare disciplines divided into 6 groups went to China to serve cerebral palsy children in mainland China. They use the Concept of "Play Therapy" to local rehabilitation staff and the family members of the disabled children thus providing added-value to traditional therapeutic methods.</t>
  </si>
  <si>
    <t>['PolyU', 'mainland service', 'service-learning', 'volunteer']</t>
  </si>
  <si>
    <t>Visionaries Connected: Entrepreneurship Conference and Poly-preneurs Carnival</t>
  </si>
  <si>
    <t>IoT-based Advanced Automobile Parking Navigation System</t>
  </si>
  <si>
    <t>Incorporating different emerging technologies, the IoT-based Advanced Automobile Parking Navigation System not only help to ease traffic congestion and reduce pollution, but also give drivers a whole new parking experience.</t>
  </si>
  <si>
    <t>['PolyU', 'The Hong Kong Polytechnic University', 'engineering', 'RFID', 'Innovation', 'NFC', 'Internet of Things', 'Cloud Computing', 'Big Data', 'drivers', 'smart phones']</t>
  </si>
  <si>
    <t>3D Ultrasound Imaging for Spine Scoliosis</t>
  </si>
  <si>
    <t>PolyU researchers developed a novel, radiation-free system for scoliosis evaluation. With this advanced 3D ultrasound imaging technology, 3D scan of the spine can be obtained as often as required. Timely intervention becomes possible and doctors can personalize treatment plans for better result.
More details can be found: http://www.polyu.edu.hk/ife/corp/en/publications/tech_front.php?tfid=1529</t>
  </si>
  <si>
    <t>['Ultrasound (Industry)', 'Scoliosis (Disease Or Medical Condition)', 'medical research', 'Biomedical Engineering (Industry)', 'X-ray', '3D spine scan']</t>
  </si>
  <si>
    <t>Computer intelligence system for acute stroke detection</t>
  </si>
  <si>
    <t>With this ground-breaking computer technology, frontline medical professionals are able to achieve speedy and accurate diagnosis for stroke patients.
For details, please visit: http://www.polyu.edu.hk/web/en/media/media_releases/index_id_6109.html</t>
  </si>
  <si>
    <t>['Stroke (Disease Or Medical Condition)', 'Health (Industry)', 'Computer', 'Department of Health Technology and Informatics', 'Dr Tang Fuk-hay', 'Computer-Aided Detection (CAD) System', 'haemorrhagic stroke', 'ischemic stroke', 'acute stroke', 'CT scans']</t>
  </si>
  <si>
    <t>Dining@PolyU</t>
  </si>
  <si>
    <t>['Hong Kong Polytechnic University (College/University)', 'College (TV Genre)', 'University (Building Function)', 'eat', 'drink', 'snacks', 'fast food', 'campus', 'catering', 'Food', 'Eating', 'student', 'staff', 'alumni', 'cafe', 'restaurant', 'F&amp;B', 'Food And Beverage (Industry)']</t>
  </si>
  <si>
    <t>['The Hong Kong Polytechnic University', 'PolyU', 'alumni event', 'gathering', 'reunion', 'Hong Kong Polytechnic University (College/University)', 'University (Building Function)', 'Friends', 'Days']</t>
  </si>
  <si>
    <t>Learning through Providing Eye Care and Vision Health to the Community</t>
  </si>
  <si>
    <t>The School of Optometry has been providing vision screenings as a form of community service and yet the demand is so high that our students were not sufficient to meet the need of service. Now, through a special Train-the-trainer programme, the students are acting as mentors to non-optometry students for conducting vision screenings. Through teaching and learning, both students can gain from this mentorship programme.</t>
  </si>
  <si>
    <t>['The Hong Kong Polytechnic University', 'PolyU', 'service-learning', 'student community service', 'mainland China', 'Learning (Quotation Subject)', 'Health (Industry)', 'Eye (Quotation Subject)']</t>
  </si>
  <si>
    <t>PolyU Global Student Challenge (GSC) 2015 - Student Testimonials</t>
  </si>
  <si>
    <t>See what 240 contestants representing 60 shortlisted teams from 21 countries think about GSC 2015 - a global business plan competition for secondary and university students worldwide. Find out more about this competition at www.polyu.edu.hk/polyuchallenge.</t>
  </si>
  <si>
    <t>['Hong Kong Polytechnic University (College/University)', 'College (TV Genre)', 'Challenge', 'Student (Fictional Job Title)', 'Lesson', 'student competition', 'business case proposal', 'Hong Kong', 'PolyU']</t>
  </si>
  <si>
    <t>PolyU Innovation and Entrepreneurship Global Student Challenge (GSC) 2015 attracted 130 teams of secondary schools and universities students from 22 countries to participate. Sixty teams have been shortlisted to the Semi-Final on 22 June 2015 in Hong Kong, while 12 of them advanced to the Final on 24 June. Enjoy the highlights of GSC 2015 in this video.</t>
  </si>
  <si>
    <t>['Hong Kong Polytechnic University (College/University)', 'student competition', 'business case proposal', 'Student (Fictional Job Title)', 'Hong Kong', 'Challenge']</t>
  </si>
  <si>
    <t>['Fashion Design (Industry)', 'Textile Industry (Industry)', '3D printing', 'dress', 'students', 'PolyU', 'Brand', 'Fashion (Industry)', 'Style', 'Clothing (Industry)', 'University']</t>
  </si>
  <si>
    <t>A Learning Journey on the Silk Road</t>
  </si>
  <si>
    <t>['PolyU', 'Xian', 'service learning', 'community service', 'China', 'Silk Road (Literature Subject)']</t>
  </si>
  <si>
    <t>Biomedical Engineering Services to Under-privileged People with Physical Disabilities</t>
  </si>
  <si>
    <t>Since 2006, PolyU has hosted a volunteer programme to serve the needs of cerebral palsy children in mainland China in partnership with two prestigious universities in the United States.  During the past 10 years, we have served more than 500 cases with orthopaedic and prosthetic devices in 10 cities.  By encouraging our graduates to come back to work with us as mentors, we are able to enlighten our society through service, while motivating our students to become caring and responsible global citizens.</t>
  </si>
  <si>
    <t>['BME', 'PolyU', 'service learning', 'community service', 'disabled', 'volunteering', 'China', 'Disability (Quotation Subject)']</t>
  </si>
  <si>
    <t>['PolyU', 'innovation', 'research showcase']</t>
  </si>
  <si>
    <t>Sichuan Expanded School Mental Health Network</t>
  </si>
  <si>
    <t>['The Hong Kong Polytechnic University', 'PolyU', 'Faculty of Health and Social Sciences', 'Department of Applied Social Sciences', 'Earthquake (Disaster Type)', 'social work', 'counseling', 'Timothy Sim', 'Associate Professor']</t>
  </si>
  <si>
    <t>Campus Jog for HEALTH</t>
  </si>
  <si>
    <t>Held in April 2015, the event aimed to promote the concept of Healthy Campus, to raise the awareness of the importance of regular exercise, to demonstrate the feasibility of daily exercise into the routine busy working and learning schedules of our staff and students...</t>
  </si>
  <si>
    <t>['jogging route', 'physical exercise', 'health', 'team spirit', 'University Health Service', 'Student Affairs', 'PolyU', 'The Hong Kong Polytechnic University', 'hong kong university', 'workout', 'sport']</t>
  </si>
  <si>
    <t>['Hong Kong Polytechnic University (College/University)', 'PolyU', 'campus', 'Jockey Club Innovation Tower', 'House of Innovation', 'Industrial Centre', 'Hong Kong (Country)', 'Hunghom', 'canteen', 'hostel']</t>
  </si>
  <si>
    <t>Hong Kong PhD Fellowship - The Hong Kong Polytechnic University</t>
  </si>
  <si>
    <t>To apply for the Hong Kong PhD Fellowship via the Hong Kong Polytechnic University, please visit: http://www.polyu.edu.hk/ro/hkphd-fellowship/</t>
  </si>
  <si>
    <t>['University', 'Postgraduate Education (Degree)', 'further education']</t>
  </si>
  <si>
    <t>Prof. Thomas Y.C. Leung, Lo Ka Chung Charitable Foundation Professor in Pharmaceutical Sciences</t>
  </si>
  <si>
    <t>Lo Ka Chung Charitable Foundation Endowed Professorship in Pharmaceutical Sciences, endowed by Lo Ka Chung Charitable Foundation Limited</t>
  </si>
  <si>
    <t>['Professor (Job Title)', 'Health', 'Natural', 'Pharmacology (Field Of Study)', 'Cure']</t>
  </si>
  <si>
    <t>Prof. Tao Xiaoming, Vincent and Lily Woo Professor in Textiles Technology</t>
  </si>
  <si>
    <t>Vincent and Lily Woo Endowed Professorship in Textiles Technology, endowed by Vincent and Lily Woo Trust</t>
  </si>
  <si>
    <t>['Professor (Job Title)', 'textiles', 'textiles technology', 'polyu', 'hong kong polytechnic university', 'hongkongpolyu']</t>
  </si>
  <si>
    <t>Prof. Alan Lau, Alex Wong Siu Wah Gigi Wong Fook Chi Endowed Professor in Product Design Engineering</t>
  </si>
  <si>
    <t>PolyU held the Second Inauguration of Endowed Professorships on 13 May 2015 to pay tribute to distinguished scholars for their outstanding academic achievements and significant contributions to the community. 
Endowed by King's Flair Development Limited, the incumbent of Alex Wong Siu Wah Gigi Wong Fook Chi Endowed Professorship in Product Design Engineering is Professor Alan K.T. Lau.</t>
  </si>
  <si>
    <t>['Professor (Job Title)', 'product design', 'engineering']</t>
  </si>
  <si>
    <t>Prof. Kaye Chon, Walter Kwok Foundation Professor in International Hospitality Management</t>
  </si>
  <si>
    <t>Walter &amp; Wendy Kwok Family Foundation Endowed Professorship in International Hospitality Management, endowed by Walter &amp; Wendy Kwok Family Foundation</t>
  </si>
  <si>
    <t>['Hospitality Management Studies (Field Of Study)', 'Professor (Job Title)', 'Hospitality (Industry)', 'polyu', 'hongkongpolyu', 'endowed preofessiorahip']</t>
  </si>
  <si>
    <t>The Institute of Textiles and Clothing, Cheng Yik Hung Endowed Professorship in Fashion Design</t>
  </si>
  <si>
    <t>PolyU held the Second Inauguration of Endowed Professorships on 13 May 2015 to pay tribute to distinguished scholars for their outstanding academic achievements and significant contributions to the community. 
Endowed by the Sau Ching Charity Foundation, the Institute of Textiles and Clothing (ITC) will further enhance and extend our fashion design discipline with the global fashion business through research work and creative practice, thereby broadening the exposure of  our  fashion talents with advanced knowledge and international perspective, benefitting their career and the industry, both within and beyond the territory.</t>
  </si>
  <si>
    <t>['Clothing (Industry)', 'Design (Industry)', 'Fashion Design (Industry)', 'Fashion (Industry)', 'Textile (Visual Art Medium)', 'Style']</t>
  </si>
  <si>
    <t>Ir Prof. T.C. Edwin Cheng, Fung Yiu King - Wing Hang Bank Professor in Business Administration</t>
  </si>
  <si>
    <t>Fung Yiu King - Wing Hang Bank Endowed Professorship in Business Administration, endowed by Fung Yiu King Charitable Foundation Limited</t>
  </si>
  <si>
    <t>['polyu', 'hongkongpolyu', 'professor', 'endowed professor', 'business administration']</t>
  </si>
  <si>
    <t>['PolyU', 'bio-tech', 'invention', 'research', 'DNA']</t>
  </si>
  <si>
    <t>Green Deck - An Innovative Solution to Enhance the Environment</t>
  </si>
  <si>
    <t>['PolyU', 'urban development', 'Deck', 'Garden', 'applied research']</t>
  </si>
  <si>
    <t>Kumming</t>
  </si>
  <si>
    <t>Twenty-nine PolyU students worked together with students from Peking University and Yunnan University to map the local community assets and paint this map on wall.</t>
  </si>
  <si>
    <t>['PolyU', 'Peking University', 'Yunnan University']</t>
  </si>
  <si>
    <t>Discover Chinese Mainland 2014</t>
  </si>
  <si>
    <t>['Discover Chinese Mainland 2014', 'PolyU']</t>
  </si>
  <si>
    <t>Silk Road International Summer School</t>
  </si>
  <si>
    <t>More than 109 students from all different countries come together in Hong Kong and Xian, to participate in this fascinating programme to explore and experience Chinese Culture.</t>
  </si>
  <si>
    <t>['PolyU', 'Silk Road International Summer School', 'Xian', 'summer school']</t>
  </si>
  <si>
    <t>Disaster Resilience</t>
  </si>
  <si>
    <t>Forty-two PolyU undergraduate students took the subject this summer in Sichuan. They have visited the 5.12 Wenchuan Earthquake Memorial Museum as well as experienced intense physical training on survival skills in a training camp.</t>
  </si>
  <si>
    <t>['PolyU', 'Disaster Resilience']</t>
  </si>
  <si>
    <t>Summit on University Social Responsibility: Concluding Remarks</t>
  </si>
  <si>
    <t>The Second Summit on University Social Responsibility cum Inaugural International Conference on Service-Learning: Concluding Remarks
Organised by The Hong Kong Polytechnic University, this 3-day event marks the international partnership of 25 renowned universities around the globe to spearhead university social responsibility to impact the world.
Internationally acclaimed education leaders gathered at this platform to discuss strategies and models for fostering social responsibility and global citizenship among students, and for advancing higher education as a catalyst for social change through education, research and community service.
For more details, please visit http://www.osl.polyu.edu.hk/usrsl2014</t>
  </si>
  <si>
    <t>['PolyU', 'University Social Responsibility', 'Service-Learning']</t>
  </si>
  <si>
    <t>Summit on University Social Responsibility: Plenary Session III</t>
  </si>
  <si>
    <t>The Second Summit on University Social Responsibility cum Inaugural International Conference on Service-Learning: Plenary Session III: Higher Education as a Catalyst for Social Change
Organised by The Hong Kong Polytechnic University, this 3-day event marks the international partnership of 25 renowned universities around the globe to spearhead university social responsibility to impact the world.
Internationally acclaimed education leaders gathered at this platform to discuss strategies and models for fostering social responsibility and global citizenship among students, and for advancing higher education as a catalyst for social change through education, research and community service.
For more details, please visit http://www.osl.polyu.edu.hk/usrsl2014</t>
  </si>
  <si>
    <t>['PolyU', 'Service-Learning', 'University Social Responsibility']</t>
  </si>
  <si>
    <t>Summit on University Social Responsibility: Plenary Session I</t>
  </si>
  <si>
    <t>The Second Summit on University Social Responsibility cum Inaugural International Conference on Service-Learning: Plenary Session I: Nurturing Students to Be Socially Responsible Citizens
Organised by The Hong Kong Polytechnic University, this 3-day event marks the international partnership of 25 renowned universities around the globe to spearhead university social responsibility to impact the world.
Internationally acclaimed education leaders gathered at this platform to discuss strategies and models for fostering social responsibility and global citizenship among students, and for advancing higher education as a catalyst for social change through education, research and community service.
For more details, please visit http://www.osl.polyu.edu.hk/usrsl2014</t>
  </si>
  <si>
    <t>Summit on University Social Responsibility: Plenary Session II</t>
  </si>
  <si>
    <t>The Second Summit on University Social Responsibility cum Inaugural International Conference on Service-Learning: Plenary Session II: Developing University Social Responsibility: Strategies and Models
Organised by The Hong Kong Polytechnic University, this 3-day event marks the international partnership of 25 renowned universities around the globe to spearhead university social responsibility to impact the world.
Internationally acclaimed education leaders gathered at this platform to discuss strategies and models for fostering social responsibility and global citizenship among students, and for advancing higher education as a catalyst for social change through education, research and community service.
For more details, please visit http://www.osl.polyu.edu.hk/usrsl2014</t>
  </si>
  <si>
    <t>Summit on University Social Responsibility: Opening Ceremony</t>
  </si>
  <si>
    <t>The Second Summit on University Social Responsibility cum Inaugural International Conference on Service-Learning: Opening Ceremony
Organised by The Hong Kong Polytechnic University, this 3-day event marks the international partnership of 25 renowned universities around the globe to spearhead university social responsibility to impact the world.
Internationally acclaimed education leaders gathered at this platform to discuss strategies and models for fostering social responsibility and global citizenship among students, and for advancing higher education as a catalyst for social change through education, research and community service.
For more details, please visit http://www.osl.polyu.edu.hk/usrsl2014</t>
  </si>
  <si>
    <t>Christmas Greetings from PolyU President Prof. Timothy W. Tong</t>
  </si>
  <si>
    <t>['PolyU', 'Christmas greeting', 'xmas', 'sustainability', 'tree', 'bauble', 'decoration']</t>
  </si>
  <si>
    <t>Project Concern Sham Shui Po</t>
  </si>
  <si>
    <t>Project Concern Sham Shui Po is a course deliverable of the Service-Learning subject ELC2s01. Students taking the
subject were trained to serve as literacy tutors to children attending after-school day care service at four community centres in Sham Shui Po. They met the children twice a week and facilitated English reading classes, using teaching materials developed by them.</t>
  </si>
  <si>
    <t>['PolyU', 'service learning']</t>
  </si>
  <si>
    <t>Service-Learning at PolyU</t>
  </si>
  <si>
    <t>Engineering for the Needy</t>
  </si>
  <si>
    <t>Thirteen PolyU FENG students set up a solar-powered lighting system at a rural middle school in Guangdong.  They transformed theory into practice and at the same time learn about teamwork and communication.
More details: http://www.polyu.edu.hk/cmao/PolyUDiscoverChineseMainland/</t>
  </si>
  <si>
    <t>['PolyU', 'service learning', 'student trip', 'Mainland China (Region)']</t>
  </si>
  <si>
    <t>Preserving Cultural Heritage for Chinese Ethnic Minorities in Contemporary China</t>
  </si>
  <si>
    <t>Twenty PolyU students went to Inner Mongolia this summer in an effort to preserve Chinese minorities' culture.
More details: http://www.polyu.edu.hk/cmao/PolyUDiscoverChineseMainland/</t>
  </si>
  <si>
    <t>['PolyU', 'service learning', 'student trip', 'Mainland China']</t>
  </si>
  <si>
    <t>Ecotourism in Rural and Developing Regions</t>
  </si>
  <si>
    <t>Twenty-nine PolyU students learned and applied their ecotourism knowledge to Qing Ping, Sichuan. Students enjoyed their service and learned a lot from the locals.
More details: http://www.polyu.edu.hk/cmao/PolyUDiscoverChineseMainland/</t>
  </si>
  <si>
    <t>Educating Rural Farmers on Healthier Food Production (Shifang)</t>
  </si>
  <si>
    <t>Forty-eight PolyU students served the local farmers with expertise and knowledge as well as enthusiasm in Shifang, Sichuan Province for seven days.
More details: http://www.polyu.edu.hk/cmao/PolyUDiscoverChineseMainland/</t>
  </si>
  <si>
    <t>See how our students learning and participating in the PolyU Discover Chinese Mainland programme in summer 2014.
More details: http://www.polyu.edu.hk/cmao/PolyUDiscoverChineseMainland/</t>
  </si>
  <si>
    <t>['teaser', 'PolyU', 'service learning', 'student trips', 'mainland China']</t>
  </si>
  <si>
    <t>Student Academic Advising System - PolyU School of Nursing</t>
  </si>
  <si>
    <t>['PolyU', 'student', 'academic adice', 'SN', 'School of Nursing', 'system']</t>
  </si>
  <si>
    <t>International Student Exchange Experience</t>
  </si>
  <si>
    <t>PolyU International Student Exchange is a programme designed for PolyU undergraduate students to broaden their global outlook and develop their potentials.  In this video, students with exchange experiences in Australia, Finland, Korea, Singapore, UK and USA will share with you their thoughts.  Visit http://www.polyu.edu.hk/iao/experience-exchange to find out more.</t>
  </si>
  <si>
    <t>['PolyU', 'International Student Exchange Experience', 'Australia (Country)', 'Finland (Country)', 'Singapore (Country)', 'UK', 'USA', 'students sharing']</t>
  </si>
  <si>
    <t>Designing an anti-heat stress uniform for construction workers</t>
  </si>
  <si>
    <t>['The Hong Kong Polytechnic University', 'BRE', 'ITC', 'Construction Worker (Profession)', 'uniform', 'summer', 'lab test', 'field test', 'fibres', 'fabrics', 'moisture management', 'nano', 'sweat', 'moisture transfer', 'benefit', 'workers', 'industry', 'PolyU']</t>
  </si>
  <si>
    <t>Learning experience outside the classroom</t>
  </si>
  <si>
    <t>Bring Your Own</t>
  </si>
  <si>
    <t>Let's lead a green life together!</t>
  </si>
  <si>
    <t>['PolyU', 'BYO', 'green life', 'sustainability']</t>
  </si>
  <si>
    <t>Food waste reduction@PolyU</t>
  </si>
  <si>
    <t>PolyU has launched its food waste collection and recycling exercise on campus. Promotion of food waste reduction has been rolled out in the canteens to encourage staff and students pursue a green lifestyle.</t>
  </si>
  <si>
    <t>['Food Waste', 'PolyU', 'sustainability', 'recycling', 'green life', 'flashmob', 'eco', 'environmental protection']</t>
  </si>
  <si>
    <t>PolyU ITC x Sincere: Fashion Seoul - Teaser #1</t>
  </si>
  <si>
    <t>Three teams of creative students from Institute of Textiles and Clothing have joined the first-ever fashion reality show in Hong Kong! They have recently gone to Seoul for fashion merchandising, and later this month each team will open and manage a pop-up store at Sincere department store. 
The show will run every Monday at 9:00 p.m. at now 102 TV Entertainment for six weeks, starting from 5 May. You can cast your vote to support your favourite team on Facebook. Get a sneak peek at the show NOW!</t>
  </si>
  <si>
    <t>['PolyU', 'Institute of Textiles and Clothing', 'Sincere', 'department store', 'TV show', 'competition', 'fashion design', 'VM', 'virtual merchandising', 'Korea', 'Seoul', 'clothing', 'purchasing', 'Fiona Sit (TV Actor)', 'nowTV']</t>
  </si>
  <si>
    <t>Grand Opening Ceremony of Jockey Club Innovation Tower</t>
  </si>
  <si>
    <t>PolyU celebrated the grand opening of the Jockey Club Innovation Tower (JCIT) - home to the University's School of Design and the Jockey Club Design Institute for Social Innovation (JCDISI), as well as the first permanent Hong Kong architectural project by world-renowned architect Zaha Hadid - on 18 March 2014...
For details, please visit http://www.sd.polyu.edu.hk/en/event/jcit-grand-opening-ceremony</t>
  </si>
  <si>
    <t>['PolyU', 'Innovation Tower', 'Jockey Club (Organization)', 'Ceremony', 'Opening', 'Zaha Hadid (Architect)']</t>
  </si>
  <si>
    <t>Summer in China 2013</t>
  </si>
  <si>
    <t>PolyU has launched an array of activities under the 'Summer in Mainland China' programme which attracted more than eight hundred students to explore the Chinese mainland and keep themselves abreast of her latest developments during summer break. Watch this video for sharing of students on the joyous moments in the programme.</t>
  </si>
  <si>
    <t>['Hong Kong Polytechnic University', 'PolyU', 'summer', 'China', 'student', 'activities', 'service learning', 'Volunteering (Job Title)', 'Global Youth Leadership Programme', 'Beijing', "Xi'an", 'Shaanxi Province', 'trips']</t>
  </si>
  <si>
    <t>Chinese New Year Wishes from PolyU President and students around the world</t>
  </si>
  <si>
    <t>PolyU has specially made a video to wish you a healthy and happy Year of the Horse! Enjoy viewing!</t>
  </si>
  <si>
    <t>PolyU research achievements - solve problems, create hopes</t>
  </si>
  <si>
    <t>Watch the video for highlights of PolyU research efforts</t>
  </si>
  <si>
    <t>['PolyU', 'The Hong Kong Polytechnic University', 'research', 'achievements', 'award', 'railway', 'cancer treatment', 'drug', 'food safety', 'mycar', 'mega-structure', 'tower', 'bridges', 'antibiotic', 'clinical trial', 'Hand of Hope', 'paralyzed limb', 'myopia', 'contact lens', 'Air-conditioning', 'vehicles', 'Eco-Block', 'space project', 'Mars Rock', 'Soil Preparation System', 'Camera Pointing System', "Chang'e-3"]</t>
  </si>
  <si>
    <t>Camera Pointing System (CPS)</t>
  </si>
  <si>
    <t>Jointly developed by researchers of The Hong Kong Polytechnic University (PolyU) and China Academy of Space Technology (CAST), the CPS has been carried on board of Chang'e-3 lunar probe in the third phase of China's lunar exploration programme. It is the first Hong Kong-made and developed instrument being deployed for the country's lunar exploration programme since its launch in 2007.
For details, please visit http://www.polyu.edu.hk/cpa/polyu/index.php?search=&amp;press_section=&amp;press_category=All&amp;press_date=&amp;mode=pressrelease&amp;Itemid=223&amp;option=com_content&amp;page=1&amp;order=desc&amp;orderby=news_date&amp;press_id=2657&amp;lang=en</t>
  </si>
  <si>
    <t>['Camera Pointing System', 'space project', 'The Hong Kong Polytechnic University', 'PolyU', 'China Academy of Space Technology', "Chang'e-3", 'Professor Yung Kai-leung', 'lunar probe', 'lunar exploration programme', 'camera']</t>
  </si>
  <si>
    <t>PolyU Orchestra at the Cambridge Exchange Concert</t>
  </si>
  <si>
    <t>Performance of The Hong Kong Polytechnic University Orchestra with the St. Catharine's College Choir and Queens' College Choir of the University of Cambridge at the Emmanuel United Reformed Church on the campus of Cambridge on 1 November 2013.</t>
  </si>
  <si>
    <t>['The Hong Kong Polytechnic University', 'Orchestra', 'music', 'classical', 'PolyU Orchestra', 'Cambridge Exchange Concert', "St. Catharine's College Choir", 'University of Cambridge', 'Emmanuel United Reformed Church', 'student', 'Mozart Requiem', 'Dr Wickham', "Queens' College Choir"]</t>
  </si>
  <si>
    <t>The Beauty of Serving Others: Joining the Nursing Profession</t>
  </si>
  <si>
    <t>PolyU is the first university in Hong Kong to provide a pre-registration degree programme in nursing. This programme develops students' competence in delivering quality care, carrying out relevant research and making significant contributions to the health of the community.</t>
  </si>
  <si>
    <t>['PolyU', 'nursing', 'programme', 'study', 'degree', 'Health Care (Issue)', 'hong kong university', 'OT', 'PT']</t>
  </si>
  <si>
    <t>Professor Alan Lau honoured with UGC Teaching Award 2013</t>
  </si>
  <si>
    <t>Professor Alan Lau of PolyU's Department of Mechanical Engineering was conferred the UGC Teaching Award 2013. The Award honours academics in UGC-funded institutions for their outstanding teaching performance and achievements, as well as their leadership and scholarly contributions to teaching and learning within and across institutions.
Professor Lau's approach emphasizes real-world engagement, which is realised through an unusually extensive and intensive involvement of the industry in the student learning process.
For details: http://t.co/sQvZvOSrpP</t>
  </si>
  <si>
    <t>['PolyU', 'UGC', 'teaching', 'award', 'Mechanical Engineering (Professional Field)', 'good teacher', 'product design', 'final year project', 'Hong Kong Polytechnic University (College/University)', 'university', 'Alan Lau', 'professor', 'joe wong', 'tina chan', 'Student']</t>
  </si>
  <si>
    <t>PolyU Global Student Challenge 2013 - Student Testimonials</t>
  </si>
  <si>
    <t>See what the 240 contestants representing the 62 teams from 21 countries think about GSC 2013 - a global business plan competition for secondary and university students worldwide.  Find out more about this competition at www.polyu.edu.hk/polyuchallenge</t>
  </si>
  <si>
    <t>['PolyU', 'Global Student Challenge', 'GSC', 'Student Testimonials', 'business plan competition', 'secondary students', 'university students']</t>
  </si>
  <si>
    <t>PolyU Global Student Challenge 2013 - The Making of</t>
  </si>
  <si>
    <t>PolyU Innovation and Entrepreneurship Global Student Challenge (GSC) 2013 attracted 228 teams from secondary schools and universities from 34 countries and territories to participate.  62 teams have been shortlisted to the Semi-Final on 24 June in Hong Kong, while 12 of them advanced to the Final on 27 June 2013.  Enjoy the highlights of the Challenge in this video.</t>
  </si>
  <si>
    <t>['PolyU', 'Global Student Challenge', 'GSC', 'universities', 'competition', 'business proposal', 'Hong Kong Polytechnic University (College/University)']</t>
  </si>
  <si>
    <t>Tomorrow's Guestrooms</t>
  </si>
  <si>
    <t>Watch the innovative features of Tomorrow's Guestrooms which will bring a difference to hotel stay in the future...
For details, please visit: http://www.polyu.edu.hk/cpa/polyu/index.php?search=&amp;press_section=&amp;press_category=All&amp;press_date=&amp;mode=pressrelease&amp;Itemid=223&amp;option=com_content&amp;page=3&amp;order=desc&amp;orderby=news_date&amp;press_id=2555&amp;lang=en</t>
  </si>
  <si>
    <t>['PolyU', 'Hotel ICON', 'Neobar and E-Tray', 'High Definition (HD) Weave Carpet', 'SuperDock DN 7000', 'Guest Communication Center', 'AElement', 'TELY', 'iFlyPad', 'Hotel ONAIR', 'minibar', 'lock', 'hotel']</t>
  </si>
  <si>
    <t>PolyU 2013 Graduation Photography Service</t>
  </si>
  <si>
    <t>['PolyU 2013 Graduation Photography Service', 'bear', 'graduation', 'photo']</t>
  </si>
  <si>
    <t>Opening Ceremony of PolyU Shanghai Liaison Office at Tongji University -- 26 July 2013</t>
  </si>
  <si>
    <t>To mark the Opening of PolyU's Shanghai Liaison Office at Tongji University, a plaque unveiling ceremony cum dinner gathering for entrepreneurs, alumni and students was successfully held on 26 July 2013 in Shanghai. Over 100 participants, including representatives of senior management from both PolyU and Tongji U, PolyU's Court and Council members, staff, entrepreneurs, alumni and students, witnessed the memorable moment of PolyU's development in the Chinese Mainland.  This video captioned the joyful moments of the event.</t>
  </si>
  <si>
    <t>Interview with Successful Entrepreneurs and Distinguished Alumni by PolyU Students - 26 July 2013</t>
  </si>
  <si>
    <t>To mark the Opening of PolyU's Shanghai Liaison Office at Tongji University, a plaque unveiling ceremony cum dinner gathering for entrepreneurs, alumni and students was successfully held on 26 July 2013 in Shanghai. Over 100 participants, including representatives of senior management from both PolyU and Tongji U, PolyU's Court and Council members, staff, entrepreneurs, alumni and students, witnessed the memorable moment of PolyU's development in the Chinese Mainland.  This video captioned the interview with successful entrepreneurs and distinguished alumni by PolyU students.</t>
  </si>
  <si>
    <t>Mr Wong Tit-shing, recipient of PolyU University Fellowship 2012/2013</t>
  </si>
  <si>
    <t>['The Hong Kong Polytechnic University', 'PolyU', 'University Fellowship', 'Wong Tit-shing', 'Production Engineering', 'Jetta Company Limited']</t>
  </si>
  <si>
    <t>Mrs Clara Weatherall, recipient of PolyU University Fellowship 2012/2013</t>
  </si>
  <si>
    <t>['The Hong Kong Polytechnic University', 'PolyU', 'University Fellowship', 'Clara Weatherall', 'Keswick Foundation', 'philanthropy']</t>
  </si>
  <si>
    <t>Ir Tsui Tack-kong, recipient of PolyU University Fellowship 2012/2013</t>
  </si>
  <si>
    <t>['The Hong Kong Polytechnic University', 'PolyU', 'University Fellowship', 'Tsui Tack-kong', 'alumnus', 'building', 'T.K. Tsui &amp; Associates Limited']</t>
  </si>
  <si>
    <t>Mr Kong Qingping, recipient of PolyU University Fellowship 2012/2013</t>
  </si>
  <si>
    <t>['The Hong Kong Polytechnic University', 'PolyU', 'University Fellowship', 'Kong Qingping', 'China Overseas Land and Investment Limited']</t>
  </si>
  <si>
    <t>Professor Norman W.M. Ko, recipient of PolyU University Fellowship 2012/2013</t>
  </si>
  <si>
    <t>['The Hong Kong Polytechnic University', 'PolyU', 'University Fellowship', 'Norman W.M. Ko', 'fluid dynamics', 'acoustics', 'sculpting', 'painting', 'photography']</t>
  </si>
  <si>
    <t>Mr Clifton Ko Chi-sum, recipient of PolyU University Fellowship 2012/2013</t>
  </si>
  <si>
    <t>['The Hong Kong Polytechnic University', 'PolyU', 'University Fellowship', 'Clifton Ko Chi-sum', 'Spring-Time Stage Productions', 'film director', 'producer', 'screenwriter']</t>
  </si>
  <si>
    <t>PolyU University Fellowship Conferment Ceremony 2012/2013</t>
  </si>
  <si>
    <t>PolyU conferred the honorary title of University Fellowship upon six outstanding individuals on 30 January 2013 to pay tribute to their significant contributions to the University and the community. The recipients (in alphabetical order of last name): Mr Clifton Ko Chi-sum, Professor Norman W.M. Ko, Mr Kong Qingping, Ir Tsui Tack-kong, Mrs Clara Weatherall and Mr Wong Tit-shing.</t>
  </si>
  <si>
    <t>['The Hong Kong Polytechnic University', 'PolyU', 'University Fellowship', 'Clifton Ko Chi-sum', 'Norman W.M. Ko', 'Kong Qingping', 'Tsui Tack-kong', 'Clara Weatherall', 'Wong Tit-shing']</t>
  </si>
  <si>
    <t>Smart Monitoring System</t>
  </si>
  <si>
    <t>PolyU's inter-disciplinary research teams have developed a "Smart Monitoring System" consisting of different kinds of advanced monitoring technologies to evaluate the structural health and safety of railway systems as well as mega-structures. This system has adopted many different types of advanced technologies to provide railway companies or building owners real-time information on its structural condition for their easy and cost effective maintenance.</t>
  </si>
  <si>
    <t>['PolyU', 'Smart Monitoring System', 'mega-structures', 'railway', 'bridges', 'real-time monitoring', 'research', 'technology']</t>
  </si>
  <si>
    <t>Advanced Optical Fiber Bragg Grating Sensor Systems for Railway Monitoring</t>
  </si>
  <si>
    <t>Based on the Optical Fiber Bragg Grating (FBG) Sensor, a Smart Railway Monitoring System has been developed which allows real-time and continuous monitoring of the structural and operational conditions of trains and tracks of railway systems.  It can effectively and efficiently improve the system reliability, availability, maintainability as well as safety.</t>
  </si>
  <si>
    <t>['PolyU', 'Optical Fiber Bragg Grating Sensor Systems', 'Railway Monitoring', 'Optical Fiber', 'train', 'research', 'transport', 'safety']</t>
  </si>
  <si>
    <t>Research Institute for Sustainable Urban Development (RISUD)</t>
  </si>
  <si>
    <t>In response to the massive urbanization process in China, PolyU has established the Research Institute for Sustainable Urban Development (RISUD) to address the issue of urban sustainability. The RISUD includes 26 research groups under five Divisions, namely (1) Urban Planning and Management, (2) Urban Infrastructure, (3) Urban Environment, (4) Digital Technology in Urban Development, and (5) Building Energy and Environmental Performance. Through research and knowledge transfer activities, consultancy services and professional training, the RISUD is committed to multi-disciplinary collaborations to address major urban planning and environmental issues.</t>
  </si>
  <si>
    <t>['PolyU', 'Research Institute for Sustainable Urban Development (RISUD)', 'RISUD', 'sustainability', 'Research Institute (School Category)', 'urban development', 'Knowledge Transfer']</t>
  </si>
  <si>
    <t>Professor Roger Ball, Endowed Professor in Asian Ergonomics</t>
  </si>
  <si>
    <t>PolyU staged a special ceremony on 29 May 2013 to mark the First Inauguration of Endowed Professorships. Endowed by Mr Eric C. Yim, the incumbent of Eric C. Yim Endowed Professorship in Asian Ergonomics is Professor Roger Ball.</t>
  </si>
  <si>
    <t>['The Hong Kong Polytechnic University', 'PolyU', 'endowed professor', 'Ergonomics', 'design', 'SizeChina']</t>
  </si>
  <si>
    <t>Prof. John Xin, Lee Family Professor in Fashion and Textiles</t>
  </si>
  <si>
    <t>Lee Family Endowed Professorship in Fashion and Textiles, endowed by Dr Harry Lee, SBS, JP</t>
  </si>
  <si>
    <t>['The Hong Kong Polytechnic University', 'PolyU', 'Endowed Professor', 'textile', 'clothing', 'fashion']</t>
  </si>
  <si>
    <t>Prof. K.Y. Wong, Patrick S.C. Poon Professor in Applied Chemistry</t>
  </si>
  <si>
    <t>Patrick S.C. Poon Endowed Professorship in Applied Chemistry, endowed by Dr Patrick S.C. Poon, SBS</t>
  </si>
  <si>
    <t>['The Hong Kong Polytechnic University', 'PolyU', 'Endowed Professor', 'applied chemistry']</t>
  </si>
  <si>
    <t>PolyU Student Halls of Residence (Homantin)</t>
  </si>
  <si>
    <t>The Homantin Halls is the second student residence of PolyU. It is located at 15 Fat Kwong Street, with easy access of public transport. With six individual halls, the 25-storey building can accommodate over 1,650 students. The innovative design of 9-person-suite facilitates the formation of small communities among residents while offers adequate privacy to students. Comprehensive facilities and plenty of communal space are also provided in the Halls.
Students can experience a colourful and rewarding hall life with us. For more details of the Student Halls, please visit www.polyu.edu.hk/sao/hall</t>
  </si>
  <si>
    <t>['PolyU', 'student halls', 'residence', 'Ho Man Tin']</t>
  </si>
  <si>
    <t>Award-winning Energy-relay Devices by PolyU students</t>
  </si>
  <si>
    <t>With their innovative design for the "Energy-relay cars", the PolyU student team won the third place in an International Engineering Design Contest, organized by the American Society of Mechanical Engineers International (ASME) in Nov 2012. This was the second best record since PolyU entered the final round of the international contest in 2002.</t>
  </si>
  <si>
    <t>['PolyU', '3rd place', 'design contest', 'ASME']</t>
  </si>
  <si>
    <t>PolyU Student Ambassador Scheme</t>
  </si>
  <si>
    <t>This is an introduction to the PolyU Student Ambassador Scheme. Interested students may apply from 25 February to 21 March 2013. For details, please visit http://www.polyu.edu.hk/as/SA/SA_Scheme/recruitment.pdf</t>
  </si>
  <si>
    <t>Virtual House of Innovation</t>
  </si>
  <si>
    <t>['Virtual House of Innovation', 'PolyU', 'IfE']</t>
  </si>
  <si>
    <t>PolyU Mainland Programme Graduates Distinguished Achievement Award Presentation Ceremony</t>
  </si>
  <si>
    <t>To commemorate the 75th anniversary of PolyU, the "PolyU Mainland Programme Graduates Distinguished Achievement Award Presentation Ceremony cum 75th Anniversary Celebration Dinner in Pearl River Delta region" was held on 13 October 2012 at InterContinental Hotel, Shenzhen. This video captured the cocktail reception, award presentation ceremony and remarks made by the 12 distinguished awardees.</t>
  </si>
  <si>
    <t>['PolyU', 'Shenzhen', 'Award Presentation', 'alumni']</t>
  </si>
  <si>
    <t>PolyU 75th Anniversary Celebration Dinner in Pearl River Delta region</t>
  </si>
  <si>
    <t>To commemorate the 75th anniversary of PolyU, the "PolyU Mainland Programme Graduates Distinguished Achievement Award Presentation Ceremony cum 75th Anniversary Celebration Dinner in Pearl River Delta region" was held on 13 October 2012 at InterContinental Hotel, Shenzhen. This video captured the celebration ceremony, performance and other joyful moments of the event.</t>
  </si>
  <si>
    <t>['PolyU', 'Shenzhen', 'alumni']</t>
  </si>
  <si>
    <t>PolyU Video Series 2012 - Faculty of Engineering</t>
  </si>
  <si>
    <t>The Hong Kong Polytechnic University is committed to promoting innovative technology and knowledge transfer. Its Faculty of Engineering has collaborated with Southwest Jiaotong University and Dalian Jiaotong University to apply its proprietary Advanced Fibre Bragg Grating Sensor (FBG) Systems to the national High-Speed Rail, both for enhancing its reliability and for monitoring its structural health and safety.</t>
  </si>
  <si>
    <t>['PolyU', 'Faculty of Engineering', 'railway monitoring system']</t>
  </si>
  <si>
    <t>PolyU Video Series 2012 - Faculty of Applied Science and Textiles</t>
  </si>
  <si>
    <t>The Hong Kong Polytechnic University is committed to promoting innovative technology and knowledge transfer. Its Faculty of Applied Science and Textiles has worked on many projects to meet the needs of society.</t>
  </si>
  <si>
    <t>['PolyU', 'knitwear', 'fashion']</t>
  </si>
  <si>
    <t>PolyU Video Series 2012 - Faculty of Construction and Environment</t>
  </si>
  <si>
    <t>The Hong Kong Polytechnic University is committed to the sustainable development of society. Its Faculty of Construction and Environment has been working actively on related research projects to address the societal needs.</t>
  </si>
  <si>
    <t>['PolyU', 'ICC']</t>
  </si>
  <si>
    <t>PolyU Video Series 2012 - School of Hotel and Tourism Management</t>
  </si>
  <si>
    <t>The sustainable development of tourism industry depends on the availability of quality talent. PolyU's School of Hotel and Tourism Management moves with the times and is committed to enhancing the quality of hotel and tourism education. A brand new approach to hospitality and tourism education is adopted by the School with the establishment of Hotel ICON, its teaching and research hotel.</t>
  </si>
  <si>
    <t>['PolyU', 'Hotel ICON']</t>
  </si>
  <si>
    <t>PolyU Video Series 2012 - School of Design</t>
  </si>
  <si>
    <t>With its application-oriented research culture, PolyU responds to the practical needs of our society, our country and the world. Its School of Design has been conducting forward-looking research, for example, the SizeChina project for ethnic Chinese, the Chinese Chess for the visually impaired, the interactive donation system 'i-Give'...</t>
  </si>
  <si>
    <t>['PolyU', 'School of Design', 'design research', 'SizeChina', 'i-Give']</t>
  </si>
  <si>
    <t>PolyU Video Series 2012 - Faculty of Business</t>
  </si>
  <si>
    <t>PolyU's Faculty of Business provides students with opportunities to participate in overseas exchange, internship, competitions and social services, etc. Students will not only excel in their chosen professions, but also become all-round global citizens with a sense of social responsibility and international perspective.</t>
  </si>
  <si>
    <t>['PolyU', 'Faculty of Business', 'global citizens', 'IDEAS']</t>
  </si>
  <si>
    <t>PolyU Video Series 2012 - Faculty of Health and Social Sciences</t>
  </si>
  <si>
    <t>With the implementation of the new curriculum, The Hong Kong Polytechnic University will introduce a compulsory credit-bearing requirement on "service learning". The Faculty of Health and Social Sciences has launched its service learning programmes since 2000. It encourages its students to be more engaged with the community in Hong Kong, and to serve in remote areas in the Chinese mainland...</t>
  </si>
  <si>
    <t>Exploring PolyU Student Halls of Residence</t>
  </si>
  <si>
    <t>PolyU Student Halls of Residence is located right in the heart of Hong Kong and only a short walk away from the main campus.  Our international students will show you what it has to offer.</t>
  </si>
  <si>
    <t>['PolyU', 'Student', 'Halls of Residence', 'cost of living', 'dormitory', 'facilities']</t>
  </si>
  <si>
    <t>Student Testimonial Video - Shawn Soyeon Park</t>
  </si>
  <si>
    <t>Shawn Soyeon Park, a full-time student from Korea who recently graduated at PolyU School of Hotel &amp; Tourism Management, shows you her fruitful experience at PolyU that enriches her personal and professional development.</t>
  </si>
  <si>
    <t>['PolyU', 'Korean', 'student sharing', 'Shawn Soyeon Park']</t>
  </si>
  <si>
    <t>PolyU RoadShow Series: Faculty of Humanities</t>
  </si>
  <si>
    <t>PolyU is committed to broadening students' perspectives and enhancing their competitiveness in face of globalization. The Faculty of Humanities organizes events to provide students with a multi-cultural learning environment.</t>
  </si>
  <si>
    <t>PolyU Micro Fund 2011 Awards Presentation Ceremony</t>
  </si>
  <si>
    <t>PolyU Micro Fund aims to nurture socially responsible young entrepreneurs in the PolyU community with "Do Well and Do Good" entrepreneurial spirit.  The first Micro Fund presentation ceremony was held on 17 Oct 2011 with seed fund granted to Entrepreneurship Stream awardees for executing their business proposals; and cash awards to Innovation Stream awardees for rewarding their innovative suggestions to enhance campus life.</t>
  </si>
  <si>
    <t>['PolyU', 'Micro', 'Fund', 'Innovation', 'Entrepreneurship', '2011', 'Awards', 'Presentation', 'Ceremony', 'Do Well and Do Good']</t>
  </si>
  <si>
    <t>PolyU Micro Fund</t>
  </si>
  <si>
    <t>PolyU Micro Fund for Innovation and Entrepreneurship Scheme is a new knowledge transfer initiative aiming to cultivate innovative culture and "Do Well and Do Good" entrepreneurial ambiance in the PolyU community. Awards and seed funding will be offered to support applications with innovative ideas that could be readily adopted for sustainable development (with selective themes) and good business propositions for their subsequent implementations.  For more details, please visit www.polyu.edu.hk/itrs/polyumfund</t>
  </si>
  <si>
    <t>['PolyU', 'Micro', 'Fund', 'Innovation', 'Entrepreneurship']</t>
  </si>
  <si>
    <t>Some Heroes of Entrepreneurship</t>
  </si>
  <si>
    <t>Professor Alan Barrell, Entrepreneur in Residence, Centre of Entrepreneurial Learning, Judge Business School, University of Cambridge, gave an inspirational talk on what entrepreneurship really means at PolyU.</t>
  </si>
  <si>
    <t>['PolyU', 'Professor Alan Barrell', 'Judge Business School', 'University of Cambridge', 'talk']</t>
  </si>
  <si>
    <t>PolyU GSC Ambassador Programme</t>
  </si>
  <si>
    <t>Click to see the positive experience of four PolyU students, Oiley, Chris, Gabby, and Kylie who participated in the Ambassador Programme of PolyU Innovation &amp; Entrepreneurship Global Student Challenge 2011.</t>
  </si>
  <si>
    <t>['PolyU', 'Global', 'Student', 'Challenge', '2011', 'Ambassador', 'Programme']</t>
  </si>
  <si>
    <t>Open Dialogue with Nobel Laureate: Professor John Nash, Jr.</t>
  </si>
  <si>
    <t>Co-organized by the Hong Kong Federation of Youth Groups and PolyU, Professor John Nash Jr., Nobel Laureate in Economics in 1994, had an Open Dialogue with a thousand Hong Kong students on 9 April 2009 on our campus. Click to see how Professor Nash enlightened the audience with his life experience and achievements in economic research.</t>
  </si>
  <si>
    <t>['PolyU Professor John Nash']</t>
  </si>
  <si>
    <t>PolyU's Optical Sensor Technology put to trail use in High-Speed Rail</t>
  </si>
  <si>
    <t>PolyU researchers and their mainland partners have already installed the "Advanced Fibre Bragg Grating Railway Monitoring System" in several parts of the high-speed rail in the Chinese mainland. The hundreds of optical sensors will provide information on vibration, acceleration and temperature change for engineering staff, helping them to monitor the condition of tracks and railcars as well as structural health of the rail foundation.</t>
  </si>
  <si>
    <t>['PolyU', 'Optical', 'Sensor', 'Technology', 'high-speed', 'rail']</t>
  </si>
  <si>
    <t>Greening Hong Kong by PolyU Alumni 2011</t>
  </si>
  <si>
    <t>About 1,200 alumni of PolyU and their friends and family members planted more than 5,000 shrubs and saplings at Jordan Valley Park on 27 November 2011 to help promoting a greener Hong Kong.</t>
  </si>
  <si>
    <t>['tree', 'planting', 'green']</t>
  </si>
  <si>
    <t>PolyU &amp; HK: From students' eyes</t>
  </si>
  <si>
    <t>Alexander Rose, an exchange student from the UK, currently studying Advertising at PolyU interviewed a number of new friends he made at a Welcome Reception for international students on campus. See what students from around the world think about their first week in the heart of Asia!</t>
  </si>
  <si>
    <t>['PolyU', 'international', 'students', 'sharing', 'International Student', 'University']</t>
  </si>
  <si>
    <t>Talk by Professor Benny Y. C. Hon</t>
  </si>
  <si>
    <t>Professor Benny Y. C. Hon, Department of Mathematics, City University of Hong Kong gave a talk about primes at the Prize Presentation Ceremony of the Joint Primary School Mathematics Competition 2011 on 30 January 2012.</t>
  </si>
  <si>
    <t>['Joint', 'Primary', 'School', 'Mathematics', 'Competition', '2011', 'Professor', 'Benny', 'Y.', 'C.', 'Hon', 'City', 'University', 'of', 'Hong', 'Kong']</t>
  </si>
  <si>
    <t>Address by Professor Walter W. Yuen</t>
  </si>
  <si>
    <t>Professor Walter W. Yuen, PolyU Vice President (Academic Development) officiating the Prize Presentation Ceremony of the Joint Primary School Mathematics Competition 2011 on 30 January 2012.</t>
  </si>
  <si>
    <t>['Professor Walter W. Yuen']</t>
  </si>
  <si>
    <t>Sharing by HAC member Andy Loo</t>
  </si>
  <si>
    <t>Secondary Six student at St. Paul's Co-educational College and HAC member Andy Loo shared his learning experience with the participants at the Prize Presentation Ceremony of the Joint Primary School Mathematics Competition 2011.</t>
  </si>
  <si>
    <t>['PolyU', 'HAC', 'Andy', 'Loo', 'learning', 'experience', 'Joint', 'Primary', 'School', 'Mathematics', 'Competition']</t>
  </si>
  <si>
    <t>Prize Presentation of the Joint Primary School Mathematics Competition 2011</t>
  </si>
  <si>
    <t>The Overall Champion of JPSMC went to Baptist (Sha Tin Wai) Lui Ming Choi Primary School and First Runner-up to St. Francis of Assisi's English Primary School. La Salle Primary School was the Second Runner-Up.</t>
  </si>
  <si>
    <t>['Prize', 'Presentation', 'of', 'the', 'Joint', 'Primary', 'School', 'Mathematics', 'Competition', '2011']</t>
  </si>
  <si>
    <t>Kick-off ceremony for PolyU's 75th Anniversary Celebrations</t>
  </si>
  <si>
    <t>PolyU is celebrating its 75th anniversary in 2012 with the theme "Innovation and Application for the Future". On 17 November 2011, some 500 guests from different sectors participated in the anniversary kick-off ceremony held on campus.</t>
  </si>
  <si>
    <t>['PolyU', '75th anniversary Ceremony']</t>
  </si>
  <si>
    <t>Student Exchange in Toronto</t>
  </si>
  <si>
    <t>PolyU student Hansen Chan shared his exchange experience in Canada.  This award winning video obtained the highest number of votes in the PolyU International Student Exchange Video Diary Competition 2012 (www.polyu.edu.hk/iao/video-diary-competition).</t>
  </si>
  <si>
    <t>['PolyU', 'Student', 'Exchange', 'Toronto', 'Video', 'Diary', 'Competition']</t>
  </si>
  <si>
    <t>['PolyU', '75th anniversary']</t>
  </si>
  <si>
    <t>Open Dialogue with Professor John F. Nash, Jr. - Part 2 of 3</t>
  </si>
  <si>
    <t>Professor John F. Nash Jr., Nobel Laureate in Economics in 1994, had an Open Dialogue with hundreds of Hong Kong students at the newly opened Auditorium of Diocesan Girls' School on 4 November 2011. In this part of the Dialogue, Professor Nash shares his views on how to project controversial ideas and his passion behind the study of Mathematics...</t>
  </si>
  <si>
    <t>['John Nash', 'Nobel Laureate', 'Mathematics', 'Charles Darwin', 'relativity', 'research', 'cosomology', 'PolyU']</t>
  </si>
  <si>
    <t>Open Dialogue with Professor John F. Nash, Jr. - Part 1 of 3</t>
  </si>
  <si>
    <t>Professor John F. Nash Jr., Nobel Laureate in Economics in 1994, had an Open Dialogue with hundreds of Hong Kong students at the newly opened Auditorium of Diocesan Girls' School on 4 November 2011. Professor Nash speaks on a variety of subjects like Mathematics, Music, Economics, etc.</t>
  </si>
  <si>
    <t>['John Nash', 'Nobel Laureate', 'Mathematics', 'music', 'Economics', 'relativity', 'research', 'cosomology', 'PolyU']</t>
  </si>
  <si>
    <t>Open Dialogue with Professor John F. Nash, Jr. - Part 3 of 3</t>
  </si>
  <si>
    <t>Professor John F. Nash Jr., Nobel Laureate in Economics in 1994, had an Open Dialogue with hundreds of Hong Kong students at the newly opened Auditorium of Diocesan Girls' School on 4 November 2011. In the last part of the Dialogue, Professor Nash continues to talk about his goals and research projects...</t>
  </si>
  <si>
    <t>['John Nash', 'Nobel Laureate', 'Economics', 'goals', 'relativity', 'research', 'cosomology', 'PolyU Nobel Prize']</t>
  </si>
  <si>
    <t>Celebrating the 75th anniversary of PolyU</t>
  </si>
  <si>
    <t>Watch the congratulatory wishes from alumni and students from all over the world for the celebration of PolyU's 75th anniversary</t>
  </si>
  <si>
    <t>['Anniversary75th', 'anniversary', 'PolyU']</t>
  </si>
  <si>
    <t>Hotel ICON of PolyU</t>
  </si>
  <si>
    <t>The School of Hotel and Tourism Management of PolyU is taking a new education approach, with Hotel ICON at its centre, to address the growing demands of the hospitality and tourism industry locally, regionally and internationally.</t>
  </si>
  <si>
    <t>['Hotel', 'ICON', 'PolyU', 'SHTM', 'hotel', 'tourism', 'management', 'education']</t>
  </si>
  <si>
    <t>PolyU Engineering Summer Camp 2011</t>
  </si>
  <si>
    <t>The theme for Engineering Summer Camp 2011 is "Engineering Goes Green, Brings a Better Life". PolyU Faculty of Engineering organizes the summer camp annually, inviting F4 to F6 students to experience the spirits of creativity and innovation in Engineering.</t>
  </si>
  <si>
    <t>['PolyU', 'Engineering', 'Summer', 'Camp', '2011', 'Student']</t>
  </si>
  <si>
    <t>Studying and Living in PolyU Hong Kong on a budget</t>
  </si>
  <si>
    <t>Learn to live economically and explore Hong Kong in great depth with me! Enjoy your studies in Hong Kong PolyU with no worries!</t>
  </si>
  <si>
    <t>['Studying', 'Living', 'PolyU', 'budget', 'University', 'Student']</t>
  </si>
  <si>
    <t>PolyU Global Student Challenge (GSC) 2011: Student Testimonials</t>
  </si>
  <si>
    <t>See what the 240 participants representing the 60 teams from 27 countries think about GSC 2011 - a global business plan competition for secondary and university students worldwide. Find out more about this competition at www.polyu.edu.hk/polyuchallenge</t>
  </si>
  <si>
    <t>['GSC', 'business presentation', 'competition', 'Purdue University', 'Iolani School']</t>
  </si>
  <si>
    <t>Global Student Challenge 2011</t>
  </si>
  <si>
    <t>PolyU Innovation and Entrepreneurship Global Student Challenge (GSC) 2011 has attracted more than 190 teams from secondary schools and universities from 27 countries and territories. Sixty teams have been shortlisted to the Semi-Final on 13 June in Hong Kong, while 12 of them advanced to the Final on 16 June. Watch the highlights of the Challenge in this video.</t>
  </si>
  <si>
    <t>PolyU Education Info Days 2011</t>
  </si>
  <si>
    <t>PolyU held its Education Info Days on 17 and 18 Sept 2011. This video recaps the opening ceremony of the Info Days, which was officiated by Prof. Timothy Tong, President of PolyU, and other guests...</t>
  </si>
  <si>
    <t>['PolyU', 'Education', 'Info', 'Days', '2011', 'HKDSE', 'HKALE']</t>
  </si>
  <si>
    <t>The Faculty of Humanities is a leading tertiary education provider of multilingual and multicultural professional communication in Asia. Programmes are designed to equip students with knowledge and practical application skills essential to various professions. Collaborations with different internship partners enable our students to gain valuable hands-on work experience before graduation.</t>
  </si>
  <si>
    <t>['PolyU', 'Faculty of Humanities', 'language', 'culture', 'study']</t>
  </si>
  <si>
    <t>Read@PolyU</t>
  </si>
  <si>
    <t>The University Council Chairman, Ms Marjorie YANG, talks about the READ@PolyU programme, a campus-wide reading (where all participants would read the same book) programme for full-time first year undergraduate students of the University. For details about the programme, please visit: http://www.lib.polyu.edu.hk/read/index.php</t>
  </si>
  <si>
    <t>['Read@PolyU', 'PolyU', 'library', 'reading', 'Marjorie', 'YANG']</t>
  </si>
  <si>
    <t>PolyU: through the eyes of a Singaporean student</t>
  </si>
  <si>
    <t>Ron Lin from Singapore obtained a scholarship and studying at PolyU School of Design shares with you his student life in Hong Kong.</t>
  </si>
  <si>
    <t>['PolyU', 'Singaporean', 'student', 'School', 'of', 'Design', 'Hong', 'Kong', 'university']</t>
  </si>
  <si>
    <t>A Novel Optical Method for Retarding Myopia Progression</t>
  </si>
  <si>
    <t>Results of a clinical study showed that the Defocus Incorporated Soft Contact (DISC) Lens developed by PolyU researchers can effectively slowed down myopia progression by about 50% for Hong Kong school children aged from 8 to 13 years old...</t>
  </si>
  <si>
    <t>['PolyU', 'research', 'myopia', 'optical defocus', 'DISC lens', 'contact lens', 'Gold Medal', 'invention', 'eye']</t>
  </si>
  <si>
    <t>PolyU Alumni Gathering at Hong Kong Science Park</t>
  </si>
  <si>
    <t>PolyU Alumni Gathering at Hong Kong Science Park was held successfully on 4 March 2011 (Friday).</t>
  </si>
  <si>
    <t>['PolyU', 'Alumni Gathering', 'Hong Kong Science Park']</t>
  </si>
  <si>
    <t>International Weeks - Singing Performance</t>
  </si>
  <si>
    <t>A total of 15 students and 6 staff had undergone 12 training sessions hosted by Mr Metternich Wong, a professional singing teacher in town, to learn the specially arranged medley composed of popular songs in different languages including African, Cantonese, English, German, Japanese, Korean, Mandarin, Russian and Spanish, and had performed in the Grand Finale of the PolyU Inaugural International Weeks on 31 March 2011. The performance was well received by audience.</t>
  </si>
  <si>
    <t>['PolyU', 'International Weeks', 'Singing']</t>
  </si>
  <si>
    <t>International Weeks - Chinese Ethnic Costumes Catwalk Performance</t>
  </si>
  <si>
    <t>Featuring on international culture, a Chinese Ethnic Costumes Catwalk Performance had been held in the Grand Finale of the PolyU Inaugural International Weeks on 31 March 2011. A total of 15 students dressed in distinctive and colourful Chinese ethnic costumes with accessories and performed catwalk with feature stories. . The audience enjoyed the performance very much.</t>
  </si>
  <si>
    <t>['PolyU', 'International Weeks', 'Chinese Ethnic Costumes', 'Catwalk']</t>
  </si>
  <si>
    <t>Talk on Fukushima Nuclear Mishap (Q&amp;A session)</t>
  </si>
  <si>
    <t>Professor C.H. Woo, Chair Professor of Solid State Electronics of PolyU's Department of Electronic and Information Engineering gives a talk on Fukushima Nuclear Mishap.</t>
  </si>
  <si>
    <t>['PolyU', 'nuclear', 'Fukushima', 'Q&amp;A']</t>
  </si>
  <si>
    <t>Meeting of the Half Moons</t>
  </si>
  <si>
    <t>PolyU School of Design graduate Mr Chris Ng Ho-yin was awarded the Best Director of the Eighth Global Chinese University Student Film and TV Festival with his creative work of "Meeting of the Half Moons".</t>
  </si>
  <si>
    <t>['PolyU', 'School', 'of', 'Design', 'graduate', 'Chris', 'Ng', 'Ho-yin', 'Best', 'Director', 'Eighth', 'Global', 'Chinese', 'University', 'Student', 'Film', 'TV', 'Festival']</t>
  </si>
  <si>
    <t>Outstanding PolyU Alumni Award 2011</t>
  </si>
  <si>
    <t>PolyU presents its Eighth "Outstanding Alumni Award" to seven alumni for their remarkable professional achievements and contributions to their alma mater and the community.</t>
  </si>
  <si>
    <t>['PolyU', 'OPAA', 'Outstanding Alumni Award']</t>
  </si>
  <si>
    <t>Talk on Fukushima Nuclear Mishap (part 2/2)</t>
  </si>
  <si>
    <t>['PolyU', 'nuclear', 'Fukushima']</t>
  </si>
  <si>
    <t>Talk on Fukushima Nuclear Mishap (part 1/2)</t>
  </si>
  <si>
    <t>Corn</t>
  </si>
  <si>
    <t>This animation was presented the Certificate of Excellence at the 4th Hong Kong Mobile Film.</t>
  </si>
  <si>
    <t>['Festival', 'PolyU', 'corn', 'animation', 'mobile film', 'award']</t>
  </si>
  <si>
    <t>Pass Port</t>
  </si>
  <si>
    <t>This animation was presented the Certificate of Excellence at the 4th Hong Kong Mobile Film Festival.</t>
  </si>
  <si>
    <t>['PolyU', 'pass-port', 'animation', 'mobile film', 'award']</t>
  </si>
  <si>
    <t>Exoskeleton Hand Robotic Training Device</t>
  </si>
  <si>
    <t>Developed by PolyU researchers, the Exoskeleton Hand Robotic Training Device is specially designed for people to relearn their hand function after stroke.</t>
  </si>
  <si>
    <t>['PolyU', 'research', 'stroke', 'patient', 'rehabilitation']</t>
  </si>
  <si>
    <t>University Fellowship Conferment Ceremony 2010/2011 - Highlights</t>
  </si>
  <si>
    <t>PolyU conferred the title of University Fellowship on eight outstanding individuals at a ceremony at the Jockey Club Auditorium on the PolyU campus on 11 January 2011 in recognition of their significant contributions to the University and the community.</t>
  </si>
  <si>
    <t>['PolyU', 'University Fellowship', 'post-ceremony highlights']</t>
  </si>
  <si>
    <t>University Fellowship Conferment Ceremony 2010/2011 - Mr Yau Wah Yau</t>
  </si>
  <si>
    <t>['PolyU', 'University Fellowship', 'Mr Yau Wah Yau']</t>
  </si>
  <si>
    <t>University Fellowship Conferment Ceremony 2010/2011 - Mr Louis Mak Law Mo</t>
  </si>
  <si>
    <t>['PolyU', 'University Fellowship', 'Louis Mak Law Mo']</t>
  </si>
  <si>
    <t>University Fellowship Conferment Ceremony 2010/2011 - Mr Liu Sing Cheong, JP</t>
  </si>
  <si>
    <t>['PolyU', 'University Fellowship', 'Liu Sing Cheong']</t>
  </si>
  <si>
    <t>University Fellowship Conferment Ceremony 2010/2011 - Prof. Liu Yingli</t>
  </si>
  <si>
    <t>['PolyU', 'University Fellowship', 'Prof. Liu Yingli']</t>
  </si>
  <si>
    <t>University Fellowship Conferment Ceremony 2010/2011 - Mr Freeman Lau Siu Hong, BBS</t>
  </si>
  <si>
    <t>['PolyU', 'University Fellowship', 'Freeman Lau Siu Hong']</t>
  </si>
  <si>
    <t>University Fellowship Conferment Ceremony 2010/2011 - Ms Katherine Hung Siu Lin</t>
  </si>
  <si>
    <t>['PolyU', 'University Fellowship', 'Katherine Hung Siu Lin']</t>
  </si>
  <si>
    <t>University Fellowship Conferment Ceremony 2010/2011 - Ms Fiona Cheung Sum Yu, MH</t>
  </si>
  <si>
    <t>['PolyU', 'University Fellowship', 'Fiona Cheung Sum Yu']</t>
  </si>
  <si>
    <t>University Fellowship Conferment Ceremony 2010/2011 - Mr Victor Cha Mou Zing</t>
  </si>
  <si>
    <t>['PolyU', 'University Fellowship', 'Victor Cha Mou Zing']</t>
  </si>
  <si>
    <t>University Fellowship Conferment Ceremony 2010/2011 - Highlights &amp; Addresses</t>
  </si>
  <si>
    <t>['PolyU', 'University Fellowship', 'address', 'Council Chairman', 'Marjorie Yang', 'President', 'Prof. Timothy W. Tong']</t>
  </si>
  <si>
    <t>Autonomous Material Sorter</t>
  </si>
  <si>
    <t>Three PolyU mechanical engineering students have designed an "Autonomous Material Sorter" which is capable of sorting common recycle materials...</t>
  </si>
  <si>
    <t>['PolyU', 'Autonomous Material Sorter', 'mechanical engineering', 'ASME']</t>
  </si>
  <si>
    <t>The programme aims to produce qualified professionals who provide physiotherapy services to promote the health of clients, and to meet the healthcare needs of society...</t>
  </si>
  <si>
    <t>['PolyU', 'BSc', 'Physiotherapy', 'healthcare']</t>
  </si>
  <si>
    <t>PolyU Experience - sharing by students from Amsterdam Fashion Institute</t>
  </si>
  <si>
    <t>A group of exchange students plus their mentor from Amsterdam Fashion Institute joined a 5-week language and cultural programme at PolyU including Putonghua training and work placement in China.  Let's find out how their experience was at PolyU.</t>
  </si>
  <si>
    <t>['PolyU', 'Amsterdam Fashion Institute', 'student sharing', 'Putonghua', 'language training']</t>
  </si>
  <si>
    <t>Engineering Summer Camp 2010</t>
  </si>
  <si>
    <t>The PolyU Faculty of Engineering organises the summer camp annually, inviting F4 and F6 students to experience the miraculous learning in Engineering, which includes making their own first innovations. The theme for Engineering Summer Camp 2010 is "Engineering Goes Green, Brings a Better Life".</t>
  </si>
  <si>
    <t>['PolyU', 'Engineering', 'Summer', 'Camp', '2010', 'green', 'innovations']</t>
  </si>
  <si>
    <t>PolyU Global Student Challenge (GSC) 2010 - From the Participants' eyes...</t>
  </si>
  <si>
    <t>In the inaugural GSC 2010, 60 teams from 21 countries have been shortlisted and were sponsored by PolyU to Hong Kong and enjoyed an array of activities in town from 5-13 June 2010.  See what participants think about this Challenge.  Find out more about this competition at www.polyu.edu.hk/polyuchallenge</t>
  </si>
  <si>
    <t>['PolyU', 'Global Student Challenge', 'GSC', 'student competition']</t>
  </si>
  <si>
    <t>About PolyU Global Student Challenge (GSC) - What it embraces...</t>
  </si>
  <si>
    <t>PolyU GSC is a global business plan competition organised by PolyU.  It is a unique platform for turning sparkling ideas of talented students into real innovative products and services.  Find out more about this competition at www.polyu.edu.hk/polyuchallenge</t>
  </si>
  <si>
    <t>Hong Kong: from a Londoner's eyes</t>
  </si>
  <si>
    <t>Alexander Rose, an exchange student from the UK, shares with us the Londoner's perspective on Hong Kong and PolyU School of Design.</t>
  </si>
  <si>
    <t>['PolyU', 'Hong Kong', 'Alex', 'Rose', 'School of Design', 'exchange student', 'life', 'learning']</t>
  </si>
  <si>
    <t>PolyU-Realink Charity Gala Premiere 2010</t>
  </si>
  <si>
    <t>About 1,000 guests and our alumni joined the "PolyU-Realink Charity Gala Premiere 2010" of "The Sorcerer's Apprentice" and enjoyed a wonderful evening on 28 July 2010 at the Hong Kong Convention and Exhibition Centre. This festive event has raised funds not only for the University's four-year undergraduate curriculum development, but also for nurturing talents for the multi-media industry.</t>
  </si>
  <si>
    <t>['The', "Sorcerer's", 'Apprentice', 'PolyU', 'Realink', 'movie', 'charity', 'fund-raising']</t>
  </si>
  <si>
    <t>Highlights of PolyU Alumni Homecoming Carnival 2010</t>
  </si>
  <si>
    <t>More than 3,000 alumni, staff, students and their family members / friends came back to PolyU campus to enjoy the fun-filled PolyU Alumni Homecoming Carnival 2010 on 14 March 2010...</t>
  </si>
  <si>
    <t>['PolyU', 'alumni', 'homecoming', 'carnival', 'games', 'performances']</t>
  </si>
  <si>
    <t>PolyUTube Series: Mega-structure Diagnostic and Prognostic System</t>
  </si>
  <si>
    <t>Developed by PolyU researchers, this system is a package of technologies for structural monitoring, control, maintenance and management of high-rise structures.</t>
  </si>
  <si>
    <t>['mega structure', 'PolyU', 'structural health monitoring', 'life-cycle', 'Guangzhou TV Tower']</t>
  </si>
  <si>
    <t>Alien Duncan</t>
  </si>
  <si>
    <t>In collaboration with Christian Family Service Centre under the Zero Toxin Teen Project, this award-winning mobile film was produced by PolyU design students. Representing teenagers nowadays, Duncan, the character in the film, always felt being misunderstood. With the help of others, the communication barriers were broken down and he was saved eventually. He expressed, I have been waiting for you to pull me back</t>
  </si>
  <si>
    <t>['alien duncan', 'mobile film', 'teenager', 'Zero Toxin Teen Project']</t>
  </si>
  <si>
    <t>A day at PolyU</t>
  </si>
  <si>
    <t>Miles Goff, an exchange student from Canada, studying Applied Biology with Biotechnology at PolyU shares his perspective of PolyU and how he spends a typical day at where creates memories to last a lifetime.</t>
  </si>
  <si>
    <t>['PolyU', 'exchange student', 'study', 'campus life']</t>
  </si>
  <si>
    <t>2005-2008 Brand Conference Participants</t>
  </si>
  <si>
    <t>To celebrate the 5th anniversary of the International Conference on Brand Management, this video showcases the world-class brand experts who participated in our Brand Conferences from 2005 to 2008.</t>
  </si>
  <si>
    <t>['brand', 'experts', 'conference']</t>
  </si>
  <si>
    <t>Highlights of BRAND DRIVEN INNOVATION: DESIGN, MANAGEMENT AND VALUE</t>
  </si>
  <si>
    <t>Themed BRAND DRIVEN INNOVATION: DESIGN, MANAGEMENT AND VALUE, the 5th International Conference on Brand Management brings together world-class brand management experts from academic and business sectors to share cutting edge information on current trends in brand management and innovation.</t>
  </si>
  <si>
    <t>['Highlights', 'BRAND', 'INNOVATION', 'DESIGN', 'MANAGEMENT', 'VALUE']</t>
  </si>
  <si>
    <t>The Rising Stars at PolyU International Tea Reception 2009</t>
  </si>
  <si>
    <t>Enjoy the unique performance by happy, articulate and successful students: Jinsu Park from Korea and Sergius Tamoh Gamseh from Cameroon at PolyU International Tea Reception.</t>
  </si>
  <si>
    <t>['PolyU', 'international', 'reception', 'student', 'performance', 'singing']</t>
  </si>
  <si>
    <t>The Illuminati</t>
  </si>
  <si>
    <t>Animated video about the craving for blue sky in times of severe air pollution</t>
  </si>
  <si>
    <t>['Illuminati', 'PolyU', 'animation']</t>
  </si>
  <si>
    <t>Explore PolyU, Explore Asia</t>
  </si>
  <si>
    <t>Ahmed from Nigeria, graduated at The Hong Kong Polytechnic University (PolyU), BEng(Hons) in Mechanical Engineering, shares his 3 years student life at PolyU and in Hong Kong.  _x000D_
If you wish to find out about studying options at PolyU, please visit http://www.polyu.edu.hk/study/.</t>
  </si>
  <si>
    <t>['PolyU', 'Asia', 'engineering', 'student', 'sharing']</t>
  </si>
  <si>
    <t>Public Lecture: Nanotechnology for Green Energy (part 7 of 7)</t>
  </si>
  <si>
    <t>In this lecture, Prof. S. Ravi P. Silva will explore the issues pertaining to the Energy Challenge posed by the human-race. How could Nanotechnology provide a glimmer of hope for revolutionising Green Energy solutions? Nanotechnology holds one of the keys to help stop the catastrophic change taking place to our global climate. The most important ingredient to make use of nanotechnologies for green energy solutions is a mind prepared to experiment and implement radical revolutionary ideas with modern know-how.</t>
  </si>
  <si>
    <t>['Nanotechnology', 'Green', 'Energy', 'Lecture', 'Ravi', 'Silva']</t>
  </si>
  <si>
    <t>Public Lecture: Nanotechnology for Green Energy (part 6 of 7)</t>
  </si>
  <si>
    <t>Public Lecture: Nanotechnology for Green Energy (part 4 of 7)</t>
  </si>
  <si>
    <t>['Nanotechnology', 'for', 'Green', 'Energy', 'Lecture', 'Ravi', 'Silva']</t>
  </si>
  <si>
    <t>Public Lecture: Nanotechnology for Green Energy (part 5 of 7)</t>
  </si>
  <si>
    <t>Public Lecture: Nanotechnology for Green Energy (part 1 of 7)</t>
  </si>
  <si>
    <t>['Nanotechnology', 'Green', 'Energy', 'Ravi', 'P.', 'Silva']</t>
  </si>
  <si>
    <t>Public Lecture: Nanotechnology for Green Energy (part 3 of 7)</t>
  </si>
  <si>
    <t>Public Lecture: Nanotechnology for Green Energy (part 2 of 7)</t>
  </si>
  <si>
    <t>['Nanotechnology', 'Green', 'Energy', 'Lecture', 'Ravi', 'P.', 'Silva']</t>
  </si>
  <si>
    <t>We Live Here for 3 Years (part 2 of 2)</t>
  </si>
  <si>
    <t>Excerpts of SD student video works</t>
  </si>
  <si>
    <t>['work', 'design', 'school', 'PolyU', 'students']</t>
  </si>
  <si>
    <t>We Live Here for 3 Years (part 1 of 2)</t>
  </si>
  <si>
    <t>Sharing of PolyU School of Design students &amp; graduates...</t>
  </si>
  <si>
    <t>['sharing', 'design', 'school', 'PolyU', 'students']</t>
  </si>
  <si>
    <t>Goodbye</t>
  </si>
  <si>
    <t>It associates with memories of childhood, the changes of the realistic world, a character's attitude on a conflict between their memorable things and the changes...</t>
  </si>
  <si>
    <t>['multimedia', 'design', 'PolyU', 'value']</t>
  </si>
  <si>
    <t>PolyUTube Series: Window Cleaning Robot</t>
  </si>
  <si>
    <t>Three engineering students of PolyU won the first Runner-up prize at the Student Contest Final organized by the American Society of Mechanical Engineers International (ASME) in Boston on 2 November 2008.  It was also the first time that a team from Hong Kong came to the top in this international competition.</t>
  </si>
  <si>
    <t>['window', 'cleaning', 'robot', 'polyu']</t>
  </si>
  <si>
    <t>Space Exploration</t>
  </si>
  <si>
    <t>Scientists at The Hong Kong Polytechnic University have got a chance to design their state-of-the-art space tools for a mission to Mars onboard a Russian spacecraft.</t>
  </si>
  <si>
    <t>['space', 'PolyU', 'Mars']</t>
  </si>
  <si>
    <t>Forest, tree, wood, man...</t>
  </si>
  <si>
    <t>"Forest, tree, wood, man ..." is a multi-touch installation created from disposed wood &amp; paper products for raising public awareness of forest conservation &amp; global warming. Multiple users can influence tree growth &amp; atmospheric carbon dioxide concentration, which in turn affect the Earth's temperature, by finger touches on the screen.</t>
  </si>
  <si>
    <t>['PolyU', 'forest', 'tree', 'wood', 'man', 'design']</t>
  </si>
  <si>
    <t>Sharing of SHTM Students' Association 2008-09</t>
  </si>
  <si>
    <t>['PolyU', 'STHM', 'students', 'sharing']</t>
  </si>
  <si>
    <t>Sharing of PolyU Outstanding Students (FAST, FENG and FHSS )</t>
  </si>
  <si>
    <t>In this video, outstanding students from Faculty of Engineering (FENG), Faculty of Applied Science and Textiles (FAST) and Faculty of Health and Social Sciences (FHSS) welcomed new students of their faculties to join PolyU, and encouraged them to achieve Academic excellence, All-round development and Active engagement in U-life.</t>
  </si>
  <si>
    <t>['PolyU', 'engineering', 'textiles', 'social', 'science', 'outstanding', 'students']</t>
  </si>
  <si>
    <t>Sharing of PolyU Outstanding Students (FB, FCLU &amp; FCOM)</t>
  </si>
  <si>
    <t>In this video, outstanding students from  Faculty of Business (FB), Faculty of Construction and Land Use (FCLU) and Faculty of Communication (FCOM) welcomed new students of their faculties to join PolyU, and encouraged them to achieve Academic excellence, All-round development and Active engagement in U-life.</t>
  </si>
  <si>
    <t>['PolyU', 'outstanding', 'student', 'business', 'construction', 'communication']</t>
  </si>
  <si>
    <t>PolyU Engineering Summer Camp 2008</t>
  </si>
  <si>
    <t>PolyU Engineering Summer Camp 2008: Tour with secondary students to explore the fun of engineering.</t>
  </si>
  <si>
    <t>['PolyU', 'Engineering', 'summer', 'camp', 'fun', 'education']</t>
  </si>
  <si>
    <t>PolyU Alumni Homecoming Carnival 2008</t>
  </si>
  <si>
    <t>PolyU Alumni Homecoming Carnival was successfully held on 9 March 2008 (Sunday). The event attracted over 5,000 alumni, staff, students and their family members back to campus to have a half-day fun fair.</t>
  </si>
  <si>
    <t>['PolyU', 'alumni', 'family', 'fun', 'carnival', 'homecoming']</t>
  </si>
  <si>
    <t>Flags of Harmony and Unity - PolyU</t>
  </si>
  <si>
    <t>In celebrating PolyU's 70th Anniversary, 21,726 members of the University community, its supporters and scouts set a Guinness world record by forming the world's largest national flag at the Siu Sai Wan Sports Ground on 23 September.</t>
  </si>
  <si>
    <t>['PolyU', 'anniversary', 'flag', 'harmony', 'unity', 'guinness', 'record', 'largest']</t>
  </si>
  <si>
    <t>[ #HKUST Named Professorships | Wu Chien-Shiung Professor of Science Prof. Jiannong WANG ]
For three decades, research conducted by Prof. Jiannong WANG, Head and Chair Professor of #HKUST's Department of Physics, had shed light on the fundamental properties of materials and how they make modern life possible.
Prof. Wang has achieved international recognition for her state-of-the-art research on the physical properties of materials. She perfectly exemplifies the mission of HKUST’s Department of Physics: to nurture “a sense of wonder about the natural world” through innovation and knowledge advancement.
Her research interests cover Condensed Matter Physics, Material Physics, Semiconductor Quantum Structures, Semiconductor Spintronics, and Nanostructured Materials.
Wu Chien-Shiung Professorship was established by an anonymous donor and is named after the Chinese physicist Prof. Chien-Shiung Wu, who was awarded the first Wolf Prize in Physics in 1978 for a revolutionary discovery in the field of atomic and nuclear physics. 
Named Professorships Program - Partnership for Excellence 
To know more, please visit：https://np.hkust.edu.hk/en/top_minds_details.php?id=69 
#HKUSTfaculty #HKUSTresearch #HKUSTnamedprofessors #NamedProfessorship #Research #Materials #Innovation</t>
  </si>
  <si>
    <t>[ #HKUST Named Professorships | Dr William M W Mong Professor of Nanoscience Prof. Xi DAI ]
The exceptional properties of #Quantum materials may represent the future of computers and consumer electronics. A leading expert in the theory of quantum materials, #HKUST’s Prof. Xi DAI is spearheading research efforts at the frontiers of material sciences.
Prof. Dai’s research on topological materials is instrumental in bridging the gap between theoretical physics and experimental sciences. He and his team take abstract theoretical ideas about topological matter and realize them in real-world materials—ultimately helping scientists to create a new “periodic table” of materials
Prof. Dai’s research interests cover Strongly Correlated Materials, Computational Materials Science, Quantum Materials, Topological Matters, and Unconventional Superconductors.
Dr. William M W Mong Professorship in Nanoscience is contributed by Shun Hing Education and Charity Fund. "We believe that the transformation of society relies on technological advancement. We hope our donation to The Hong Kong University of Science and Technology will not only enhance its search for excellence in nanoscience and nanotechnology, but also expand Hong Kong's horizons in scientific discovery beyond the local community" said by Mr. David Mong.
Named Professorships Program - Partnership for Excellence 
To know more, please visit：https://np.hkust.edu.hk/en/top_minds_details.php?id=74 
#HKUSTfaculty #HKUSTresearch #HKUSTnamedprofessors #NamedProfessorship #Research #QuantumMaterials #MaterialScience</t>
  </si>
  <si>
    <t>[ #HKUST Named Professorships | IAS Paul C W Chu Professor Prof. Kam-Biu LUK ]
“#Neutrinos are like magicians. They can change their identity right in front of us.” says Prof. Kam-Biu LUK, Chair Professor at #HKUST’s Department of Physics and HKUST Jockey Club Institute for Advanced Study (IAS).
In 2012, Prof. Luk and his international colleagues announced their discovery of a new type of neutrino oscillation, observed deep underground in the Daya Bay Reactor Neutrino Experiment. As co-leader of this ground-breaking experiment, Prof. Luk received multiple prestigious awards. He joined HKUST and serves as Chair Professor of Physics in 2021.
Prof. Luk’s research interests cover #ParticlePhysics, #Cosmology, Symmetries of Nature, Instrumentation, and Computational techniques.
IAS Paul C W Chu Professorship is named after the University’s second President, Prof. Paul Ching-Wu Chu, who also served as the Founding Director of the HKUST Jockey Club Institute for Advanced Study (IAS).
Named Professorships Program - Partnership for Excellence
To know more, please visit： https://np.hkust.edu.hk/en/top_minds_details.php?id=72
#HKUSTfaculty #HKUSTresearch #HKUSTnamedprofessors #NamedProfessorship #Research #Physics</t>
  </si>
  <si>
    <t>Celebration of the 73rd Anniversary of the Founding of the People’s Republic of China</t>
  </si>
  <si>
    <t/>
  </si>
  <si>
    <t>阿尔兹海默症早期诊断及基因治疗研究</t>
  </si>
  <si>
    <t>Early Diagnosis and Gene Therapy for Alzheimer’s Disease</t>
  </si>
  <si>
    <t>沉着破浪的无人船领航人</t>
  </si>
  <si>
    <t>全球首款3D人造眼</t>
  </si>
  <si>
    <t>How’s everyone settling into the new semester? Has it been a fun-filled two weeks? Let’s check out what plans these #HKUSTers have for their exciting year ahead.
#HKUSTstudent #HKUSTpeople #HKUSTlife #University #UniversityLife #Campus #CampusLife #Freshmen #StreetInterview</t>
  </si>
  <si>
    <t>[ Celebrating the Beginning of HKUST2.0 with HKUST(GZ)'s Opening Today ]
#HKUST is ecstatic to celebrate the opening of our new campus in Nansha, Guangzhou today! Under the unique “Unified HKUST, Complementary Campuses” framework, HKUST and HKUST(GZ) will jointly cultivate more future-oriented innovative talents and pioneer a new direction in higher education. Central Government, the Mainland and Hong Kong officials, Presidents and senior management of top universities around the world, business leaders, long-term partners and founding members of HKUST extended their greetings to HKUST(GZ) either in person or via the #metaverse at today's opening ceremony. Check out some highlights of this momentous day in the history of #HKUST: https://bit.ly/3KDccT7
Watch the ceremony held simultaneously at the state-of-the-art Guangzhou campus this morning: https://lnkd.in/gnBpiU6J
#HKUSTevent #Education #CrossCampus #HigherEducation #University #GBA #GreaterBayArea #Interdisciplinary #CrossDisciplinary</t>
  </si>
  <si>
    <t>The APRU Metagame Conference 2022 incorporates the full ecosystem of Esports. This metaverse experience includes high-level policy discussions, expert insights, next-generation learning, student competitions, and gaming.
The conference will examine the ways that an international network of esports leaders can further its scope within universities including edutainment, collegiate esports, and gamification of social well-being.
The conference is also the spotlight event of Cyberport Hong Kong’s Digital Entertainment Leadership Forum (DELF) and is hosted in partnership with The Hong Kong University of Science and Technology (HKUST).</t>
  </si>
  <si>
    <t>JUPAS選科 | 學生Katie分享 | 科大工學院</t>
  </si>
  <si>
    <t>【有得選一定選神科？】🛣🏫站在JUPAS選科的十字路口，現科大工學院學生Katie在當年交出了一份不一樣的答案。👷🏻‍♀️✨
📍瀏覽工學院本科入學指南：bit.ly/3PvIeC4
[Choose the best or what’s best for you?] 🛣🏫When deciding which university program to enter during JUPAS admission two years ago, current HKUST Engineering student Katie had chosen to embark on a different journey.👷🏻‍♀️✨
📍Learn more about SENG’s undergraduate admission: bit.ly/3PvIeC4
Source: HKUST Engineering 
#科大 #科大工程 #大學聯招 #本科課程 #文憑試 #科大見 #選科 #hkust #hkustengineering #JUPAS #JS5200 #JS5211 #JS5282 #undergraduate #admission #dse2022 #joinus #universityprogram</t>
  </si>
  <si>
    <t>[🥂Summer Mixer 2022✨] #ThrowBackTo some of our favorite moments from the reunion last month, we really can’t get enough of those happy faces!🥳🙌🏻
📸Can you spot yourself in the video? 
Source: HKUST Engineering 
#hkust #hkustengineering #hkustfaculty #hkustalumni #hkuststudent #hkustnetwork #hkustevent #SENGSummerMixer #HKSTP #ACCESS #HKCRC #networking #artificialintelligence #robotics #tbt</t>
  </si>
  <si>
    <t>科大工學院 十年活動回顧 | HKUST SENG 10 Years In Review</t>
  </si>
  <si>
    <t>Moments pass but memories remain. In the past ten years, we had organized events of all scales, connected with countless people affiliated with the Engineering School, and created plenty of precious memories together.
與歲月對望，唯有回憶中的你我恆久不變。十年間，我們透過舉辦形形色色的活動，凝聚了無數張代表工學院的面孔，創造了屬於工學院的獨特回憶。
Source: HKUST Engineering 
#hkust #hkustengineering #hkustfaculty #hkustalumni #hkuststudent #hkustnetwork #hkustevent #networking #eventrecap #reunion #video #科大 #科大工程 #科大教授 #科大學生 #科大校友 #科大舊生 #科大網絡 #科大活動 #活動回顧 #短片</t>
  </si>
  <si>
    <t>𝗗𝗲𝗳𝗹𝗲𝗰𝘁𝗶𝗻𝗴 𝗗𝗶𝗳𝗳𝗶𝗰𝘂𝗹𝘁 𝗤𝘂𝗲𝘀𝘁𝗶𝗼𝗻𝘀 𝗶𝗻 𝗜𝗻𝘁𝗲𝗿𝘃𝗶𝗲𝘄𝘀</t>
  </si>
  <si>
    <t>“Electronic Nose” by HKUST</t>
  </si>
  <si>
    <t>Conversation with the National Winter Olympic Team 北京冬奧精神雲分享</t>
  </si>
  <si>
    <t>HKUST was excited to hold a live sharing session on 19 July 2022 with a team of National and Hong Kong Olympians, staff, and volunteers who have participated in the Olympic Winter Games Beijing 2022. Sharing at the “Conversation with National Team Winter Olympians” were Olympic gold medalists snowboarder SU Yiming; wheelchair curler YAB Zhuo; figure skater SUI Wenjing; as well as Sidney CHU, Beijing Winter Olympic Hong Kong, China team’s flag-bearer and short-track speedskater; WU Xiaonan, Director of the Operations Team of the National Speed Skating Oval; ZHAO Hongbo, Chief Coach of China’s National Figure Skating Team and LI Jiaxin, Beijing Winter Olympics volunteer.
The interactive session saw over 400 members from the HKUST community be inspired by the personal stories and insights shared by the speakers, who encouraged everyone to adopt the spirit of the Beijing Winter Olympics and pursue their goals with passion, resilience, and dedication.
Officiating at the event were Mr. Kevin YEUNG Yun-Hung, Secretary for Culture, Sports and Tourism; Mr. ZHANG Guoyi, Deputy Director of Department of Publicity, Culture and Sports Affairs of the LOCPG; Mr. Andrew LIAO Cheung-Sing, HKUST Council Chairman; Mr. Philip CHEN, Chairman of The Hong Kong Jockey Club; Mr. Kenneth FOK Kai-Kong, Vice President of the Sports Federation &amp; Olympic Committee of Hong Kong and Prof. Wei SHYY, HKUST President.
Supported by The Hong Kong Jockey Club, the sharing session was jointly hosted by the Beijing Organizing Committee for the 2022 Olympic and Paralympic Winter Games, General Administration of Sport of China, China Disabled Persons Federation, the Liaison Office of the Central People’s Government in the HKSAR (LOCPG) and the HKSAR Government. Learn more: https://bit.ly/3yLIbLm</t>
  </si>
  <si>
    <t>Such great weather this weekend to go out and reconnect with nature! Basking in the sun, enjoying the fresh air – just like these carefree birdies spotted in #HKUST’s beautiful campus.
Video by courtesy of Prof. Wei SHYY
Follow us on Instagram too: @hkust
#HKUSTbird #HKUSTscenery #HKUSTnature #Bird #Nature
--------------------------------
Are you a fan of nature photography? You are welcome to share images or videos of nature on campus by emailing brand@ust.hk or by using the hashtag # HKUSTgeo. Let us help share your shots with more people.</t>
  </si>
  <si>
    <t>Who’s enjoying yummy fish on the rooftop at #HKUST? The two powerful black kites having a delicious meal on our campus have dark plumage, paler with a pale panel on upper wings and dark mask around the eyes, and slightly forked tails. 
Don’t forget to stay tuned for more photo series from HKUST GEO!
HKUST Sustainability #HKUSTgeo #bird #sustainableandsmartcampus #ssc #blackkite
--------------------------------
You are encouraged to send in images or videos of nature on HKUST campus to brand@ust.hk. Credits will be given to the photographer once the submissions are picked for the HKUST GEO series.</t>
  </si>
  <si>
    <t>You might have witnessed the colorful and exotic bird species 'Hoopoe' at #HKUST!  It's all part of a project called “You will see a Hoopoe” under HKUST's “Sustainable Smart Campus as a Living Lab”. This time, we have met a distinctive “crown” of feathers found across Africa, Asia, Europe, and on our campus! Stay tuned for more stunning bird photos!
HKUST Sustainability #HKUSTgeo #bird #sustainableandsmartcampus #ssc #hoopoe
--------------------------------
You are encouraged to send in images or videos of nature on HKUST campus to brand@ust.hk.</t>
  </si>
  <si>
    <t>How would you name this cloud on #HKUST campus? Creativity and imagination are unlimited as sky. Don’t miss out the ever-changing cloud on our campus. Be inspired by our natural beauty. 
#HKUSTscenery #cloud #cloudnaming</t>
  </si>
  <si>
    <t>汪揚教授輕鬆訪談：與第一代中國基金經理劉央笑看人生</t>
  </si>
  <si>
    <t>Put in your best effort and believe in yourself. You can do it! HKUST 為今年DSE 考生打氣加油！相信自己，全力以赴，我哋支持你！</t>
  </si>
  <si>
    <t>🌟Download PRAISE-HK-EXP App:
Android: https://play.google.com/store/apps/details?id=hk.ust.praisehkexp&amp;hl=zh_HK&amp;gl=US
iOS:  https://apps.apple.com/hk/app/praise-hk-exp/id1544053120
🌟PRAISE-HK stands for "Personalised Real-Time Air Quality Informatics System for Exposure – Hong Kong", while PRAISE-HK-EXP App is an updated and advanced version to calculate users' personal air pollution exposure level (-EXP). This innovation is developed by HKUST Institute for the Environment (HKUST-IENV). To know more, please visit http://praise.ust.hk (about the App) and http://ienv.ust.hk (about HKUST-IENV).
Source: HKUST - Institute for the Environment</t>
  </si>
  <si>
    <t>[ Student Social Ambassador video series ]
How would you spend your time over Finals Season?  Check out this group of #HKUST students who find some interesting ways to do it…
Student Social Ambassadors:
- LEUNG Mei Yee Katrina (SBM)
- YEUNG Wing Ching Vinnci (SBM)
- WONG Pet Yang (SBM)
- YIP Yan Chak Alvin James (SBM)
#HKUSTstudent #HKUSTSSA #StudentAmbassadors #Campus #Exam</t>
  </si>
  <si>
    <t>Say hello to the latest landmark at #HKUST – the Shaw Auditorium. Equipped with innovative features, this brand-new hall is set to turn HKUST into an arts and culture hub, furthering our mission of providing holistic education to our students. 
Watch the video to learn about all the amazing features of the new venue.
Read more: https://bit.ly/3nkqv57
#HKUST30 #HKUSTevent #HKUSTlandmark #HKUSTcelebration #theShaw #ShawAuditorium #Art #Culture #Sustainability #GreenArchitecture</t>
  </si>
  <si>
    <t>[ #HKUST30 : Together We Empower ]
Founded with a vision to be a leading university with significant international impact and strong local commitment, The Hong Kong University of Science and Technology #HKUST is where possibilities begin. Since 1991, HKUST has always been striving to create value through innovation. We work together with passion to advance the future, fostering a can-do mindset that uncovers novel perspectives, nurturing creative global talent, transferring knowledge into applications, and forging new pathways to improve people’s lives and a sustainable world.
2021 is the 30th anniversary of HKUST. Please join our celebration!  
Stay tuned on our social media and learn more from the 30th-anniversary website which shares our stories, heritage, and amazing future: https://30a.hkust.edu.hk  
#HKUSTstudent #HKUSTalumni #HKUSTfaculty #HKUSTanniversary #HKUSTgreeting #30anniversary #happyanniversary #university #hongkong</t>
  </si>
  <si>
    <t>HKDSE Chinese Language paper has been called ‘killer’ among high school students. Today, here are 2 HKUST students trying to complete 2019 Chinese Language paper 1 (reading). Let’s see if their can revenge successfully!</t>
  </si>
  <si>
    <t>HKUST Researchers Develop the World’s Strongest Polymer Nanomembrane</t>
  </si>
  <si>
    <t>香港科技大學對抗新型冠狀病毒的措施</t>
  </si>
  <si>
    <t>HKUST’s EFFORTS TO FIGHT AGAINST COVID-19</t>
  </si>
  <si>
    <t>香港科技大学对抗新冠病毒的各种措施</t>
  </si>
  <si>
    <t>香港科技大学 进步成就无尽可能</t>
  </si>
  <si>
    <t>香港科技大學 進步成就無盡可能</t>
  </si>
  <si>
    <t>Professor James Lee
Chair Professor, Division of Humanities and Division of Social Science
Few people understand China as well as Professor James Lee does, and fewer still conduct such insightful analysis of its social history. Focusing on important questions such as “Who gets what?” and “Who are we?”, Professor Lee paints a sweeping picture of Chinese social science and learning that breaks from traditional thought and provokes entirely new ways of discovering and understanding history.
https://np.ust.hk/en/top_minds_details.php?id=51</t>
  </si>
  <si>
    <t>Professor Kai Lung Hui
Associate Dean for Research / Deputy Head and Chair Professor of Information System, Business Statistics and Operations Management / Director, Risk Management and Business Intelligence Program / Co-Director, Dual Degree Program in Technology &amp; Management / Co-Director, MSc Program in Financial Technology
Digital transformation is in full swing. A wealth of information is available at the touch of a button, and virtual communities allow interaction around the globe. Yet with these opportunities come mounting challenges, from the global economic losses caused by cybercrime to threats to users’ privacy on Facebook or Twitter. Leading the crusade to tackle problems in the virtual world for real-world impact is Professor Kai Lung Hui, whose pioneering research on IT, policy and society seeks to maximize social welfare while reaping the benefits of technological advancement.
https://np.ust.hk/en/top_minds_details.php?id=58</t>
  </si>
  <si>
    <t>Professor Abhiroop Mukherjee
Associate Professor, Department of Finance
Professor Abhiroop Mukherjee's vision of research and education has unwaveringly emphasized the role of finance in the betterment of society—or, rather, of societies. Having studied and worked in India, the U.S., and Hong Kong, Professor Mukherjee has been fortunate enough to learn first-hand how different societies work, and has applied this understanding to the study of finance-related issues.
https://np.ust.hk/en/top_minds_details.php?id=65</t>
  </si>
  <si>
    <t>Professor Sam Garg
Associate Professor, Department of Management
Entrepreneurial ventures are among society's most prized assets, driving economic development, job creation, and even poverty alleviation. A pioneer and world leader in research on entrepreneurship and strategy at the highest organizational levels, Professor Sam Garg offers a fresh vision of the CEO-board relationship and how boards, executives and CEOs work together to help young startups grow and then effectively evolve into publicly listed firms.  Professor Garg harnesses rich, unique and often hand-collected data on new ventures, and his work points to exciting new opportunities for research and practice at the intersection of entrepreneurship and corporate governance—all the way from starting up to scaling up and then to listing on stock exchanges.
https://np.ust.hk/en/top_minds_details.php?id=63</t>
  </si>
  <si>
    <t>Professor Zexiang Li
Professor, Department of Electronic and Computer Engineering
For more than two decades, Professor Li Zexiang's mission has been to bridge the gap between academia and industry to drive forward social and economic development. In today’s rapidly technologizing society, his pioneering robotics and manufacturing solutions are helping to foster an age of smart automation.
https://np.ust.hk/en/top_minds_details.php?id=59</t>
  </si>
  <si>
    <t>Professor Khaled Ben Letaief
Chair Professor, Department of Electronic and Computer Engineering
Professor Khaled Ben Letaief is a man born for the Communication Age. Educated at Purdue University (where he obtained all his university degrees from BS, MS to Ph.D.), he went on to receive his alma mater’s Outstanding Electrical and Computer Engineer Award. There is no Nobel Prize for Engineering. But within his field, an IEEE Fellow, of which he is one, is the highest award bestowed upon members who had demonstrated outstanding achievements in their profession. In fact, he has a long list of awards from IEEE, having won the IEEE Marconi Prize Award in Wireless Communication, the IEEE Harold Sobol Award, the IEEE ComSoc Publications etc. plus over 15 IEEE Best Paper Awards. In terms of patents, he has two in China, 11 in the US, along with 6 technical contributions to IEEE standards. He has over 600 journal and conference papers and key-note talks to his credit.
https://np.ust.hk/en/top_minds_details.php?id=52</t>
  </si>
  <si>
    <t>Perseverance is what makes the impossible possible. Nobody can overcome something formidable without hard work and grit - and it’s especially true for the HKUST Rowing Team. “After years of hard work, we finally won the inter-university rowing competition for the first time,” says team member Warren. “We practice six days a week. It is tough but satisfying.”
“Our seniors have lost the competition many times before. But they kept on improving and passed on their experience to us. Our winning is a crystallization of years of failure, perspiration and perseverance,” say Peter and Joyce, the current male and female team leaders.
HKUST believes that an unyielding spirit is the key to success in any environment - whether you are in positive or adverse situations. Through sports and our holistic education, students are instilled with a tough mind and resilience to overcome challenges in studies and work. We provide world-class facilities for training and practice, and hope that our students can enjoy both sports and study.</t>
  </si>
  <si>
    <t>香港科技大學 堅持成就無盡可能</t>
  </si>
  <si>
    <t>香港科技大学 坚持成就无尽可能</t>
  </si>
  <si>
    <t>The Hong Kong University of Science and Technology (HKUST) (www.hkust.edu.hk) is a world-class research university that focuses on science, technology, business and management as well as humanities and social science. We offer an international campus, and a holistic and interdisciplinary pedagogy to nurture well-rounded graduates with a global vision, a strong entrepreneurial spirit and innovative thinking. Here is where possibilities begin. Here, you can explore, be inspired, and realize your full potential. Making your mark by creating a world of difference. In pursuit of your dreams.
As a research university, innovation lies at the heart of who we are, drawing on HKUST’s inner drive and passion to advance the future. This continuous momentum is born of our core belief that knowledge empowers and research delivers, leading to novel discoveries and productive social change.
At HKUST, we always strive to scale the challenging heights of the unknown. We foster a can-do mindset that uncovers novel perspectives, transfers knowledge into applications, and forges new pathways to improve people’s lives.
Working together in an environment embracing diversity in all its forms, our students, faculty, alumni, and staff generate a dynamic community of global leaders, inventors, original thinkers, and contributing citizens.
Here, we empower infinite possibilities and transform vision into reality.</t>
  </si>
  <si>
    <t>香港科技大學 突破成就無盡可能</t>
  </si>
  <si>
    <t>香港科技大学 突破成就无尽可能</t>
  </si>
  <si>
    <t>香港科技大學 視野成就無盡可能</t>
  </si>
  <si>
    <t>“I created the smart helmet LUMOS out of my vision to make every cyclist safe,” says Jeff CHEN, Co-founder and CTO of LUMOS. He invented the smart cycling helmet and reached their kickstarter funding goal in just one day. The smart helmet provides extra protection for cyclists on the road with its signaling lights and hand gesture detection function. The product was even named one of the Best Inventions of 2018 by TIME magazine.
Not every single innovator gains immediate success in their first entrepreneurial effort. But at HKUST, we provide an environment for dreamers to keep on pushing the boundaries. We offer not only financial help but also a cradle for vision.
We incubate entrepreneurial efforts with the following resources:
- Entrepreneurship Center and co-working space the BASE
- One Million Dollar Entrepreneurship Competition
- Entrepreneurial academic programs such as MPhil in Technology Leadership and Entrepreneurship (TLE)
- An extensive alumni network to share business and innovation experience</t>
  </si>
  <si>
    <t>香港科技大学 视野成就无尽可能</t>
  </si>
  <si>
    <t>“We are facing many global health issues today. Student Innovation for Global Health Technology (SIGHT) has been established at HKUST for students and alumni who aspire to tackle these problems with their knowledge and creative solutions,” says Prof. Ying CHAU, Founder of SIGHT. The SIGHT MedEasy Team has developed a portable electronic medical record system for remote villages where access to computers and the Internet is restricted. Their innovation has transformed the healthcare services in Cambodia.
It is HKUST’s mission to nurture young global citizens who can tackle the world’s most formidable challenges ahead, such as air pollution, humanitarian crises, etc. We also partner with international organizations like the International Committee of the Red Cross (ICRC) to assist war-plagued countries. Through these programs, our students are inculcated with a global mind-set. We hope our positive impact can be rippled out to the local community, Asia and beyond.</t>
  </si>
  <si>
    <t>香港科技大学 跨界成就无尽可能</t>
  </si>
  <si>
    <t>香港科技大學 跨界成就無盡可能</t>
  </si>
  <si>
    <t>香港科技大学 探索成就无尽可能</t>
  </si>
  <si>
    <t>“Throughout the course of human civilization, progress has always been made by people asking fundamental questions,” says Prof. Nancy IP, Vice-President for Research &amp; Development at HKUST. Prof. Ip has received worldwide recognition for her seminal discoveries in neural function and neurodegenerative diseases. Her study on the synaptic mechanism has led to major breakthroughs in understanding Alzheimer’s disease.
HKUST supports academics, researchers and students to take on new research undertakings, and translate knowledge into practical applications. As the first research university in Hong Kong, we firmly believe that research and the subsequent scientific breakthroughs are the major ways to contribute to the world at large.
HKUST boasts world-class research infrastructure supporting innovative research in science, engineering, business and management, and humanities and social science. Our research facilities and programs include:
-  2 State Key Labs and 2 National Engineering Research Centers
-  HKUST Jockey Club Institute for Advanced Study (IAS)
-  Undergraduate Research Opportunities Program (UROP)
-  Numerous world-leading research platforms</t>
  </si>
  <si>
    <t>香港科技大學 探索成就無盡可能</t>
  </si>
  <si>
    <t>香港科技大学 成就无尽可能</t>
  </si>
  <si>
    <t>The Hong Kong University of Science and Technology (HKUST) (www.ust.hk) is a world-class research university that focuses on science, technology, business and management as well as humanities and social science. We offer an international campus, and a holistic and interdisciplinary pedagogy to nurture well-rounded graduates with a global vision, a strong entrepreneurial spirit and innovative thinking. Here is where possibilities begin. Here, you can explore, be inspired, and realize your full potential. Making your mark by creating a world of difference. In pursuit of your dreams.
As a research university, innovation lies at the heart of who we are, drawing on HKUST’s inner drive and passion to advance the future. This continuous momentum is born of our core belief that knowledge empowers and research delivers, leading to novel discoveries and productive social change.
At HKUST, we always strive to scale the challenging heights of the unknown. We foster a can-do mindset that uncovers novel perspectives, transfers knowledge into applications, and forges new pathways to improve people’s lives.
Working together in an environment embracing diversity in all its forms, our students, faculty, alumni, and staff generate a dynamic community of global leaders, inventors, original thinkers, and contributing citizens.
Here, we empower infinite possibilities and transform vision into reality.</t>
  </si>
  <si>
    <t>香港科技大學 成就無盡可能</t>
  </si>
  <si>
    <t>Epitopes  抗原表位</t>
  </si>
  <si>
    <t>HKUST Business School Magazine on “Entrepreneurship &amp; Innovation”</t>
  </si>
  <si>
    <t>International Women’s Day at HKUST 2019</t>
  </si>
  <si>
    <t>Thanks for your stellar support to International Women’s Day! Over 300 photos of #BalanceforBetter have been collected. Let's forge a more equal world.</t>
  </si>
  <si>
    <t>UNIfy: BYO (八大BYO)</t>
  </si>
  <si>
    <t>Let's reduce waste together! UNIfy: BYO (八大BYO) is the exciting joint university campaign promoting reusable bottles, cups, containers, cutlery, bags and more! Eight HKUST catering outlets are offering a $2 discount for use of personal takeaway boxes from 11-17 March. Join us now!</t>
  </si>
  <si>
    <t>What did you feel when you first arrive at HKUST? What does this place mean to you? To SHRL, it is our vision to make this campus a harmonious community, where you can explore yourself, discover your own interest and further escalate to be a better self. 😇✨
Don't hesitate to explore more by joining activities organized by your hall and our central program. We are happy to walk with you through the whole university journey :) Wish you all the best to your stay at HKUST!</t>
  </si>
  <si>
    <t>It’s not only about “It’s ME”. It’s about all of us. Apart from breaking stereotypes and living their life, HKUST would like to mark IWD by expressing gratitude to people who stick to their principles. Let’s see what “It’s ME” means to Kathryn, the star of our thematic video.
Click to watch the thematic video again. http://bit.ly/2oUeCEB
「It’s ME」的背後，有你，也有他/她。除了突破界限、活出自己的那個「我」，科大希望藉國際婦女日，向支持「我」的每一位致謝。且聽聽參演主題影片的同學Kathryn，分享「It’s ME」對她的意義。
「It’s ME」主題影片: http://bit.ly/2oUeCEB</t>
  </si>
  <si>
    <t>The topic of the forum is “Challenges vs Chances for Women in Innovation”. The forum is open to our faculty, students, staff and secondary schools.
Keynote Speaker
Christina Zhang
Treasurer, Director of Corporate Strategy, DJI
Panel Discussion
Moderated by
Prof Kellee Tsai
Division Head and Chair Professor of Social Science, HKUST
Panel members
Christina Zhang
Treasurer, Director of Corporate Strategy, DJI
Angie Lau
Chief Executive Officer, Clover Group International Limited
Theodore Ma
Co-founder, CoCoon
Dr Sabrina Lin
Vice-President for Institutional Advancement, HKUST
Zarina Abdussalamova
Year 3, BEng Logistics Management &amp; Engineering, HKUST
Talia Chan
Year 2, BEng Aerospace Engineering, HKUST</t>
  </si>
  <si>
    <t>“Boys don’t cry” “Girls should be gentle”
Instead of limiting yourself by gender stereotyping, why not define “ME” by who you really are? Gender is not an issue and should not hinder personal progression. Who said girls can’t be stars in STEM? Break the gender stereotypes and go your own way!
「你是男生，不可以哭！」「你是女生，不可以粗魯！」
性別是性別，你是你。在每一個夢想前，性別從不應是障礙，正如誰說女生不適合讀STEM？打破性別界限，走出自己的路！
 #hkust #itsME #IWDatHKUST</t>
  </si>
  <si>
    <t>Professor Jaideep Sengupta
Chair Professor, Department of Marketing
Prof Jaideep Sengupta is endlessly fascinated by the workings of the human mind – and it is this fascination that forms the cornerstone of his research. In investigating consumer reactions to marketing information, Prof Sengupta addresses fundamental questions about the way we think and behave, what influences us and why, and the societal implications of the customer-marketer interaction. And while marketing is his chosen domain, his findings have far-reaching, even universal implications well beyond that domain.
http://np.ust.hk/en/top_minds_details.php?id=3</t>
  </si>
  <si>
    <t>Professor Tom Cheung
Assistant Professor, Division of Life Science
As the world’s population grays, scientist Prof Tom Cheung is one of the leading young academic explorers to take up the exacting challenge of providing more knowledge about why we age and how to live a healthier and longer life.
http://np.ust.hk/en/top_minds_details.php?id=44</t>
  </si>
  <si>
    <t>Professor James Y L Thong
Chair Professor, Department of Information Systems, Business Statistics and Operations Management
Michael Jebsen Professorship in Business
Professor James Y L Thong
Chair Professor, Department of Information Systems, Business Statistics and Operations Management
How can companies encourage successful adoption of mobile internet, mobile apps, e-services, e-commerce, and other new technologies? How can organizations implement IT systems successfully – and why do they fail? What effect do website designs such as animated advertisements and how products are displayed have on human behavior?
http://np.ust.hk/en/top_minds_details.php?id=41</t>
  </si>
  <si>
    <t>Professor Andrew Cohen
Director, HKUST Jockey Club Institute for Advanced Study/ Chair Professor, Department of Physics
When you stop attending junior high school at the age of 13 to learn from self-initiated tours of museums, start an honors program at a university in a different city from your parents soon after, go to Stanford University a year and half later, and end up with bachelor degrees in music and physics (both with distinction), it all seems to shout “different world view”!</t>
  </si>
  <si>
    <t>Professor Rehav Rubin
Professor, Department of Geography, Hebrew University of Jerusalem
You never really get a vacation when you are a historical geographer in a new location. What is the relationship between the culture and the landscape? How over time has geographic change shaped human settlement there? “I’m always working even on holiday,” Prof Rehav Rubin said.
http://np.ust.hk/en/top_minds_details.php?id=38</t>
  </si>
  <si>
    <t>Professor Xuhui Huang
Associate Professor, Department of Chemistry, Department of Chemical and Biological Engineering
It matters a great deal to Prof Xuhui Huang that other people can see - and understand – what drives his passion for computational chemistry. His focus is the structural dynamics of proteins and the application and evolution of chemical theories to develop algorithms and computer simulation techniques to make “movies” of how these complex workhorses of the cells in our bodies go about their business; how they do this continuously, and for the most part, accurately; and how errors occur.
http://np.ust.hk/en/top_minds_details.php?id=42</t>
  </si>
  <si>
    <t>Preview of HKUST 25th Anniversary Book “Prometheus In The Sky"</t>
  </si>
  <si>
    <t>Our 25th Anniversary Book “Prometheus In The Sky” is launched with 25 selected stories of distinguished research, education and other accomplishments from all four schools in HKUST.
The mobile version is available for free download:
App Store: http://apple.co/2l1qdSa
Google Play: http://bit.ly/2leD1A5
To own a personal copy, please visit: http://bit.ly/2m7rEyb</t>
  </si>
  <si>
    <t>Mr President, I got a question…</t>
  </si>
  <si>
    <t>【校長，我想問…】科大25歲生日快樂！你又認識科大有幾多？唔知就問校長啦！
【Mr President, I got a question…】It‘s HKUST’s 25th Birthday! Wanna know more about us? Let’s ask our President!
#HKUST25</t>
  </si>
  <si>
    <t>Mr Jay Nibbe
Global Vice Chair – Tax
EY
As Global Vice Chair – Tax, Jay Nibbe is responsible for developing strategy for EY’s Tax network and leading more than 35,000 practitioners worldwide.  Jay, based in London, chairs the Tax Executive Committee, oversees Tax business performance, identifies acquisition targets, and nurtures the growth of Tax specialty practices and the Law group.
Jay, who joined EY in 1985, was previously the EMEIA Markets Leader, Americas Vice Chair – Tax and Americas Tax Managing Partner.  From 1995 to 1999, he was based in Moscow, leading the Commonwealth of Independent States Tax practice and developing services in Russia, Kazakhstan, Azerbaijan and Ukraine.</t>
  </si>
  <si>
    <t>“Good Morning, Students!”
1 Sep 2016 | 9:30am | Academic Concourse
Start the day with greeting from the President and an energy bar! Prof Tony F Chan, the President will meet and greet you at the Academic Concourse in the morning of your First Day @HKUST. Do stop by and chat with the President, take photos and collect energy bar when you are making your way to classes. What’s more, you can also join the Lucky Draw with a chance to win HKUST 25th Anniversary souvenirs!
My First Dinner @HKUST
1 Sep 2016 | 5:30pm | LG7 Lawn
My First Dinner @HKUST, an orientation and welcome event for new students, will be held in the lawn on LG7. The President together with representatives from the Students' Union, International Students Association, Mainland Students and Scholars Society and other student societies will be there to greet you in person. Performances led by talented student groups will be staged for your enjoyment.
Find more here: myfirstday.ust.hk</t>
  </si>
  <si>
    <t>HKUST’s Underwater Robot Competition provides the youngsters with a stimulating experience, but it also inspired the HKUST student mentors to expand working with disadvantaged children. 
https://hkust25projects.ust.hk/en/projects/detail/underwater_robot_for_all</t>
  </si>
  <si>
    <t>“Pulse of HKUST” aims to build a data-driven online platform to understand the campus environment with real-time information and communication. 
https://hkust25projects.ust.hk/en/projects/detail/pulse_of_hkust</t>
  </si>
  <si>
    <t>Have a conversation with this “talking head” robot and it will show you empathy, understand your facial expressions and your language, and even recognize your emotions. 
https://hkust25projects.ust.hk/en/projects/detail/empathetic_robots</t>
  </si>
  <si>
    <t>The new HKUST Centre for Creative Arts Education will drive “learning through creative arts” with quality artistic events and academic programs.
https://hkust25projects.ust.hk/en/projects/detail/learning_through_creative_arts</t>
  </si>
  <si>
    <t>Pleasant surprises can brighten up your day – so let’s fill the campus with surprises and positive energy that make students and staff happy!  
https://hkust25projects.ust.hk/en/projects/detail/happiness_project</t>
  </si>
  <si>
    <t>HKUST 25 projects - ‘Dis Play’ Display System</t>
  </si>
  <si>
    <t>“Dis Play” allows a video or website to be displayed across more than one phone or tablet in a variety of configurations. This is a new way of communicating that is creative, collaborative, environmentally friendly and cost effective. 
https://hkust25projects.ust.hk/en/projects/detail/dis-play_display_system</t>
  </si>
  <si>
    <t>Let’s bring the entire HKUST community together by staging a collaborative art project that will help students work together and think creatively while generating buzz about the University.
https://hkust25projects.ust.hk/en/projects/detail/artistic_innovations</t>
  </si>
  <si>
    <t>HKUST 25 projects - Early Detection of Alzheimer’s App</t>
  </si>
  <si>
    <t>Alzheimer’s disease affects 46.8 million people.  This project aims to develop a cheap, easy-to-use mobile application that will be able to detect early dementia and monitor disease symptoms. 
https://hkust25projects.ust.hk/en/projects/detail/early_detection_of_alzheimers_app</t>
  </si>
  <si>
    <t>HKUST 25 projects - Developing an “IoT” Campus</t>
  </si>
  <si>
    <t>This project is based on internet connectivity, and will become more and more visible as Wi-Fi coverage and cloud computing increase. The project aims to build an IoT campus in order to enhance students’ lives. 
https://hkust25projects.ust.hk/en/projects/detail/developing_an_iot_campus</t>
  </si>
  <si>
    <t>HKUST 25 projects - HKUST Mobile App – A Better Way to Connect</t>
  </si>
  <si>
    <t>Groundbreaking Discovery Unveils a New Treatment Strategy for Alzheimer’s Disease</t>
  </si>
  <si>
    <t>HKUST 25th ANNIVERSARY - Citi – HKUST International Case Competition 2015 (Talent Show)</t>
  </si>
  <si>
    <t>HKUST 25th ANNIVERSARY - Citi – HKUST International Case Competition 2015 (Award Presentation)</t>
  </si>
  <si>
    <t>HKUST 25th Anniversary - FACES VIDEO – Johnny Sin</t>
  </si>
  <si>
    <t>HKUST 25th Anniversary - FACES VIDEO – Professor Tam Kar Yan</t>
  </si>
  <si>
    <t>HKUST 25th Anniversary - FACES VIDEO – Joseph Kwan</t>
  </si>
  <si>
    <t>HKUST 25th Anniversary - FACES VIDEO – Naubahar Sharif</t>
  </si>
  <si>
    <t>HKUST 25th Anniversary - FACES VIDEO – Andy Lam</t>
  </si>
  <si>
    <t>HKUST 25th Anniversary - FACES VIDEO – Li Yan Yung</t>
  </si>
  <si>
    <t>HKUST 25th Anniversary - FACES VIDEO – Sam Wong</t>
  </si>
  <si>
    <t>HKUST 25th Anniversary - FACES VIDEO – Wons Julius Constantin</t>
  </si>
  <si>
    <t>HKUST 25th Anniversary - FACES VIDEO – Jack Chan</t>
  </si>
  <si>
    <t>HKUST 25th Anniversary - FACES VIDEO – Andrew W Nowak-Solinski</t>
  </si>
  <si>
    <t>HKUST 25th Anniversary – FACES VIDEO – Yvonne Ho</t>
  </si>
  <si>
    <t>HKUST 25th Anniversary – Dr Raghuram Govind Rajan</t>
  </si>
  <si>
    <t>We are proud to present the new 2014 HKUST Video “Where Possibilities Begin”. Thanks to the participation of many of our faculty, students, alumni and staff.</t>
  </si>
  <si>
    <t>說明</t>
  </si>
  <si>
    <t>Behind the scenes  – President and Band Soc getting ready to “rock” on the “First Day”!</t>
  </si>
  <si>
    <t>The Hong Kong University of Science and Technology (HKUST) hosted a special visit by the world's largest solar-powered catamaran MS Tûranor PlanetSolar on 18 August, to raise environmental consciousness among the younger generation. HKUST and PlanetSolar share the same vision of building a culture of environmental protection across the globe.</t>
  </si>
  <si>
    <t>HKUST Dragon Boat Team Sweeps Championships in Public Competitions_x000D_
科大龍舟隊連奪多項公開賽冠軍</t>
  </si>
  <si>
    <t>In #HKU's historic Loke Yew Hall, on September 22 this year, Dr Adrian Cheng Chi Kong, Professor Cheng Kai Ming, Ms Karen Cheung Tih Loh, Mrs Jill Gallie and Professor Philip Wong Hon Sum were conferred Honorary University Fellowships in recognition of their contributions to the University and society. ✨ 
香港大學早前舉行名譽大學院士頒授典禮，向鄭志剛博士、程介明教授、張添珞女士、Jill Gallie女士及黃漢森教授頒授名譽大學院士銜，事不宜遲，馬上重溫典禮精彩片段！✨</t>
  </si>
  <si>
    <t>Highlights of the HKU “111uminate” DJ-party</t>
  </si>
  <si>
    <t>🎉The HKU 111th Anniversary Art Installation dazzles at the Centennial Garden!✨
HKU President Professor Xiang Zhang joined students and staff at the “111uminate” DJ-party🎧, featuring amazing performances thanks to Mosaic Acappella🎤, M. Danso, St John’s College Dancing Team and Band🎸, Astréas, Hong Kong Institute of Rope Skipping and DJ RYANSEE! A collection of limited-edition HKU non-fungible tokens (NFTs), exclusively for party-goers, were also officially unveiled. Stay tuned for more exciting future forays into the metaverse world! 
香港大學111周年藝術裝置正式亮燈！港大校長張翔教授與學生及教職員出席於百周年花園舉行的「111uminate」DJ音樂派對🎉，欣賞Mosaic無伴奏音樂🎤、M. Danso、St John’s College跳舞隊及樂隊🎸、Astréas、香港花式跳繩學社以及DJ RYANSEE的精彩表演！所有派對參加者皆獲贈限量版港大NFT，大學將在元宇宙為大家帶來更多驚喜，敬請期待！</t>
  </si>
  <si>
    <t>New #HKUers, how's it going? Adjusting to university life over the past few weeks may have been tough – but remember that challenges can be opportunities, so make the most of your journey at #HKU! 💪 Check out these reminders from the Inauguration Ceremony, and keep embracing change!
開學至今已差不多三星期，相信各位 #港大 新生都開始適應大學生活！🏫
👀立即重溫 #香港大學 2022-23學年新生入學禮的精彩片段，繼續勇於擁抱轉變，迎接挑戰，好好享受大學生活！✨</t>
  </si>
  <si>
    <t>Embracing Change 擁抱轉變</t>
  </si>
  <si>
    <t>CHANGE BEGINS HERE, WITH YOU, TODAY: A video of encouragement, hope and motivation that was designed for new #HKUers as they begin their university lives – but actually, we hope it will inspire all members of the #HKU family!
「擁抱轉變」是 #港大 對新生的寄語，願所有 #港大人 都敢於夢想，勇於改變，在新學年有個美好的開始！🌈</t>
  </si>
  <si>
    <t>[𝗣𝗮𝘁𝗵𝘄𝗮𝘆 𝘁𝗼 𝗦𝘂𝗰𝗰𝗲𝘀𝘀 – 𝗛𝗞𝗨 𝗬𝗼𝘂𝗻𝗴 𝗔𝗹𝘂𝗺𝗻𝗶 𝗦𝗲𝗿𝗶𝗲𝘀] Julian’s journey at HKU</t>
  </si>
  <si>
    <t>💼 Born in Germany, Julian pursued his Bachelor’s degree at HKU and is now an actor, producer, and entrepreneur. He made use of the flexible curriculum at HKU and graduated with a Bachelor of Social Sciences majoring in Politics and Public Administration, while also minoring in both Journalism &amp; Geography. Julian found Hong Kong suited him best with its East-meets-West culture, “I think Hong Kong has a very strong perception in the world. This is a very creative city, it’s a window between China and the west. It drew me into Hong Kong because I thought there must be a language where both (Chinese and western perspectives) can be translated, where both of this can be seen.”
💡 Advice from Julian: Sports was a big entrance for me to bring me in (to the community), because suddenly you are in a team. I played lacrosse and soccer, it formed so many good friendships and I started to use the same language and gestures.
Join HKU and become one of us!
Follow us for more updated info:
Website: https://admissions.hku.hk/
Facebook: https://www.facebook.com/hkuintl
Instagram: https://www.instagram.com/hkuniversity/
Weibo: https://weibo.com/hongkongu</t>
  </si>
  <si>
    <t>[𝗣𝗮𝘁𝗵𝘄𝗮𝘆 𝘁𝗼 𝗦𝘂𝗰𝗰𝗲𝘀𝘀 – 𝗛𝗞𝗨 𝗬𝗼𝘂𝗻𝗴 𝗔𝗹𝘂𝗺𝗻𝗶 𝗦𝗲𝗿𝗶𝗲𝘀] Geneva’s journey at HKU</t>
  </si>
  <si>
    <t>💼 Geneva obtained her Bachelor of Social Sciences and Master of International Public Affairs degree from HKU. She started her career in the International Office at HKU and advanced her career in the United Nations to act as an advocate for sustainable and human development. Geneva shared that the opportunities at HKU, including internship and exchange, have helped build a solid foundation for her career in international relations and provided her with a competitive edge. “I was studying politics at a financial hub. It was something that made me different after I graduated.”
💡 Advice from Geneva: Utilize the flexibility of choosing minors more strategically! My major was politics and my minor was global studies, but my minor should have been something more specific or completely different so that it can give me a more interdisciplinary knowledge.
Join HKU and become one of us!
Follow us for more updated info:
Website: https://admissions.hku.hk/
Facebook: https://www.facebook.com/hkuintl
Instagram: https://www.instagram.com/hkuniversity/
Weibo: https://weibo.com/hongkongu</t>
  </si>
  <si>
    <t>[𝗣𝗮𝘁𝗵𝘄𝗮𝘆 𝘁𝗼 𝗦𝘂𝗰𝗰𝗲𝘀𝘀 – 𝗛𝗞𝗨 𝗬𝗼𝘂𝗻𝗴 𝗔𝗹𝘂𝗺𝗻𝗶 𝗦𝗲𝗿𝗶𝗲𝘀] Timo’s journey at HKU</t>
  </si>
  <si>
    <t>💼 Born and raised in Finland, Timo completed his undergraduate and postgraduate degrees at HKU and is currently working for the Embassy of Finland in Beijing. Before coming to Hong Kong to pursue his studies, he felt that studying overseas would broaden his horizons and provide him with more possibilities. When asked why did he choose HKU, he shared that “HKU has a good reputation and uses English as the means of instruction—the optimal choice”. With the support of a scholarship, Timo was able to make the most of his education in Hong Kong and pave the way forward for his career.
💡 Advice from Timo: Study something at someplace that tests your limits! Don’t always stay in your comfort zone - try something new, and continue learning something different.
Join HKU and become one of us!
Follow us for more updated info:
Website: https://admissions.hku.hk/
Facebook: https://www.facebook.com/hkuintl
Instagram: https://www.instagram.com/hkuniversity/
Weibo: https://weibo.com/hongkongu</t>
  </si>
  <si>
    <t>HKU – Building the Future with Vision</t>
  </si>
  <si>
    <t>The University of Hong Kong has been marking its 111th Anniversary by celebrating its history while also creating a vision to respond to and move forward in a rapidly changing world. #HKU will bring together more global talent to take us to new frontiers of discovery, and will forge ahead with a state-of-the-art roadmap of development plans that will nurture innovation and knowledge creation. Watch the video for more details about the University’s ambitious endeavours to address the challenges that humanity faces and generate sustained, meaningful impact in Hong Kong, the Mainland and the world.</t>
  </si>
  <si>
    <t>Revisit highlights from the 111th Anniversary Celebration-cum- Tech Landmark groundbreaking ceremony – honouring the University's history and marking a key milestone in a journey of ambitious development projects that are transforming #HKU's campus environment.</t>
  </si>
  <si>
    <t>香港大學網上聯招Band A排位策略</t>
  </si>
  <si>
    <t>為幫助聯招考生更有策略地分配三個Band A選擇，港大入學事務部將舉辦聯招Band A排位策略講座，為應屆考生提供實用的Band A選科方法及建議，以及最新的入學資訊，考生們不容錯過。
最新入學資訊:
Website: https://admissions.hku.hk/</t>
  </si>
  <si>
    <t>【Big Data Oriented Programmes】Bachelor of Science in Bioinformatics</t>
  </si>
  <si>
    <t>【Big Data Oriented Programmes】Bachelor of Science in Marketing Analytics and Technology</t>
  </si>
  <si>
    <t>【Big Data Oriented Programmes】Bachelor of Engineering in Data Science and Engineering</t>
  </si>
  <si>
    <t>【Big Data Oriented Programmes】Bachelor of Arts in Humanities and Digital Technologies</t>
  </si>
  <si>
    <t>【香港大學大數據相關課程】JS6470 理學士(生物訊息學)</t>
  </si>
  <si>
    <t>JS6470 理學士(生物訊息學)，課程詳情:
https://bit.ly/BSC_BIOINFO
►更多港大課程資訊:
Website: https://hku.hk/dse
Facebook: https://www.facebook.com/HKUConnect
Instagram: https://www.instagram.com/hkuadmissions_jupas/</t>
  </si>
  <si>
    <t>【香港大學大數據相關課程】JS6846 理學士(營銷分析及科技)</t>
  </si>
  <si>
    <t>JS6846 理學士(營銷分析及科技)，課程詳情:
https://bit.ly/BSC_MAT
►更多港大課程資訊:
Website: https://hku.hk/dse
Facebook: https://www.facebook.com/HKUConnect
Instagram: https://www.instagram.com/hkuadmissions_jupas/</t>
  </si>
  <si>
    <t>【香港大學大數據相關課程】JS6262 工學學士(數據科學及工程)</t>
  </si>
  <si>
    <t>JS6262 工學學士(數據科學及工程)，課程詳情:
https://bit.ly/BENG_DSE
►更多港大課程資訊:
Website: https://hku.hk/dse
Facebook: https://www.facebook.com/HKUConnect
Instagram: https://www.instagram.com/hkuadmissions_jupas/</t>
  </si>
  <si>
    <t>【香港大學大數據相關課程】 JS6286 文學士(人文及數碼科技)</t>
  </si>
  <si>
    <t>JS6286 文學士(人文及數碼科技)，課程詳情:
https://bit.ly/BA_HDT
►更多港大課程資訊:
Website: https://hku.hk/dse
Facebook: https://www.facebook.com/HKUConnect
Instagram: https://www.instagram.com/hkuadmissions_jupas/</t>
  </si>
  <si>
    <t>【2022 HKDSE 備戰應試貼士】中國歷史 Chinese History</t>
  </si>
  <si>
    <t>由港大學生大使分享疫情底下的溫習心得、應考貼士及注意事項等，幫大家把握最後時機，全力衝刺！</t>
  </si>
  <si>
    <t>【2022 HKDSE 備戰應試貼士】化學 Chemistry</t>
  </si>
  <si>
    <t>【2022 HKDSE 備戰應試貼士】生物 Biology</t>
  </si>
  <si>
    <t>【2022 HKDSE 備戰應試貼士】地理Geography</t>
  </si>
  <si>
    <t>【2022 HKDSE 備戰應試貼士】經濟及企業、會計與財務概論 Economics &amp; BAFS</t>
  </si>
  <si>
    <t>HKDSE理科科目備戰應試貼士直播分享</t>
  </si>
  <si>
    <t>HKDSE文商科科目備戰應試貼士直播分享</t>
  </si>
  <si>
    <t>[We’re searching for talents, and YOU are wanted!]
𝐓𝐚𝐥𝐞𝐧𝐭 𝐒𝐞𝐚𝐫𝐜𝐡 (𝐅𝐢𝐧𝐚𝐥 𝐂𝐚𝐥𝐥)
The HKU Academy for the Talented offers exclusive programmes to students with academic and/or sports performance talents to have experiential workshops in the University. 🤩
Please note that rolling admission has also started in March for our summer programmes. 
• 𝙃𝙆𝙐 𝘽𝙪𝙨𝙞𝙣𝙚𝙨𝙨 𝘼𝙘𝙖𝙙𝙚𝙢𝙮 𝙛𝙤𝙧 𝙩𝙝𝙚 𝙏𝙖𝙡𝙚𝙣𝙩𝙚𝙙 - 𝘾𝙤𝙡𝙡𝙖𝙗𝙤𝙧𝙖𝙩𝙞𝙫𝙚 𝙄𝙣𝙣𝙤𝙫𝙖𝙩𝙞𝙤𝙣 𝘽𝙤𝙤𝙩𝙘𝙖𝙢𝙥 [Jul 4 - 8]
• 𝙃𝙆𝙐 𝙎𝙏𝙀𝙈 𝘽𝙤𝙤𝙩𝙘𝙖𝙢𝙥 2022 𝙤𝙣 𝘿𝙖𝙩𝙖 𝙎𝙘𝙞𝙚𝙣𝙘𝙚 [Jul 11 - 15]
• 𝙃𝙆𝙐 𝙈𝙚𝙙𝙞𝙘𝙖𝙡 𝙖𝙣𝙙 𝙃𝙚𝙖𝙡𝙩𝙝𝙘𝙖𝙧𝙚 𝘼𝙘𝙖𝙙𝙚𝙢𝙮 𝙛𝙤𝙧 𝙩𝙝𝙚 𝙏𝙖𝙡𝙚𝙣𝙩𝙚𝙙 (𝙎𝙚𝙨𝙨𝙞𝙤𝙣 1) [Jul 18 - 22]
• 𝘼𝙘𝙖𝙙𝙚𝙢𝙮 𝙛𝙤𝙧 𝙩𝙝𝙚 𝙏𝙖𝙡𝙚𝙣𝙩𝙚𝙙 𝙀𝙣𝙜𝙡𝙞𝙨𝙝 𝙋𝙧𝙤𝙜𝙧𝙖𝙢𝙢𝙚 (𝙎𝙪𝙢𝙢𝙚𝙧) [Jul 25 - 29]
• 𝙃𝙆𝙐 𝙀𝙭𝙥𝙡𝙤𝙧𝙞𝙣𝙜 𝙇𝙚𝙜𝙖𝙡 𝘼𝙘𝙖𝙙𝙚𝙢𝙮 𝙛𝙤𝙧 𝙩𝙝𝙚 𝙏𝙖𝙡𝙚𝙣𝙩𝙚𝙙 [Aug 8 - 12]
• 𝙃𝙆𝙐 𝙇𝙚𝙜𝙖𝙡 𝘼𝙘𝙖𝙙𝙚𝙢𝙮 𝙛𝙤𝙧 𝙩𝙝𝙚 𝙏𝙖𝙡𝙚𝙣𝙩𝙚𝙙 [Aug 9 - 12]
• 𝙃𝙆𝙐 𝙉𝙚𝙪𝙧𝙤𝙨𝙘𝙞𝙚𝙣𝙘𝙚 𝘼𝙘𝙖𝙙𝙚𝙢𝙮 𝙛𝙤𝙧 𝙩𝙝𝙚 𝙏𝙖𝙡𝙚𝙣𝙩𝙚𝙙 [Aug 16 - 19]
• 𝙃𝙆𝙐 𝙈𝙚𝙙𝙞𝙘𝙖𝙡 𝙖𝙣𝙙 𝙃𝙚𝙖𝙡𝙩𝙝𝙘𝙖𝙧𝙚 𝘼𝙘𝙖𝙙𝙚𝙢𝙮 𝙛𝙤𝙧 𝙩𝙝𝙚 𝙏𝙖𝙡𝙚𝙣𝙩𝙚𝙙 (𝙎𝙚𝙨𝙨𝙞𝙤𝙣 2) [Aug 22 - 25]
• 𝙃𝙆𝙐 𝙀𝙣𝙜𝙞𝙣𝙚𝙚𝙧𝙞𝙣𝙜 𝘼𝙘𝙖𝙙𝙚𝙢𝙮 𝙛𝙤𝙧 𝙩𝙝𝙚 𝙏𝙖𝙡𝙚𝙣𝙩𝙚𝙙 [Aug 23 - 26]
From getting a glimpse of student life at HKU to attending exclusive university programmes and events, these activities will prepare you for your future university studies🌟 by giving you the unique privileges of exchanging knowledge and brilliant ideas with talented students from all over the world. 🌍
✅ Apply Now by May 1, 2022: https://talented.hku.hk/academic-programmes/summary
Want to join the Academy family? Students who are currently in Form 2/Grade 8 or above can submit a Talent Search application now!
👉🏻 Submit your Talent Search application now and become a part of the HKU community by April 15, 2022: https://talented.hku.hk/how-to-apply</t>
  </si>
  <si>
    <t>HKDSE狀元及核心科目備戰應試貼士直播分享</t>
  </si>
  <si>
    <t>Have you ever wondered what it is like to pursue law as a profession in Hong Kong?
The Academy for the Talented is offering two law programmes this summer as well! Join us to get a glimpse of what being a lawyer is like!
[𝐇𝐊𝐔 𝐄𝐱𝐩𝐥𝐨𝐫𝐢𝐧𝐠 𝐋𝐞𝐠𝐚𝐥 𝐀𝐜𝐚𝐝𝐞𝐦𝐲 𝐟𝐨𝐫 𝐭𝐡𝐞 𝐓𝐚𝐥𝐞𝐧𝐭𝐞𝐝] 
This 5-day online intensive course allows you to get practical experience in 
- Developing trial techniques covering the various parts of a trial in the court 
- Demonstrating your understanding of trial preparation and procedures of both civil and criminal trials in a mock trial
Upon successful completion of the programme, you will be equipped with an overview of law as it relates to court procedures and associated issues of trial preparation.
Date: August 8-12, 2022 
Target: S2-4/Grade 8-10 students 
👉 Submit your application by May 1, 2022: https://talented.hku.hk/academic-programmes/hku-exploring-legal-academy-for-the-talented-aug-8-12
[𝐇𝐊𝐔 𝐋𝐞𝐠𝐚𝐥 𝐀𝐜𝐚𝐝𝐞𝐦𝐲 𝐟𝐨𝐫 𝐭𝐡𝐞 𝐓𝐚𝐥𝐞𝐧𝐭𝐞𝐝]
Co-organised by the Faculty of Law, Faculty of Arts, HKU Business School at the University of Hong Kong, the programme provides you with genuine exposure to the Bachelor of Law degree and postgraduate certificates in Law courses, as well as real-life scenarios in court.
You will also have a chance to meet the legal practitioners in the commercial practice workshop, and legal professional pathways talk offered by Deacons, Hong Kong's premier independent law firm.
Those who perform well in the final project/competition will have the chance to join the Early Insights Programme of Deacons, Hong Kong’s largest and oldest independent law firm, and work with the firm’s lawyers the week following the completion of the Legal Academy for the Talented.
Date: August 9-12, 2022
Target: S4-5/Grade 10-11 students
👉 Submit your application by May 1, 2022: https://talented.hku.hk/academic-programmes/hku-legal-academy-for-the-talented-aug-9-12
𝐏𝐥𝐞𝐚𝐬𝐞 𝐧𝐨𝐭𝐞 𝐭𝐡𝐚𝐭 𝐫𝐨𝐥𝐥𝐢𝐧𝐠 𝐚𝐝𝐦𝐢𝐬𝐬𝐢𝐨𝐧 𝐡𝐚𝐬 𝐚𝐥𝐫𝐞𝐚𝐝𝐲 𝐬𝐭𝐚𝐫𝐭𝐞𝐝.</t>
  </si>
  <si>
    <t>【Career Aspiration at HKU 2022】Nurtures legal and science professionals in a STEM-driven society</t>
  </si>
  <si>
    <t>【生涯規劃在港大】本港作為亞洲創新中心，市場對於創科發展及技術轉移專才的需求與日俱增。港大本年度推出理學士和法學士雙學位課程，培養科學及法律方面的跨學科專才，迎合本港乃至大灣區的科技發展。
Amidst rapid development of technological innovations in the Greater Bay Area, there has been a growing demand for talents equipped with cross-disciplinary knowledge that can tackle challenges in STEM-driven regulatory affairs and intellectual property protection.</t>
  </si>
  <si>
    <t>【生涯規劃在港大 Career Aspiration at HKU 2022】大數據與人文及商業 Big Data in Arts and Business (In English)</t>
  </si>
  <si>
    <t>【生涯規劃在港大】大數據應用涵括生活各個範疇，乃至社會及文化議題都能仰賴數碼科技解決。作為亞洲首個人文及數碼科技相關的課程，港大文學士(人文及數碼科技)會提供怎樣的跨學科學習體驗🔀？學生又如何從實習及專題學習中培養文理思維👨🏻‍💻，畢業後的發展路向又是怎樣？
在商業營銷上，大數據的應用更加廣泛，從基礎技術如程式語言至營銷策略分析皆與數據相關📊。港大這門課程究竟有何特色，又如何逐步培養出數據營銷相關人才？畢業生有什麼出路？
There is a growing demand for data talents in all sorts of businesses and research. Marketing personnel are expected to be able to use the latest technology in data analytics to support business decisions 👨🏻‍💻. The humanities workforce should also be equipped with digital technologies training to tackle the world's multi-faceted cultural and social problems with innovative solutions 💡.
This session will focus on the Bachelor of Arts (Humanities and Digital Technologies) and the Bachelor of Science (Marketing Analytics and Technology) programmes. Our speakers include HKU students, professors, and professionals in the industry.</t>
  </si>
  <si>
    <t>【生涯規劃在港大 Career Aspiration at HKU 2022】大數據與醫療及工程 Big Data in Medicine and Engineering (in Cantonese)</t>
  </si>
  <si>
    <t>【生涯規劃在港大】大數據作為時下的發展重心，與工程技術結合後為數據分析、人工智能等範疇建立一個技術基礎👨🏻‍💻，為數據市場帶來革命性的轉變。但其課程有什麼特色與重點❓未來又會如何配合行業的發展❓
在醫學範疇上🔬，生物大數據更能幫助業界研究及了解更多不明疾病，但作為本港唯一的生物信息相關的學士學位課程，又如何將數據及醫學相結合❓相關的醫學數據培訓以及職業發展又是如何❓
Emerging data science and engineering technologies 🛠️ - such as data analytics, artificial intelligence, and big data infrastructures - bring transformative impacts to the society. When implemented in the medical field 🔬, biotechnology and big data expertise can also help the world with many unresolved biomedical problems.
This session focuses on the Bachelor of Engineering (Data Science and Engineering) and the Bachelor of Science (Bioinformatics) programmes. Our speakers include HKU students, professors, and professionals in the industry.</t>
  </si>
  <si>
    <t>【生涯規劃在港大 Career Aspiration at HKU 2022】大數據與醫療及工程 Big Data in Medicine and Engineering (in English)</t>
  </si>
  <si>
    <t>The Launch of HKU’s 111th Anniversary</t>
  </si>
  <si>
    <t>STAY TUNED: The Launch of HKU’s 111th Anniversary</t>
  </si>
  <si>
    <t>Don’t miss our special broadcast at 8:30pm TONIGHT for the Launch of the 111th Anniversary of The University of Hong Kong, dedicated to the courageous people and city of Hong Kong! It will convey a message of hope and resilience, followed by a special light projection.
Stay tuned to our channel or visit http://111hku.live/ or https://uv.hku.hk/live tonight at 8:30pm!</t>
  </si>
  <si>
    <t>高中HKDSE選科策略家長講座 Parents Talk on HKDSE Subject Selection</t>
  </si>
  <si>
    <t>如有問題想向講者提問，請按此：https://hku.au1.qualtrics.com/jfe/form/SV_cAVMmIjqOSrZrBY</t>
  </si>
  <si>
    <t>🎊 Happy Chinese New Year from our President and Vice-Chancellor Professor Xiang Zhang and our students at HKU 🎊
For this festival that celebrates unity and prosperity, we send you our blessings and good wishes for the Year of the Tiger 🐯
香港大學校長與一眾來自世界各地的學生，祝大家虎年大吉，新年快樂！</t>
  </si>
  <si>
    <t>Watch the video to get a glimpse of HKU Taster @ Christmas 2021!
Special thanks to 
𝐅𝐚𝐜𝐮𝐥𝐭𝐲 𝐨𝐟 𝐀𝐫𝐜𝐡𝐢𝐭𝐞𝐜𝐭𝐮𝐫𝐞
𝐅𝐚𝐜𝐮𝐥𝐭𝐲 𝐨𝐟 𝐄𝐧𝐠𝐢𝐧𝐞𝐞𝐫𝐢𝐧𝐠
𝐅𝐚𝐜𝐮𝐥𝐭𝐲 𝐨𝐟 𝐒𝐨𝐜𝐢𝐚𝐥 𝐒𝐜𝐢𝐞𝐧𝐜𝐞𝐬
𝐋𝐢 𝐊𝐚 𝐒𝐡𝐢𝐧𝐠 𝐅𝐚𝐜𝐮𝐥𝐭𝐲 𝐨𝐟 𝐌𝐞𝐝𝐢𝐜𝐢𝐧𝐞
&amp; 𝐚𝐥𝐥 𝐭𝐡𝐞 𝐇𝐊𝐔 𝐬𝐭𝐮𝐝𝐞𝐧𝐭 𝐚𝐦𝐛𝐚𝐬𝐬𝐚𝐝𝐨𝐫𝐬
What is HKU Taster? 
HKU Taster Programme runs 3 times a year: Christmas, Easter and Summer. Through these 3 HKU Taster programmes, students will be able to have a taste and a glimpse of what different Faculties of HKU have to offer through interactive workshops and intellectually challenging lectures.
We aim to enable students to making informed decisions on their programme choices through hands-on experience in their faculties of interest. It is our objective that it will help students to streamline their choices step by step, singling out few focused faculties further developing in their fields of interest.
There are no boundaries but only possibilities. Let's be brave to think big and dream big!
Facebook: https://www.facebook.com/hkutaster
Instagram: https://www.instagram.com/hkutaster/
Website: https://www.hku.hk/taster</t>
  </si>
  <si>
    <t>【HKU IDAY 2021】Students’ Sharing: Must do things as an HKUer Overseas Exchange (in Cantonese)</t>
  </si>
  <si>
    <t>【HKU IDAY 2021】Students’ Sharing: Must do things as an HKUer   Internship Opportunities (in English)</t>
  </si>
  <si>
    <t>【HKU IDAY 2021】Students’ Sharing: Must do things as an HKUer   Hall Life and Culture (in Cantonese)</t>
  </si>
  <si>
    <t>【HKU IDAY 2021】The Common Core: Your Curiosity, Your Passion, and Your Future in English</t>
  </si>
  <si>
    <t>【HKU IDAY 2021】Admissions Talk for JUPAS Students (in English)</t>
  </si>
  <si>
    <t>【HKU IDAY 2021】HKU Business School - Faculty Admissions Talk for JUPAS Students (in Cantonese)</t>
  </si>
  <si>
    <t>【HKU IDAY 2021】Faculty of Education - Faculty Central Talk (in Cantonese and English)</t>
  </si>
  <si>
    <t>【HKU IDAY 2021】The Fun of Studying Dentistry「讀Dental 有乜好」(in Cantonese)</t>
  </si>
  <si>
    <t>【HKU IDAY 2021】Admissions Talk for International and Overseas Qualifications students (in English)</t>
  </si>
  <si>
    <t>【HKU IDAY 2021】Admissions Talk on 6717 Bachelor of Social Sciences &amp; Students Sharing (in English)</t>
  </si>
  <si>
    <t>【HKU IDAY 2021】Engineering Study in HKU (in English)</t>
  </si>
  <si>
    <t>【HKU IDAY 2021】Admissions Talk for JUPAS Students (in Cantonese)</t>
  </si>
  <si>
    <t>【HKU IDAY 2021】Faculty of Architecture - Dialogue with Dean of Architecture (in English)</t>
  </si>
  <si>
    <t>【HKU Programme Snap Intro】Bachelor of Social Sciences</t>
  </si>
  <si>
    <t>【HKU Programme Snap Intro】Bachelor of Arts and Sciences</t>
  </si>
  <si>
    <t>【HKU Programme Snap Intro】BSS (GL) &amp; LLB</t>
  </si>
  <si>
    <t>【HKU Programme Snap Intro】Bachelor of Social Work</t>
  </si>
  <si>
    <t>【HKU Programme Snap Intro】Bachelor of Arts and Sciences in Financial Technology</t>
  </si>
  <si>
    <t>【HKU Programme Snap Intro】Bachelor of Arts and Bachelor of Laws</t>
  </si>
  <si>
    <t>【HKU Programme Snap Intro】Bachelor of Arts and Sciences (Applied AI)</t>
  </si>
  <si>
    <t>【HKU Programme Snap Intro】Bachelor of Science</t>
  </si>
  <si>
    <t>【HKU Programme Snap Intro】Science Master Class</t>
  </si>
  <si>
    <t>【HKU Programme Snap Intro】Bachelor of Science in Actual Science</t>
  </si>
  <si>
    <t>【HKU Programme Snap Intro】Bachelor of Laws</t>
  </si>
  <si>
    <t>【HKU Programme Snap Intro】Bachelor of Engineering</t>
  </si>
  <si>
    <t>【HKU Programme Snap Intro】Bachelor of Engineering in Engineering Science</t>
  </si>
  <si>
    <t>【HKU Programme Snap Intro】Bachelor of Engineering in Biomedical Engineering</t>
  </si>
  <si>
    <t>【HKU Programme Snap Intro】Global Engineering and Business Double Degree Programme</t>
  </si>
  <si>
    <t>【HKU Programme Snap Intro】Bachelor of Education and Bachelor of Science</t>
  </si>
  <si>
    <t>【HKU Programme Snap Intro】BA&amp;BEDLangEd  Eng</t>
  </si>
  <si>
    <t>【HKU Programme Snap Intro】BA&amp;BEDLangEd - Chin</t>
  </si>
  <si>
    <t>【HKU Programme Snap Intro】Bachelor of Science in Speech and Hearing Sciences</t>
  </si>
  <si>
    <t>【HKU Programme Snap Intro】Bachelor of Education in Early Childhood Education and Special Education</t>
  </si>
  <si>
    <t>【HKU Programme Snap Intro】Bachelor of Dental Surgery</t>
  </si>
  <si>
    <t>【HKU Programme Snap Intro】Bachelor of Business Administration / BBA in Accounting and Finance</t>
  </si>
  <si>
    <t>【HKU Programme Snap Intro】Bachelor of Science in Quantitative Finance</t>
  </si>
  <si>
    <t>【HKU Programme Snap Intro】Bachelor of Finance in Asset Management and Private Banking</t>
  </si>
  <si>
    <t>【HKU Programme Snap Intro】 BBA (International Business and Global Management)</t>
  </si>
  <si>
    <t>【HKU Programme Snap Intro】BBALaw&amp;LLB</t>
  </si>
  <si>
    <t>【HKU Programme Snap Intro】Bachelor of Economics / Bachelor of Economics and Finance</t>
  </si>
  <si>
    <t>【HKU Programme Snap Intro】Bachelor of Science in Surveying</t>
  </si>
  <si>
    <t>【HKU Programme Snap Intro】Bachelor of Arts in Landscape Studies</t>
  </si>
  <si>
    <t>【HKU Programme Snap Intro】Bachelor of Arts in Architectural Studies</t>
  </si>
  <si>
    <t>【HKU Programme Snap Intro】Bachelor of Arts and Sciences in Design+</t>
  </si>
  <si>
    <t>【HKU Programme Snap Intro】Bachelor of Arts in Urban Studies</t>
  </si>
  <si>
    <t>【HKU Programme Snap Intro】Bachelor of Arts</t>
  </si>
  <si>
    <t>31 academics of the University of Hong Kong (HKU) have been named by Clarivate in its list of “Highly Cited Researchers 2021” as the most influential in the world. Their works have been highly cited by fellow academics and are hence making a significant impact in ongoing research in their respective fields of study. https://go.hku.hk/pr23587</t>
  </si>
  <si>
    <t>香港大學新推大數據相關課程 (廣東話及英語) HKU New Big Data Oriented Programmes (in Cantonese and English)</t>
  </si>
  <si>
    <t>【港大新推大數據相關課程】大數據與數碼化是近年最熱門的趨勢，對相關領域的人才需求日益增加。港大將於2022 - 23學年起推出多個嶄新課程，學生可按其志向、能力及興趣選擇專業，發揮潛能、盡展所長。
五個與大數據及數碼科技相關的新課程（包括一個重組課程）如下：
🌟JS6262 工學學士（數據科學及工程）https://bit.ly/BENG_DSE
🌟JS6286 文學士（人文及數碼科技）https://bit.ly/BA_HDT
🌟JS6470 理學士（生物訊息學）https://bit.ly/BSC_BIOINFO
🌟JS6793 工商管理學學士（商業分析）* https://bit.ly/BBA_BA
🌟JS6846 理學士（營銷分析及科技）https://bit.ly/BSC_MAT
*原「JS6793工商管理學學士（資訊系統）」於2022/23年度重組及改名為「JS6793工商管理學學士（商業分析）」
要了解港大課程資訊，請瀏覽👉 https://hku.hk/dse</t>
  </si>
  <si>
    <t>['HKU', 'HKU new programmes', 'HKU big data', 'Hong Kong big data', 'Hong Kong University new programme', 'Hong Kong University Big data', 'hku bioinformatics', 'hku data science', 'hku marketing analytics', 'hku business analytics', 'BSc(MAT)', 'BENG(DS&amp;E)', 'BBA(BA)', 'BSc(Bioinformatics)', 'BA(HDT)', '港大新課程', '港大 課程 2022', 'University of Hong Kong New programmes', '香港大學']</t>
  </si>
  <si>
    <t>📣 NEW IN! HKU big data-oriented programmes
Big data is more important than ever as it advances trends in technology across different industries. The collection, analysis, and application of big data have become essential skills for the next generation. HKU’s brand new big data-oriented programmes are designed to equip you with the skillsets and knowledge to excel in today’s digitalised world as big data professionals.
Take a look at the 5 new programmes offered to nurture big data and digital technology talents:
🌟Bachelor of Engineering (Data Science and Engineering) https://bit.ly/BENG_DSE
🌟Bachelor of Arts (Humanities and Digital Technologies) https://bit.ly/BA_HDT
🌟Bachelor of Science (Bioinformatics) https://bit.ly/BSC_BIOINFO
🌟Bachelor of Business Administration (Business Analytics)* https://bit.ly/BBA_BA
🌟Bachelor of Science (Marketing Analytics and Technology) https://bit.ly/BSC_MAT
*Originally Bachelor of Business Administration (Information Systems), the programme has been restructured and renamed to Bachelor of Business Administration (Business Analytics) starting from the 2022/23 academic year</t>
  </si>
  <si>
    <t>“HKU Expected Scores Explained” Information Session</t>
  </si>
  <si>
    <t>HKDSE港大法律狀元分享</t>
  </si>
  <si>
    <t>非華語港大文理學士生 Lareb及Asiya 分享大學生活</t>
  </si>
  <si>
    <t>對非華語學生Lareb同Asiya嚟講，港大嘅國際化學術環境讓他們更容易適應大學生活🌍佢哋透過JUPAS入讀港大文理學士課程，不但能結識來自不同國家/地區嘅同學，更能獲得實習、海外交流等擴闊視野嘅機會。加上港大以英語作為主要教學語言，讓他們能排除語言嘅障礙，獲得豐富嘅學習體驗👍🏻</t>
  </si>
  <si>
    <t>非華語港大護理學生Kainaat 志當護士冀成溝通橋梁</t>
  </si>
  <si>
    <t>非華語人士喺香港生活難免會遇到不少語言障礙。Kainaat自小立志加入香港醫護行列，希望在為本地醫療出一份力的同時，亦可以作為溝通橋樑，讓非華語人士得到更妥善嘅醫療服務。
喺港大透過JUPAS入讀護理學學士的Kainaat亦積極投入舍堂生活，喺St. John's College, HKU 結識到一班志同道合嘅hallmates，一齊打波、參加文化交流活動、去行山，大學生活多姿多彩，真正work hard play hard！</t>
  </si>
  <si>
    <t>香港大學聯招 Band A 策略講座 2021</t>
  </si>
  <si>
    <t>HKDSE商科科目備戰應試貼士直播分享</t>
  </si>
  <si>
    <t>HKDSE核心科目備戰應試貼士直播分享</t>
  </si>
  <si>
    <t>生涯規劃在港大 – 進階科技範疇講座</t>
  </si>
  <si>
    <t>如有問題希望向講者提問，可按以下連結：https://hku.au1.qualtrics.com/jfe/form/SV_5vYCyrIqIATwYOa</t>
  </si>
  <si>
    <t>生涯規劃在港大 – 金融範疇講座</t>
  </si>
  <si>
    <t>生涯規劃在港大 – 醫學範疇講座  Career Aspiration at HKU – Medicine Session</t>
  </si>
  <si>
    <t>HKDSE狀元備戰應試貼士直播分享</t>
  </si>
  <si>
    <t>Webpage:
http://ibgm.business.hku.hk
Instagram:
https://www.instagram.com/hku.ibgm
Facebook:
http://www.facebook.com/hku.ibgm
#HKUTalks​ #BusinessAdministration​ # InternationalBusiness 
BBA(IBGM) features a unique curriculum designed to reflect the ever-changing demands of a globalising world. Overseas exchange studies, international field trips and global enrichment opportunities are integrated into the curriculum, and students are given the flexibility to pursue an in-depth inquiry into another specialised area of study as a second major. Graduates are eligible for earning the Chartered Global Management Accountants (CGMA), with part of the CIMA examinations exempted, provided that they have completed all required subjects specified in the CIMA mapping guidance.</t>
  </si>
  <si>
    <t>港大突擊－工程學學士</t>
  </si>
  <si>
    <t>讀Engine(工程)一定毒🙈 ？錯！錯！錯！HKU Engine課程與時並進🌈，創新得嚟又多元化，可以俾你自由選擇想修讀嘅工程學範疇，機械工程、電子工程、土木工程等等，可以自由選擇之餘，仲個個都係有認證嘅專業課程。學生除咗有學識、良好嘅溝通技巧，亦有好多參加比賽嘅機會，絕對唔係摺友！同學仔個個都勤力搏盡👨‍🎓👩‍🎓，立即去片睇下佢哋點講？
了解更多港大本科資訊👉 ：http://infoday.hku.hk
#港大突擊
#AspireToInspire #HKU
#港大 #HKU #DSE #HKDSE #JUPAS #大學聯招 #聯招 #文憑試 #香港文憑試 #中學 #高中 #HKDSE2021 #DSE2021</t>
  </si>
  <si>
    <t>港大突擊－社會科學學士</t>
  </si>
  <si>
    <t>想有好成績都唔一定要chur到盡嘅😅，好似呢兩位Social Sciences(社會科學)嘅同學仔咁，佛系學習都係個好Chill嘅選擇😇！HKU Social Sciences自由度好大，你可以隨心揀自己鍾意嘅course去讀，吸收唔同嘅知識同經驗，搵到自己嘅方向，到Year 2 再選Major，讀到自己鐘意嘅範疇，自然無咁大壓力😉！一齊睇下佢哋點講💁‍♂️💁‍♀️？
想好Chill咁過自由自在嘅大學生活，，重溫資訊日嘅精彩內容，立即了解更多👉：http://infoday.hku.hk
#港大突擊
#AspireToInspire #HKU
#港大 #HKU #DSE #HKDSE #JUPAS #大學聯招 #聯招 #文憑試 #香港文憑試 #中學 #高中 #HKDSE2021 #DSE2021</t>
  </si>
  <si>
    <t>港大突擊－理學士</t>
  </si>
  <si>
    <t>鐘意Science(理學)又唔知自己想行咩方向🤔？ 就算一樣都係 6901 理學士，呢兩位同學仔揀科嘅方向都完全唔一樣🔀，HKU 有14個majors ＋ 7個intensive major 任你揀，更可以有跨學院Double Majors嘅優勢，俾你認識到唔同背景嘅人😇，慢慢發掘自己嘅方向，再向住目標進發 ！一齊睇下Science讀啲乜，了解佢地係HKU嘅經歷啦💁‍♂️💁‍♀️！
港大本科入學資訊站，重溫資訊日嘅精彩內容：http://infoday.hku.hk
#港大突擊
#AspireToInspire #HKU
#港大 #HKU #DSE #HKDSE #JUPAS #大學聯招 #聯招 #文憑試 #香港文憑試 #中學 #高中 #HKDSE2021 #DSE2021</t>
  </si>
  <si>
    <t>港大突擊－文學士</t>
  </si>
  <si>
    <t>點解啲人話，喺港大讀Arts(文科)嘅同學仔特別Champ？🥰
你以為讀文學士（BA）淨係可以得文學、語言可以讀？
BA 提供好多唔同課程，選科勁自由，除咗可以選擇文學院入面23個majors，你仲可以跨學院咁讀，例如讀Global Creative Industry可以修埋Marketing，你鐘意嘅甚至可以major 音樂+數學，左右腦同時Upgrade 🧠，腦袋轉得快，自然Champ過人🙆‍♂️🙆‍♀️！
你都想成為好Champ嘅人？立即行出第一步，重溫資訊日嘅精彩內容👉：http://infoday.hku.hk
#港大突擊 #23個Majors配31個Minors任你揀 
#AspireToInspire
#港大 #HKU #DSE #HKDSE #JUPAS #大學聯招 #聯招 #文憑試 #香港文憑試 #中學 #高中 #HKDSE2021 #DSE2021</t>
  </si>
  <si>
    <t>📣 HKU Dual Degree/ Collaborative Programmes
Ever thought of getting two or more undergraduate degrees in one-go? Here’s your chance to join a global community of ambitious students and earn two or more degrees from two world-class universities in Asia, Europe, or North America. Check out the dual degree and collaborative programmes we offer:
☑️ HKU-Peking University Dual Degree Programme in Law
☑️ HKU-Peking University Future Leaders Dual Degree Programme
☑️ HKU-Sciences Po Dual Degree Programme
☑️ HKU-University of British Columbia Dual Degree Programme
☑️ HKU-University College London Dual Degree Programme
☑️ HKU-University of California, Berkeley Dual Degree Programme
☑️ HKU-University of Cambridge Undergraduate Recruitment Scheme
➡️ Learn more: http://bit.ly/HKU_DD
📣 港大聯合收生計劃
港大與劍橋大學合辦聯合收生計劃、及與多間海外頂尖院校如巴黎政治大學 (Sciences Po)、倫敦大學學院 (University College London) 等合辦雙學位課程多年，學生畢業後發展非常理想，或已經完成在合辦海外院校的首兩年課程，回港大開展其餘下課程。
現時港大與海外院校合作推出的本科聯合收生計劃/雙學士學位課程詳情如下：
☑️香港大學-劍橋大學：本科招生計劃（工程學及電腦科學）/本科招生計劃（自然科學）
☑️香港大學-北京大學："未來領導者" 香港大學經濟金融學–北京大學管理學雙學士學位課程
☑️香港大學-北京大學：法學士雙學位課程
☑️香港大學-加州大學（柏克萊分校）：文學士雙學位課程 / 社會科學學士雙學位課程 （*有意報讀此課程的學生，須符合個別院校的國際試入學要求。
）
☑️香港大學-巴黎政治學院：文學士雙學位課程 / 社會科學學士雙學位課程 / 工商管理雙學位課程
☑️香港大學-倫敦大學學院：法學士雙學位課程
➡️詳情請瀏覽：http://bit.ly/HKU_DD
#DualDegree #HKU #UCB #UCL #Cambridge #PKU #SciencesPo</t>
  </si>
  <si>
    <t>【HKU IDAY2020】Faculty of Architecture - Dialogue with the Dean &amp; Live Discussion (in English)</t>
  </si>
  <si>
    <t>【HKU IDAY2020】Aspire to Inspire 的理念 The concept behind "Aspire to Inspire"</t>
  </si>
  <si>
    <t>港大網上資訊日的主題是“Aspire to Inspire”。香港大學是香港歷史最悠久及最優秀的大學，近百年來培育成千上萬的優秀畢業生，為我們身處的社會和世界作出貢獻。我們希望港大學生能立志在這享譽亞洲乃至全球的大學，開展他們的「啟發之旅」。在四年或以上的大學生涯，透過與同學和教授的交流，以及學校提供的各種機會，港大期望可以啟發學生成就更多；善用在港大學到的創新思維和培養的影響力，港大的學生可以啟發他人、社會甚至全世界。
在香港大學，我們致力透過靈活的課程内容、跨學科教育、學習企業家精神、促進多元共融、鼓勵交流與實習、給予支持和指導，將一切最好的賦予學生。如果你有志啟發他人、對社會作出正面影響，歡迎你加入港大，親自探索香港大學的精彩學習之旅。
The theme of Virtual IDay is “Aspire to Inspire”. As Hong Kong’s oldest and best university, HKU has inspired tens and thousands of outstanding graduates to contribute to our society and the world for more than 100 years. We hope HKU students aspire to be inspired at this, Asia’s Global University. During your 4 years on campus, students will be inspired by their peers, your professors, and the exposure and opportunities the University offers to all of them. HKU students will be inspired to innovate and to create impact so that themselves and what they achieve here at HKU will be an inspiration to others and to the world. 
At HKU, nothing is more important than empowering our students. Our flexible curriculum, interdisciplinarity, entrepreneurship, inclusivity, exchange and internships, support and guidance all contribute to this. To better understand what an undergraduate student can get out of 4 years at HKU, you are welcome to join us so that you yourself can explore the rich learning journey HKU has to offer.</t>
  </si>
  <si>
    <t>【HKU IDAY2020】Lady Ho Tung Hall Virtual Tour</t>
  </si>
  <si>
    <t>【HKU IDAY2020】Lee Chi Hung hall Virtual Tour</t>
  </si>
  <si>
    <t>【HKU IDAY2020】Lee Shau Kee Hall Virtual Tour</t>
  </si>
  <si>
    <t>【HKU IDAY2020】Morrison Hall Virtual Tour</t>
  </si>
  <si>
    <t>【HKU IDAY2020】R C Lee Hall Virtual Tour</t>
  </si>
  <si>
    <t>【HKU IDAY2020】Simon K.Y Lee Hall Virtual Tour</t>
  </si>
  <si>
    <t>【HKU IDAY2020】Starr Hall Virtual Tour</t>
  </si>
  <si>
    <t>【HKU IDAY2020】Suen Chi Sun Hall Virtual Tour</t>
  </si>
  <si>
    <t>【HKU IDAY2020】Swire Hall Virtual Tour</t>
  </si>
  <si>
    <t>【HKU IDAY2020】Ricci Hall Virtual Tour</t>
  </si>
  <si>
    <t>【HKU IDAY2020】University Hall Virtual Tour</t>
  </si>
  <si>
    <t>【HKU IDAY2020】Hornell Hall Virtual Tour</t>
  </si>
  <si>
    <t>【HKU IDAY2020】Lee Hysan Hall Virtual Tour</t>
  </si>
  <si>
    <t>【HKU IDAY2020】 Bachelor of Engineering in Biomedical Engineering Admissions Talk (in English)</t>
  </si>
  <si>
    <t>【HKU IDAY2020】 Innovation Wing Live Tour (in English)</t>
  </si>
  <si>
    <t>【HKU IDAY2020】 Innovation Wing Live Tour (in Cantonese)</t>
  </si>
  <si>
    <t>【HKU IDAY2020】Bachelor of Engineering in Biomedical Engineering Admissions Talk (in English)</t>
  </si>
  <si>
    <t>【HKU IDAY2020】Bachelor of Pharmacy Admissions Talk (in Cantonese)</t>
  </si>
  <si>
    <t>【HKU IDAY2020】Bachelor of Chinese Medicine Admissions Talk (in Mandarin and Cantonese)</t>
  </si>
  <si>
    <t>【HKU IDAY2020】Bachelor of Biomedical Sciences Admissions Talk (in Cantonese)</t>
  </si>
  <si>
    <t>【HKU IDAY2020】Bachelor of Nursing Admissions Talk (in Cantonese)</t>
  </si>
  <si>
    <t>【HKU IDAY2020】Bachelor of Medicine and Bachelor of Surgery Admissions Talk (in Cantonese)</t>
  </si>
  <si>
    <t>【HKU IDAY2020】BASc in Global Health and Development Admissions Talk (in Cantonese)</t>
  </si>
  <si>
    <t>【HKU IDAY2020】Bachelor of Biomedical Sciences Admissions Talk (in English)</t>
  </si>
  <si>
    <t>【HKU IDAY2020】Bachelor of Medicine and Bachelor of Surgery Admissions Talk (in English)</t>
  </si>
  <si>
    <t>【HKU IDAY2020】LKS Faculty of Medicine Admissions Overview Talk (in English)</t>
  </si>
  <si>
    <t>【HKU IDAY2020】Faculty of Arts - Guide to Choosing BA Majors &amp; Minors (in Cantonese)</t>
  </si>
  <si>
    <t>【HKU IDAY2020】Faculty of Arts - Out of the Classroom Experience (in English/Cantonese)</t>
  </si>
  <si>
    <t>【HKU IDAY2020】Faculty of Social Sciences - Bahelor of Social Sciences Admissions Talk (in English)</t>
  </si>
  <si>
    <t>【HKU IDAY2020】Bachelor of Social Sciences Admissions Talk (in Cantonese)</t>
  </si>
  <si>
    <t>【HKU IDAY2020】Admissions Talk for JUPAS students (in Cantonese)</t>
  </si>
  <si>
    <t>【HKU IDAY2020】Faculty of Science - Bachelor of Science Admissions Talk (in English)</t>
  </si>
  <si>
    <t>【HKU IDAY2020】Admissions Talk for JUPAS Students (in English)</t>
  </si>
  <si>
    <t>【HKU IDAY2020】HKU iDendron - How to break into innovation &amp; entrepreneurship world at HKU?</t>
  </si>
  <si>
    <t>【HKU IDAY2020】HKU-University of Cambridge Undergraduate Recruitment Scheme (in English)</t>
  </si>
  <si>
    <t>【HKU IDAY2020】Admissions Talk for International and Overseas Qualifications students (in English)</t>
  </si>
  <si>
    <t>【HKU IDAY2020】Faculty of Education - Faculty Admissions Talk (in English)</t>
  </si>
  <si>
    <t>【HKU IDAY2020】Faculty of Engineering - Engineering Study Under New Norm (in Cantonese)</t>
  </si>
  <si>
    <t>【HKU IDAY2020】Engineering x Business - Combining your Expertise for Maximum Impact (in English)</t>
  </si>
  <si>
    <t>【HKU IDAY2020】HKU-Sciences Po Dual Degree Programme Admissions Talk (in English)</t>
  </si>
  <si>
    <t>The session will cover an introduction of Sciences Po, students’ sharing and admission information.</t>
  </si>
  <si>
    <t>【HKU IDAY2020】Admissions Talk for International and Overseas Qualifications student (in English)</t>
  </si>
  <si>
    <t>【HKU IDAY2020】HKU Business School - Faculty JUPAS Admissions Talk (in Cantonese)</t>
  </si>
  <si>
    <t>【HKU IDAY2020】Faculty of Dentistry - Faculty Admissions Sharing (in Cantonese)</t>
  </si>
  <si>
    <t>【HKU IDAY2020】HKU-UC Berkeley Dual Degree Programme Admissions Talk (in English)</t>
  </si>
  <si>
    <t>【HKU IDAY2020】Bachelor of Arts in Urban Studies - Mini lecture (in English)</t>
  </si>
  <si>
    <t>A Mini-lecture by Prof. Anthony Yeh on “What Affects the Development of Future Cities”, followed by Q&amp;A.</t>
  </si>
  <si>
    <t>【HKU IDAY2020】BA(Architectural Studies), BA(Landscape Studies) &amp; BASc(Design+) Admissions Talk</t>
  </si>
  <si>
    <t>Department of Architecture – Admissions Talk on: 
BA(Architectural Studies)
BA(Landscape Studies)
BASc(Design+)
followed by a virtual school tour.</t>
  </si>
  <si>
    <t>The Chi Wah Learning Commons (智華館)</t>
  </si>
  <si>
    <t>The Chi Wah Learning Commons (智華館)
Study there the way you want</t>
  </si>
  <si>
    <t>Congratulations to Professor Frank Dikötteron</t>
  </si>
  <si>
    <t>Congratulations to Professor Frank Dikötteron being appointed Senior Fellow at the prestigious Hoover Institution</t>
  </si>
  <si>
    <t>【HKU IDAY2020】Students Sharing (Bachelor of Arts) (in English)</t>
  </si>
  <si>
    <t>【HKU IDAY2020】Students Sharing (EXCH1001) - My Exchange Journey (in English)</t>
  </si>
  <si>
    <t>【HKU IDAY2020】學生教路：理學士 Major/Minor Mix &amp; Match! (in Cantonese)</t>
  </si>
  <si>
    <t>港大理學院提供14科majors同7科intensive majors, 任你mix and match。但係咁多科目俾你揀, 點先可以配搭到適合自己嘅組合呢？等我哋嘅學生詳盡介紹吓唔同Majors Minors, 同埋分享吓佢哋嘅揀科心得啦! 如果你對港大理學士有興趣, 千祈唔好錯過啦！</t>
  </si>
  <si>
    <t>【HKU IDAY2020】學生教路：社會科學學士 Major/Minor Mix &amp; Match! (in Cantonese)</t>
  </si>
  <si>
    <t>港大社會科學學院提供12科majors同14科minors, 任你mix and match。但係咁多科目俾你揀, 點先可以配搭到適合自己嘅組合呢？等我哋嘅學生詳盡介紹吓唔同Majors Minors, 同埋分享吓佢哋嘅揀科心得啦! 如果你對港大社會科學學士有興趣, 千祈唔好錯過啦！</t>
  </si>
  <si>
    <t>【HKU IDAY2020】BASc in Applied Artificial Intelligence [BASc(AppliedAI)] Admissions Talk</t>
  </si>
  <si>
    <t>Join this talk to learn more about Bachelor of Arts and Sciences programmes and interact with HKU professors. Representatives from BASc(Applied AI), BASc(FinTech) and BASc (Design+) will introduce programme highlights and opportunities. 
該講座將介紹跨領域文理學士系列課程的特色及理念。港大教授將解析文理學士（應用人工智能）、文理學士（金融科技）及文理學士(設計+)課程並與觀眾互動。</t>
  </si>
  <si>
    <t>【HKU IDAY2020】Bachelor of Science in Actuarial Science [BSc(AC)] Admissions Talk</t>
  </si>
  <si>
    <t>199th Congregation – Dr. Jack Ma 馬雲 博士</t>
  </si>
  <si>
    <t>In memory of Ms YUEN So Moy 三嫂</t>
  </si>
  <si>
    <t>Wishing you a happy &amp; fulfilling Year of the Dog, starring HKU’s Resident Therapy Dog, Jasper!</t>
  </si>
  <si>
    <t>Wishing you a happy &amp; fulfilling Year of the Dog, starring HKU’s Resident Therapy Dog, Jasper!
港大治療犬熊猫 (Jasper)恭祝萬事如意新歲吉祥！</t>
  </si>
  <si>
    <t>《港大1日遊－醫科篇》</t>
  </si>
  <si>
    <t>每一個醫科生最難忘會唔會係第一次入Anatomy Lab（解剖實驗室）？
今次 #港大1日遊 醫科同學仔帶你走勻Medical Campus 嘅 Learning Commons，Clinical Skills Training Centre同埋可以練到體能嘅「港大長命斜」，仲話埋你知Campus入面邊間餐廳搵好嘢食添！
#港大1日遊
#AspireToInspire #HKU #IDAY #IMONTH #港大十月見
#港大 #HKU #DSE #HKDSE #JUPAS #大學聯招 #聯招 #文憑試 #香港文憑試 #中學 #高中 #HKDSE2022 #DSE2022</t>
  </si>
  <si>
    <t>《港大1日遊－牙科篇》</t>
  </si>
  <si>
    <t>港大牙科一向被視為「神科」🤔，係入面讀書究竟係乜野環境㗎呢？同學仔係咪個個都係 #搏盡型？Campus入面有冇一齊chill嘅地方？
立即睇片⏩等Dental嘅同學仔帶我哋行勻個牙科醫學院啦！
#港大1日遊
#AspireToInspire #HKU #IDAY #IMONTH #港大十月見
#港大 #HKU #DSE #HKDSE #JUPAS #大學聯招 #聯招 #文憑試 #香港文憑試 #中學 #高中 #HKDSE2022 #DSE2022</t>
  </si>
  <si>
    <t>《港大1日遊－建築篇》</t>
  </si>
  <si>
    <t>一幅幅嘅手繪藍圖、3D打印模型、大型水力切割器，仲有建築模型，只要行入建築學院嘅Studio 真係令人覺得大開眼界！今次仲有建築系學生帶你行埋入去Lab嘅深處睇下平時點樣返學！
#港大1日遊
#AspireToInspire #HKU #IDAY #IMONTH #港大十月見
#港大 #HKU #DSE #HKDSE #JUPAS #大學聯招 #聯招 #文憑試 #香港文憑試 #中學 #高中 #HKDSE2022 #DSE2022</t>
  </si>
  <si>
    <t>商業學科大對決</t>
  </si>
  <si>
    <t>喺港大讀商科，係咪個個都金融才俊咁嘅樣？😂😂 係咪個個都會諗住做Start-uppers？今集商業學科大對決有BEcon&amp;Fin、BBA(IBGM)和BBA嘅同學一齊battle，講吓各自嘅課程有咩唔同、會唔會好chur，仲會share佢哋實習嘅難忘事，同埋畢業後諗住點。你都可以參考吓，睇下你將來會唔會想成為佢哋咁？
如果想更加了解港大嘅課程同入學資訊，記得登記參加10月31日嘅網上入學資訊日。立即登記 👉👉hkuinfoday.vfairs.com
#AspireToInspire #HKU #IDAY #IMONTH #港大十月見
#港大#HKU #DSE #HKDSE #JUPAS #大學聯招 #聯招 #文憑試 #香港文憑試 #中學 #高中#HKDSE2022 #DSE2022</t>
  </si>
  <si>
    <t>From 9am to 6pm (HK Time) on October 31, HKU will be hosting a Virtual Information Day where you’ll obtain first-hand admissions information. Sit back, relax and visit different booths, join admissions talks and interactive live chat sessions with our professors and students!
🙋🙋‍♂‍Feel free to invite your friends (and parents 😏😏), can’t wait to see you all virtually!
👉👉 Attend virtual Information Day: https://hkuinfoday.vfairs.com/
#hku #tieswithhku #thrivewithhku #hkuintl #hkuers #hkuer #hk #university #college #application #admissions</t>
  </si>
  <si>
    <t>法律學科大對決（下）</t>
  </si>
  <si>
    <t>上集就講讀法律嘅苦與樂，今集一班法律課程嘅學生就分享返同學應該點揀 single degree 嘅LLB同其他double degrees、兩者有咩唔同，以及讀各自嘅法律課程，學生會有嘅特質。想知有無講中你？就要留意片段啦😂😂
#AspireToInspire #HKU #IDAY #IMONTH #港大十月見
#港大 #HKU #DSE #HKDSE #JUPAS #大學聯招 #聯招 #文憑試 #香港文憑試 #中學 #高中 #HKDSE2022 #DSE2022</t>
  </si>
  <si>
    <t>法律學科大對決（上）</t>
  </si>
  <si>
    <t>要喺香港讀法律，第一時間一定諗起HKU。港大除咗法律學士（LLB）之外，仲有幾個Law相關嘅雙學位課程。今集法律學院大對決除咗有LLB嘅同學，仲有 BSS(GL)&amp;LLB （俗稱GLAW）同BBA(Law)&amp;LLB嘅同學一齊「對決」，傾吓各自嘅課程有咩唔同，鬥吓邊個chur啲同多sources啲😂😂
#仲有下集密切留意 
#AspireToInspire #HKU #IDAY #IMONTH #港大十月見
#港大 #HKU #DSE #HKDSE #JUPAS #大學聯招 #聯招 #文憑試 #香港文憑試 #中學 #高中 #HKDSE2022 #DSE2022</t>
  </si>
  <si>
    <t>教育學科大對決（下）</t>
  </si>
  <si>
    <t>讀教育係咪真係要做老師？究竟大家對教育課程嘅出路又知道幾多呢？今次三位教育學院開師兄師姐，就同大家分享喺港大讀教育究竟有幾正👍👍👍 同埋究竟要具備咩特質，先適合讀教育相關課程，想知有無講中你？就要睇片喇🎥
#AspireToInspire #HKU #IDAY #IMONTH #港大十月見
#港大 #HKU #DSE #HKDSE #JUPAS #大學聯招 #聯招 #文憑試 #香港文憑試 #中學 #高中 #HKDSE2022 #DSE2022</t>
  </si>
  <si>
    <t>教育學科大對決（上）</t>
  </si>
  <si>
    <t>想入讀教育學科嘅你，對港大咁多個教育課程了解嗎？今集香港大學教育學科大對決（上）三位師兄師姐，就同大家拆解港大各個教育學院課程嘅異同之處，同以過來人身份分享點去選擇適合自己嘅教育學院課程，仲有佢哋出實習嘅難忘經歷。
#AspireToInspire #HKU #IDAY #IMONTH #港大十月見
#港大 #HKU #DSE #HKDSE #JUPAS #大學聯招 #聯招 #文憑試 #香港文憑試 #中學 #高中 #HKDSE2022 #DSE2022</t>
  </si>
  <si>
    <t>《我在港大遇見的三種人－浪子型》</t>
  </si>
  <si>
    <t>隨心嘅 #佛系型、熱血嘅 #搏盡型、 ...仲有一種就係樂於嘗試唔同嘅事情嘅 #浪子型，不求搏盡「#大學五件事」，但求參與更多、見識更廣，發現不一樣嘅大學生活體驗🔍
就如片入面呢位同學就盡量安排到更多嘅自由時間，等自己可以參加更多唔同活動，仲可以識多啲朋友添👬👫👭！
了解更多👉：http://infoday.hku.hk
睇埋港大三種人另外兩種：💁‍♂️
💪🏻搏盡型：https://youtu.be/JR5IAn4yecI
🙏🏻佛系型：https://youtu.be/g5_uKM3TGTA
#港大三種人 #你覺得你係邊種人
#AspireToInspire #HKU #IDAY #IMONTH #港大十月見
#港大 #HKU #DSE #HKDSE #JUPAS #大學聯招 #聯招 #文憑試 #香港文憑試 #中學 #高中 #HKDSE2022 #DSE2022</t>
  </si>
  <si>
    <t>《我在港大遇見的三種人－佛系型》</t>
  </si>
  <si>
    <t>《我在港大遇見的三種人－佛系型》
正所謂「你高興就好了」，片入呢位佛系型學生隨心住hall🙆‍♀️，隨心上莊，輕鬆自在，一切隨緣，佛系讀U都係歎盡大學生活嘅一種方式☺️！
了解更多👉：http://infoday.hku.hk
想知港大仲有邊類型嘅人？💁‍♂️
搏盡型：https://youtu.be/JR5IAn4yecI
#港大三種人 #你覺得你係邊種人 
#AspireToInspire #HKU #IDAY #IMONTH #港大十月見
#港大 #HKU #DSE #HKDSE #JUPAS #大學聯招 #聯招 #文憑試 #香港文憑試 #中學 #高中 #HKDSE2022 #DSE2022</t>
  </si>
  <si>
    <t>U-Vision takes you around the campus in 360°</t>
  </si>
  <si>
    <t>《我在港大遇見的三種人－搏盡型》</t>
  </si>
  <si>
    <t>《我在港大遇見的三種人－搏盡型》
港大嘅學生係🤔讀書型、努力讀書型、同非常努力讀書型？📖📄📚📙📝
我地做咗個非正式調查，大部分同學表示以下3種學生就比較常見，分別係 #搏盡型、#浪子型、#佛系型！
搏盡型即係點？片入面呢位瘋狂摺拉嘅同學仔就係一個 搏盡型嘅人版做足「#大學五件事」，每件事都搏到盡，搏盡咁上莊、住hall、拍拖、讀書同做part time，將來畢業後先唔會後悔呀😜！
了解更多👉：http://infoday.hku.hk
#港大三種人 #你覺得你係邊種人
#AspireToInspire #HKU #IDAY #IMONTH #港大十月見
#港大 #HKU #DSE #HKDSE #JUPAS #大學聯招 #聯招 #文憑試 #香港文憑試 #中學 #高中 #HKDSE2022 #DSE2022</t>
  </si>
  <si>
    <t>Highlights of the Degree Show 2019
The Degree Show is an annual exhibition of thesis projects produced by the Master of Architecture Degree final year students in the Department of Architecture of The University of Hong Kong. These projects represent the students’ reflection, vision and imagination of the built-environment, their concerns with the social and cultural milieus as well as their determination to engage in and design new spaces for contemporary conditions in our societies. Included in the Degree Show are graduation projects of the Bachelor of Arts in Architectural Studies and the Master of Architecture.</t>
  </si>
  <si>
    <t>The Main Building - A Century in Photos
歲月印記 - 本部大樓百年風貌</t>
  </si>
  <si>
    <t>In memory of Mr Lui Kwan Fat 發叔</t>
  </si>
  <si>
    <t>The HKU family honours with affection and gratitude our HKUSU colleague and Honorary University Fellow, Mr LUI Kwan Fat – more affectionately known as Uncle Fat – for his lifetime of loyal service to the University and his unwavering, heartfelt commitment to helping our students make the most of university life. 香港大學衷心感謝呂君發先生(2013年度名譽大學院士)一生竭誠在港大服務，全心全意幫助港大同學感受精彩的校園生活，成就大學里程的篇章！</t>
  </si>
  <si>
    <t>八十載母校情   一世紀赤子心
送別何鴻燊博士
Dr Ho studied science at HKU in 1939 until the war broke out in 1941, and was a proud resident of Ricci Hall. He was conferred the Doctor of Social Sciences honoris causa by his alma mater in 1987. For decades the HKU family has been blessed by his loyalty, leadership and generosity. Dr Ho's contributions to the University all bear witness to his passion for education and commitment to future generations. Dr Ho will be fondly remembered for his exceptional devotion and love for the University. He will remain forever part of the HKU legacy.</t>
  </si>
  <si>
    <t>港大文理學士BASc課程 跨學科未來專才的大家庭</t>
  </si>
  <si>
    <t>科技發展急速，對跨學科人才的需求將會有增無減。港大推出的五個以跨學科學習為設計的本科學位課程「文理學士」系列，學生有如在一個「跨學科家庭」成長，既學到專業的知識，又可與其他範疇的同學、老師緊密協作、交流，吸收各方面的技能，體會不同學科之間的關連。透過跨學科學習所獲得的知識和技能，畢業生將具有國際視野和跨領域思考能力，成為炙手可熱的未來專才。
#文理學士 #BASC #Interdisciplinary</t>
  </si>
  <si>
    <t>港大文理學士BASc課程 應未來跨學科人才需求</t>
  </si>
  <si>
    <t>隨著科技發展，行業、工種、人才需求都在不停革新。未來十年，單一專業可能並不足以應付科技需求，跨學科(interedisciplinary)的人才將更受企業青睞，擁有跨學科才能的人，不論在什麼專業都能更有效地發展所長。三位從事科技產業、走在技術發展前端的領導者都表示，市場對跨專業人才的需求正急劇增加，未來被看重的人才，將需具備更強、更靈活的學習能力，尤其是跨領域學習能力，而港大文理學士課程的畢業生，正具備這個跨學科的優勢，將來畢業可成為炙手可熱的人才。
#文理學士 #BASC #Interdisciplinary</t>
  </si>
  <si>
    <t>港大工學學士（生物醫學工程）課程簡介</t>
  </si>
  <si>
    <t>「HKU Sync with U」音樂打氣接力計劃啟動 HKU Sync with U" Music Relay Project kicks off</t>
  </si>
  <si>
    <t>【「HKU Sync with U」音樂打氣接力計劃啟動 🎼】
音樂有治癒心靈的作用。柔和的音樂，可以使人放鬆心情；輕快的音樂，可以使人心情愉悅；振奮的音樂，可以使人充滿力量。☺️
「HKU Sync with U」計劃由港大發起，並邀得多間香港中學的樂團大力支持，當中包括聖保羅男女中學、拔萃男書院、拔萃女書院、喇沙書院及聖公會曾肇添中學。師生們在抗疫期間留家隔空合奏，以激昂動人的音樂，將正能量帶給DSE考生、前線醫護、清潔工人幾每一位香港人，為各界打氣。
港大希望更多中學可以參與這個計劃，用音樂把愛傳開。
【"HKU Sync with U" music relay project kick-off 🎼】
Music heals the soul. Soft music can give people relaxation; light music can bring people happiness; uplifting music can give people strength. ☺️
The "HKU Sync with U " project was initiated by HKU and received great support from many Hong Kong secondary schools' music teams including St. Paul’s Co-educational College, Diocesan Boys' College, Diocesan Girls ’College, La Salle College and S.K.H. Tsang Shiu Tim Secondary School. The moving music produced will bring positive vibe to DSE candidates, front line healthcare workers, cleaners and every HongKonger.
We hope to see more secondary schools participate in this project and spread love through music.
HKU Sync with U, Stand by U 💪</t>
  </si>
  <si>
    <t>港大為2020DSE打氣 - 港大篇（二）</t>
  </si>
  <si>
    <t>【#為DSE打氣 - 港大篇】HKDSE開考，港大每日為DSE考生打氣👏🏻👏🏻
上星期有港大師生拍片打氣，考生亦順利考完一星期嘅考試，開始適應考場嘅新安排，有無淡定啲？
終點在望，搏盡無悔！睇埋我地師生親手嘅寫加油字句，滿滿正能量，繼續奮戰DSE🥳
#DSE開考
#港大StandByU
#撐你到放榜</t>
  </si>
  <si>
    <t>港大為2020DSE打氣 - 音樂篇</t>
  </si>
  <si>
    <t>HKDSE開考，港大每日為DSE考生打氣👏🏻👏🏻
溫書都要適當放鬆心情，香港大學學生大使 Michael 聯同一班來自香港大學學生會管弦樂團的學生，以管弦樂形式在家隔空合奏 《青春頌》，勉勵考生「别忘掉原是靠堅持醫好每個傷患」，積極面對考試。
#DSE開考
#港大StandByU
#撐你到放榜</t>
  </si>
  <si>
    <t>港大為2020DSE打氣 - 港大篇</t>
  </si>
  <si>
    <t>今日HKDSE⏰開考，輪到我哋親自為你哋DSE考生❤️打氣👏🏻
各位做好自己，搏盡無悔 💪好快港大見😊
#DSE開考
#港大StandByU
#撐你到放榜</t>
  </si>
  <si>
    <t>港大為2020DSE打氣 - 臨考篇</t>
  </si>
  <si>
    <t>HKDSE開考，港大每日為DSE考生打氣👏🏻👏🏻
第四集提提大家最後入到考場要攞啲咩出嚟🖊📐，仲有記得唔好重複犯錯🤳🙅‍♀️
仲要睇多幾次，同埋share俾其他DSE buddies 😊
#一連四集
#港大StandByU
#撐你到放榜</t>
  </si>
  <si>
    <t>港大為2020DSE打氣 - 考場篇</t>
  </si>
  <si>
    <t>HKDSE開考，港大每日為DSE考生打氣👏🏻👏🏻
第三集提提大家去到考場🤓有咩留意，唔好掛住做last minute fighter📚📖
仲要睇多幾次，同埋share俾其他DSE buddies 😊
#一連四集
#港大StandByU
#撐你到放榜</t>
  </si>
  <si>
    <t>港大為2020DSE打氣 - 搭車篇</t>
  </si>
  <si>
    <t>HKDSE開考，港大每日為DSE考生打氣👏🏻👏🏻
第二集提提大家搭車🚈🚌要注意啲咩，唔好搭過站😱
仲要睇多幾次，同埋share俾其他DSE buddies 😊
#一連四集
#港大StandByU
#撐你到放榜</t>
  </si>
  <si>
    <t>港大為2020DSE打氣 - 出門篇</t>
  </si>
  <si>
    <t>HKDSE開考，港大每日為DSE考生打氣👏🏻👏🏻
第一集提提大家出門去考場前要留意嘅野，記得睇曬條片，唔好執漏野💯
仲要睇多幾次，同埋share俾其他DSE buddies 😊
#一連四集
#港大StandByU
#撐你到放榜</t>
  </si>
  <si>
    <t>The four-day STEM symposium gives students a first-hand experience of the latest trends in technology, science and mathematics. Students are taught to consider issues from various perspectives and examine the connections between disciplines. The goal is to inspire participants to think across disciplines like artificial intelligence, financial technology, global health development, and design to tackle interconnected social problems and achieve “Innovation and Transformation for Better Living”. 
Students work in groups to design a new concept, product, or service in response to a current issue of their choice. The event culminates in a group project presentation. Judged by academics and industry professionals, the winning project will receive awards and scholarships towards Academy programmes and internship opportunities offered by selected companies.</t>
  </si>
  <si>
    <t>New Academy members are invited to the annual inauguration ceremony and two-day camp to experience life as a student on HKU’s cosmopolitan campus. The event concludes with an awards ceremony in recognition of outstanding Academy scholars.
#HKU #AcademyForTheTalented</t>
  </si>
  <si>
    <t>School of Chinese Admissions Talk 2019 (Eng Version）</t>
  </si>
  <si>
    <t>School of Chinese Admissions Talk 2019 (Chin Version）</t>
  </si>
  <si>
    <t>JUPAS聯招Band A排位策略（2020入學必睇）</t>
  </si>
  <si>
    <t>#HKUTalks #JMSCHKU #Journalism 
The Bachelor of Journalism programme is a communications-focused double-major curriculum for the digital age. Students use the journalism component of the programme to build critical thinking and communications skills across multiple media; by the end of the four-year programme they will be able to produce accurate and deeply researched written work on a variety of subjects, shoot and edit compelling video documentaries, and create data-driven online journalism. Graduates are highly valued by employers from a wide range of communications-intensive fields, such as public relations, law, education, government, and of course media.
In their second year, each student will choose another academic major to combine with the journalism component, thus creating a bespoke degree that will allow them to explore fully their unique intellectual interests, whether in other social sciences like sociology, politics, and economics, or in computer science, music, fine arts, language, or literature – to mention just a few of the choices recent graduates have made.
Throughout the programme, the emphasis is on experiential real-world learning. All students will complete at least one summer internship at a media publication or other communications-focused organization. Students also can spend a semester abroad at one of six top overseas journalism schools or one of HKU’s partner institutions.
A diverse faculty and student body ensures a lively learning environment that feeds students’ curiosity about the world. Current faculty members of HKU’s Journalism &amp; Media Studies Centre (JMSC) hail from North America, Europe, Asia, and Australia, while more than two dozen nationalities are represented among current students and recent graduates. Class size is kept small, to foster classroom discussion as well as the family feeling that makes the JMSC a very special place at HKU.</t>
  </si>
  <si>
    <t>#HKUTalks #HKUBASc #Admissions 
The BASc programme is designed for intellectually ambitious students who want to take control of their learning and develop a broad set of scholarly skills in order to become leaders across a diverse range of fields to meet important global challenges.  The BASc aims to equip students with social intelligence, creative problem-solving and analytical skills (both qualitative and quantitative), communication skills, ethical responsibility, and nurture them on how to take an interdisciplinary perspective in understanding our world.  Global problems won’t get solved with a traditional curriculum; the BASc programme helps students to make connections and changes in the world. The programme is built on two pedagogical principles. First, students undertake high-quality training from different disciplines: Social Sciences, Sciences, Arts and Humanities. Second, students develop the intellectual toolkit to learn how to intersect disciplines and integrate them through case studies, capstone experiences and learning from thought leaders, movers, and shakers in relevant employment sectors and professions.</t>
  </si>
  <si>
    <t>The BASc(GHD) programme, the first of its kind in Asia, provides students with the knowledge and competencies necessary to effectively engage with today’s rapidly evolving, international and interdisciplinary environment, and to respond to complex global health and development challenges. This highly innovative interdisciplinary programme focuses on the impact of major global trends such as globalisation, population growth, ageing, urbanisation, and climate change, in which health and development are intertwined.</t>
  </si>
  <si>
    <t>港大本科入學講座2019(副學士及高級文憑課程學生適用) HKU Admissions Talk 2019 for Sub-degree Students</t>
  </si>
  <si>
    <t>港大本科入學講座2019(香港中學文憑試學生適用) HKU Admissions Talk 2019 for HKDSE Students</t>
  </si>
  <si>
    <t>港大本科入學講座2019(非聯招及國際學生適用) HKU Admissions Talk 2019 for non-JUPAS/International Students</t>
  </si>
  <si>
    <t>#HKUTalks #HKUArchitecture #architect
Speaker In This Video: 
Professor Nasrine Seraji AA DIPL FRIBA
·The University of Hong Kong – Professor – Department of Architecture
· Atelier Seraji Architectes et Associés (ASAA) Founder and Principal -1988-2018
· New Agency for Speculative Architectures (NASA LTD. HK) Founder and Principal since 2018
-------------------------------------------------------------------------------------------------------------------------------------------
The Bachelor of Arts in Architectural Studies is the first degree needed to qualify as an architect and provides an excellent general education that gives students the confidence to pursue related careers both within the design professions and further afield.
The course of study is centred on research-based learning in the design studio and is structured to foster a sense of community, develop deep knowledge of the discipline, and encourage creativity.</t>
  </si>
  <si>
    <t>#HKUTalks #HKUSpeech #SpeechTherapy
This programme offers students a solid theoretical background in normal human communication and swallowing, and their disorders. Courses cover subject knowledge in related disciplines of medicine, psychology, English and Cantonese linguistics and hearing sciences.  The curriculum employs a student-centred, “translational learning” approach. Students will be engaged in lectures, self-directed learning, case-based learning, small group learning, and clinical practice. The curriculum will provide many opportunities for students to apply theory to practice and become a competent and adaptive speech therapist upon completion of their five-year courses.</t>
  </si>
  <si>
    <t>#HKUTalks #HKUDoubleDegree #TeachingEnglish 
This double-degree curriculum allows students to obtain two degrees in five years and to meet the language requirements for English Language teachers recommended by the HKSAR Government’s Standing Committee on Language Education and Research. Students pursue a programme of study in English Language and Linguistics in the Faculty of Arts, along with Education Professional Core courses in the Faculty of Education. Professional aspects of the double degree are phased in gradually over the five years, including pedagogy, psychological and sociological courses, and teaching practice in Hong Kong primary and secondary schools.</t>
  </si>
  <si>
    <t>港大本科學習 HKU Undergraduate Studies Explained</t>
  </si>
  <si>
    <t>【港大本科入學講座2019】在港大讀書到底是怎樣一回事？大學四年應該如何規劃？如何在港大Work Hard Play Hard？港大又怎樣提供豐富的機會，讓每個學生可以建構出獨一無二的大學生涯？
以上問題，讓香港大學收生及國際生交流事務總監嚴志堅教授為大家詳細介紹。
How is studying at HKU like? How you should plan for your university years? How to "work hard play hard" at HKU? And what kind of opportunities could HKU provide to the students for them to create their unique experience?
Watch this video and our Director of Undergraduate Admissions and International Student Exchange, Professor Bennett Yim will explain to you in detail.
#HKU #HKUTalks #HKULife</t>
  </si>
  <si>
    <t>#HKUTalks #HKUScience #Science 
The BSC programme provides comprehensive training in science that
 Develops students’ capabilities in quantitative and logical reasoning
 Cultivate students’ ability to tackle novel situations and solve complex problems
Features
 One entry in application for a choice of 14 Science Majors and 6 Intensive Majors
 Up to 2 years time to choose a Major
 Flexibility in changing Majors
 No quota for any Science Major
 Students may take a 2nd Major or a Minor or 2nd Minors in Science and non-science disciplines
 One-on-one academic advice</t>
  </si>
  <si>
    <t>#HKUTalks #HKUScience #HKUQFin
The BSc(QFin) programme does not focus solely on quantitative skills. Its curriculum is designed to train rounded individuals who know how to apply quantitative skills to real-world problems in finance and also possess professional knowledge about financial markets. To nurture students’ soft skills and market acumen, the programme also offers a range of value-enhancing activities in collaboration with professional financial practitioners, such as Round Tables with Practitioners, the Executive Mentoring Scheme, Bloomberg workshops and field trips to international financial centres such as New York, London and Zurich.</t>
  </si>
  <si>
    <t>The Faculty of Business and Economics takes an entrepreneurial approach to meeting the challenges of a rapidly changing economic and business environment by drawing together the strengths of six academic areas, namely Accounting and Law, Economics, Finance, Innovation and Information Management, Management and Strategy, and Marketing.
The Faculty not only equips students with the vision and practical tools necessary to become successful business leaders in Hong Kong, Greater China and further afield, but also provides a strong grounding in both theoretical and applied aspects of economics, allowing students to analyse how business and policy decisions are made in a dynamic world. 
A hallmark of our Faculty that separates us from the others is our truly multi-disciplinary approach.  Our Faculty's tremendous wealth of resources offers students with a wide array of choices to combine studies in economics and finance, accounting and finance, business and law, business and computer studies, and international business and global management.
In addition, our postgraduate programmes are offered to enhance students’ knowledge and competitiveness in the globalized economy.  Our curricula are revised on a regular basis to incorporate recent developments in different fields of study, and to reflect the ever-changing needs of our students and society at large.</t>
  </si>
  <si>
    <t>Bachelor of Education and Bachelor of Science 2017 Graduates’ Sharing</t>
  </si>
  <si>
    <t>#HKUTalks #HKUPsychology #HKUSoSci
This programme allows students to develop basic skills across all areas of psychology, including the biological and cognitive bases of behaviour, developmental changes, social influences, and psychopathology.
The Psychology Department offers a broad range of courses and is committed to designing the most appropriate learning experiences that suit students’ needs, sharing with them the exciting development in psychology, and helping them achieve the required level of academic competence. The undergraduate curricula prepare students for a career in business, management or education; sales and marketing; or for graduate study in any area of psychology (including training to be a clinical or educational psychologist).</t>
  </si>
  <si>
    <t>#HKUTalks #HKUEducation #EarlyChildhood 
The BEd (ECE&amp;SE) Programme qualifies graduates to nurture and teach children from birth to six years in diverse early childhood settings. The programme fully integrates early childhood education with inclusive education hence students will be prepared to recognise children’s diverse needs and effectively support children with both typical and atypical development. The programme combines rigorous academic study with experiential learning, internship and exchange, and practical application.</t>
  </si>
  <si>
    <t>#HKUTalks #HKUScience #scientist
The BSC programme provides a comprehensive training in science that
- Develops students’ capabilities in quantitative and logical reasoning
- Cultivates students’ ability to tackle novel situations and solve complex problems
Features
- One entry in application for a choice of 14 Science Majors and 6 Intensive Majors
- Up to 2 years time to choose a Major
- Flexibility in changing Majors
- No quota for any Science Major
- Students may take a 2nd Major or a Minor or 2nd Minors in Science and non-science disciplines
- One-on-one academic advice</t>
  </si>
  <si>
    <t>#HKUTalks #HKUEducation #teachers
This double-degree curriculum allows students to obtain two degrees in five years and to meet the language requirements for Chinese Language teachers recommended by the HKSAR Government’s Standing Committee on Language Education and Research. Students pursue a programme of study in Chinese Language and Literature in the Faculty of Arts, along with Education Professional Core courses in the Faculty of Education. Professional aspects of the double degree are phased in gradually over the five years, including pedagogy, psychological and sociological courses, and teaching practice in Hong Kong primary and secondary schools.</t>
  </si>
  <si>
    <t>['HKU', 'University of Hong Kong', 'Finance', 'AMPB', 'private banking', '港大', '私人銀行', '資產管理', 'asset management', '香港大學']</t>
  </si>
  <si>
    <t>Study at HKU is about... 喺港大，我可以......</t>
  </si>
  <si>
    <t>Not just about academics, as we "Work Hard Play Hard"
我地唔係淨係讀書，更會 “Work Hard Play Hard"
#HKU #港大生活 #讀得玩得</t>
  </si>
  <si>
    <t>港大 2019 大學聯招（JUPAS）Band A 排位策略（有字幕提供）</t>
  </si>
  <si>
    <t>【#DSE放榜 Band A攻略】還有幾日就放榜，相信各位應屆DSE考生都要為自己的JUPAS作最後排位準備，尤其是Band A1、2、3的課程選擇。如何可以入到自己最心儀的課程？而入港大又有什麼特別要注意的地方？讓港大入學及學術交流部高級項目經理李欣怡（Vanessa）為大家拆解！
#放榜前一定要睇
#Share俾DSE戰友 
DSE2019放榜在即，密切留意港大網站，重要資訊不定時放送：http://www.hku.hk/dse
#DSE19 #2019DSE #HKDSE #大學聯招 #升學 #聯招 #中學文憑試 #文憑試 #JUPAS排位 #dse必備#HKU #DSE2019 #港大 #香港大學</t>
  </si>
  <si>
    <t>As Hong Kong’s most sought-after university, The University of Hong Kong (HKU) has cemented
its position as a leading destination and research hub for outstanding students from around the world. Exceptional academic standards, a passion for international relations, an unwavering commitment to service, and an appetite for innovation are the hallmarks of a HKU student. The University’s near-perfect employment record sees graduates go on to work for some of the most desirable companies in the world.</t>
  </si>
  <si>
    <t>The 3-day STEM symposium gives students a firsthand experience of latest trends in technology, science and mathematics. But, most importantly, it trains students to think of issues from various perspectives and examine the connections between disciplines. The goal is to inspire students to integrate knowledge of disciplines like Artificial Intelligence, Financial Technology, Global Health Development and Design to address interconnected social problems and achieve “Innovation and Transfomation for Better Living”. 
Students work on a group project in groups which requires students to design a new concept, a product or a service to address a current issue of their choice. The event will culminate with a group project presentation. Best project judged by academics and industry professionals will receive awards and scholarships to attend other programmes organized by the HKU Academy for the Talented, as well as internship opportunities offered by selected companies.</t>
  </si>
  <si>
    <t>How to apply to HKU – A step by step guide</t>
  </si>
  <si>
    <t>HKU organized an International symposium on STEM education from 28-30 July, 2017. It brought together over 100 talented students from Hong Kong and overseas from across 14 countries (China, France, India, Japan, Kazakhstan, Korea, Malaysia, Netherlands, Singapore, South Tajikistan, Thailand, Turkey, UK, US) to HKU campus.
Check out the recap video prepared by Technology-Enriched Learning Initiative (TeLi) and see how exciting the STEM symposium was 😄 Lots of laughter and lots of fun!</t>
  </si>
  <si>
    <t>港大沙龍：楊力州與龍應台</t>
  </si>
  <si>
    <t>Yang Li-chou and Lung Yingtai 
Date: 15 Mar 2017
Time: 6:30pm - 9:30pm
Venue: Yuet Ming Auditorium, Chong Yuet Ming Cultural Centre, HKU
Medium: Mandarin
Speakers:
楊力州 Yang Li-chou　（《我們的那時此刻》導演）
龍應台 Lung Yingtai　（香港大學孔梁巧玲傑出人文學者）
Organiser: General Education Unit, The University of Hong Kong
Supported by:
HKU Culture &amp; Humanities Fund
Robert Black College
CYM Cultural Centre
你的人生有多少時刻，能用某部華語電影做為註腳？某句台詞、某首主題曲作為旁白？紀錄片《我們的那時此刻》描寫從一代強人到一般百姓、從政府到民間，每個人都有屬於自己的電影故事與人生回憶。
楊力州與龍應台，用電影，講五十年的台灣歲月。
Details: http://gened.hku.hk/newsevents/detail?id=609</t>
  </si>
  <si>
    <t>Experience HKU in 360°</t>
  </si>
  <si>
    <t>Wonder how you can explore the beauty of HKU Campus when you’re not here? Technology is here to help. Here we present our first 360 video - you will visit our favourite spots at HKU with our student ambassador Josephine and Julian! Put on your VR headset and immerse into their life at HKU!
#HKU #HKUnique #HKU360 #HKUVR #HKUCampusTour</t>
  </si>
  <si>
    <t>Learn more about how CEDARS-CoPE’s services benefit your university life www.hku.hk/cedars/cope
Video credit: HKU U-Vision 
uvision.hku.hk</t>
  </si>
  <si>
    <t>Watch Highlights of the Architecture Degree Show &amp; Public Review 2016 – http://uvision.hku.hk/m/20168</t>
  </si>
  <si>
    <t>In Memory of Thomas Cheung 張耀升(BSc 2008)</t>
  </si>
  <si>
    <t>HKU Information Day 2015 - JUPAS Admissions Talk Highlights
Talk conducted by Dr. Philip SL Beh, Chairman of University Admissions Committee
香港大學本科入學資訊日 2015 - 聯招入學講座精華重溫，由大學收生遴選委員會主席馬宣立博士主講
For more information, please visit:
The University of Hong Kong - http://hku.hk
HKU Information Day - http://www.infoday.hku.hk
HKU Around the World - http://global.hku.hk
Undergraduate Admissions for JUPAS Students - http://hku.hk/dse
International Undergrduate Admissions - http://hku.hk/international</t>
  </si>
  <si>
    <t>The University of Hong Kong’s wide range of interdisciplinary research in health sciences reflects its commitment to finding novel solutions for a healthier world.</t>
  </si>
  <si>
    <t>香港大學 - 開健康新天 (HKU - Creating a Healthier World)</t>
  </si>
  <si>
    <t>The communal area, namely, Gatherland of the General Education Unit--2/F, Pao Siu Loong Building--is recently refurbished to give more leisure space for students’ self-organized activities and quiet environment for students to study and organize discussion groups. It is a cozy and relaxing place for reading, movie-watching, meeting, chatting and coffee-sipping...
Video credit: HKU U-Vision 
uvision.hku.hk</t>
  </si>
  <si>
    <t>In Memory of Dr. Esther M.K. Cheung
http://uvision.hku.hk/playvideo.php?mid=19043
Esteemed scholar and award-winning educator, Esther M.K. Cheung, passed away on February 9, 2015, in Hong Kong. 
We will always remember her as an intellectual scholar, an inspiring teacher, a wonderful colleague and a talented creative writer. A tribute to Dr. Esther Cheung from Colleagues in the Department of Comparative Literature and Hong Kong Studies can be found here: http://arts.hku.hk/news/remembering-esther-cheung 
A Memorial Gathering in Dr. Esther Cheung’s honour will be held on March 13 at Loke Yew Hall (from 7pm to 8:30pm)
Registration: http://hkuems1.hku.hk/hkuems/ec_hdetail.aspx?UEID=35473&amp;guest=Y
Video credit: HKU U-Vision 
uvision.hku.hk</t>
  </si>
  <si>
    <t>喜迎新歲：恭祝 三陽開泰  四季吉祥
Video credit: HKU U-Vision 
uvision.hku.hk</t>
  </si>
  <si>
    <t>The MTR is coming to town – learn about the quickest path to the university campus from the brand new HKU station opening on Dec. 28th, 2014
Video credit: HKU U-Vision 
uvision.hku.hk</t>
  </si>
  <si>
    <t>港大學生大使dse支援組-Medicine video</t>
  </si>
  <si>
    <t>港大學生大使DSE支援組 HKU DSE Mentors Support Group 2014</t>
  </si>
  <si>
    <t>DSE 達人幫到你!
- Created by HKU Student Ambassadors</t>
  </si>
  <si>
    <t>['HKU', 'University of Hong Kong', 'dse', 'hong kong', 'hong kong university', 'student ambassadors', '港大學生大使DSE支援組', 'DSE 達人幫到你!', 'DSE支援組', '港大DSE', 'HKUDSE', 'HKUSA', 'DSE mentors', 'The University Of Hong Kong (College/University)']</t>
  </si>
  <si>
    <t>All the Best, Lap-Chee! 立之，珍重！</t>
  </si>
  <si>
    <t>謹祝 龍年吉祥 萬事如意 Wishing you every success in the Year of the Dragon!</t>
  </si>
  <si>
    <t>HKU's A capella Group MOSAIC performs Stand By Me (維他奶廣告歌)</t>
  </si>
  <si>
    <t>HKU's very own a capella group performs Stand By Me (Vitasoy Commercial)!_x000D_
_x000D_
Mosaic《大學5.5件事》慈善無伴奏合唱音樂劇 - Stand by me (維他奶廣告歌) _x000D_
Mosaic《College 5.5》Charity A cappella Musical - Stand by me (Vitasoy advertisement) _x000D_
_x000D_
作曲：陳光榮_x000D_
填詞：Karen Wong_x000D_
編曲：Chan Ying Chi @ Mosaic_x000D_
_x000D_
伴我開玩笑 悶了相約見_x000D_
年月裏頭天天笑未停_x000D_
日記交換了 風雨擋住了_x000D_
傻氣故事總不缺少_x000D_
你 你的真摯使我沒疲累_x000D_
天真分享夢想_x000D_
這快樂 延續到秋冬_x000D_
Stand by me_x000D_
_x000D_
你 你的真摯使我沒疲累_x000D_
天真分享夢想_x000D_
這快樂 延續到秋冬_x000D_
Stand by me_x000D_
Stand by me_x000D_
Stand by me_x000D_
_x000D_
==============_x000D_
Official Website 官方網站: http://www.mosaichk.org_x000D_
YouTube Channel: http://www.youtube.com/mosaichk_x000D_
Facebook Page: http://www.facebook.com/mosaichk_x000D_
Twitter: http://www.twitter.com/mosaichk_x000D_
Booking or Enquiry: info@mosaichk.org</t>
  </si>
  <si>
    <t>['Mosaic', 'Stand', 'by', 'Me', 'Stand by me', '維他奶', '廣告歌', 'Vitasoy', 'Ad', 'Advertisement', 'HKU', 'a cappella', 'Acappella', 'Acapella', 'University of Hong Kong', '香港大學', 'College', '5.5', '大學5.5件事', '無伴奏合唱', '音樂劇', 'Musical', 'vocal']</t>
  </si>
  <si>
    <t>十年情十年成  The 10th Anniversary of HKU Mainland Admission</t>
  </si>
  <si>
    <t>24-Oct-2009</t>
  </si>
  <si>
    <t>不“疫”“樂”乎 -文藝雲匯演 - 京港大學聯盟專場</t>
  </si>
  <si>
    <t>香港中文大學內地及大中華發展處（本處）與內地伙伴院校聯手舉辦「不“疫”“樂”乎 - 文藝雲匯演」活動，是次為京港大學聯盟專場。雲滙演將於9月30日星期五晚上8時於線上舉行，誠意邀請您的參與。
支持單位
京港大學聯盟 
表演團體（按筆劃序）
中國人民大學藝術學院
中國科學院大學鴻雁舞蹈團
北京大學 
北京工業大學北京PMC音樂愛好者協會
香港中文大學崇基合唱團及管弦樂團
香港科技大學 二人合唱及Tunatics清唱團
簡介
「不“疫”“樂”乎 - 文藝雲匯演」由香港中文大學與內地夥伴院校聯手舉辦，期望在疫情中搭建線上交流平台，讓兩地同學在逆境時刻互相砥礪，透過欣賞及參與樂團、歌唱、歌劇、戲曲等多元化表演，保持身心健康，發放正能量，樂觀應對疫情帶來的挑戰。雲匯演計劃於每個月最後一個周五舉行，每次匯演時間約一小時。
榮譽顧問
香港中文大學音樂系系主任劉長江教授
香港中文大學新聞與傳播學院馮應謙教授
香港中文大學音樂系官美如教授
China Engagement Office (CEO) of The Chinese University of Hong Kong and partner universities jointly organized Pleasure in the Pandemic Joint Performance. This performance is a Beijing-Hong Kong University Alliance special concert. The performance will be held on 30 September (Friday) at 8pm online. We cordially invite you to join us.
Supported by 
Beijing-Hong Kong University Alliance
Performing Ensembles
School of Arts, Renmin University of China
Hongyan Dance Company, University of Chinese Academy of Sciences
Peking University 
Public Music Club, Beijing University of Technology
Chung Chi Choir &amp; Chung Chi Orchestra, The Chinese University of Hong Kong
Vocal Duet and Tunatics, The Hong Kong University of Science &amp; Technology
The Performance
Pleasure in the Pandemic Joint Performance is organized by The Chinese University of Hong Kong (CUHK) in collaboration with mainland partners. The event aims to establish a virtual platform during the pandemic committed to enriching the cultural life of the students by presenting a diverse range of student performances. Students from the Mainland and Hong Kong  can support each other in adversity, maintaining physical and mental health, and to stay positive to respond to the challenges. It will take place on the last Friday of every month via online platform(s). Each show lasts about an hour.
Honorary Advisors
Professor LAU Cheung Kong Frederick, Chairman of Department of Music, CUHK
Professor FUNG Ying Him Anthony, Professor of School of Journalism and Communication, CUHK
Professor KOON Carmen, Department of Music, CUHK</t>
  </si>
  <si>
    <t>['CUHK', '中大', 'video']</t>
  </si>
  <si>
    <t>飛躍中大(簡體版) Soar with CUHK (Simplified Chinese version)</t>
  </si>
  <si>
    <t>香港中文大學是一所研究型綜合大學，提供優質的本科和研究生課程，並以其尖端研究成果，服務社會。
英文版: https://youtu.be/aNtj8D06ccQ
繁體版: https://youtu.be/Ep-N-QNflBY
The Chinese University of Hong Kong is a comprehensive research-led university in Hong Kong delivering high-quality education on both undergraduate and postgraduate levels and serving the community with its cutting-edge research capability.
English version: https://youtu.be/aNtj8D06ccQ
Traditional Chinese version: https://youtu.be/Ep-N-QNflBY
聯絡我們 Connect with Us: https://linktr.ee/CUHK</t>
  </si>
  <si>
    <t>中大創業大賽2022 終極8強</t>
  </si>
  <si>
    <t>#中大創業大賽2022 #中大創業日2022 #創伴同行躍動未來
第六屆中大創業大賽即將於9月24日在康本國際學術園舉行，經過初賽的一番激鬥，共有8隊初創企業晉身決賽，爭奪冠軍殊榮。冠亞季軍的隊伍可分別獲得港幣5萬元、3萬元及2萬元獎金，以作鼓勵，賽事同時設有最受歡迎大獎，由網上參加者及決賽現場觀眾投選，敬請密切留意 #香港中文大學校友事務處  @CUHKAAO 社交平台最新消息！
中大創業大賽2022：
日期及時間：2022年9月24日2:00pm-3:30pm
地點：中大康本國際學術園LT3
詳情：https://bit.ly/3dRzit7 
成功入圍的最後8強如下（按初創英文名稱排序）：
🟣 Alpha AI
🟣 Cytomics Limited（細胞圖譜有限公司）
🟣 H&amp;S Analytics
🟣 King's Phase Technologies Limited（王態科技有限公司）
🟣 Liquid Corporate Digital Self-Sovereign ID（匯流企業數碼自主身份證）
🟣 NFT Investment and Venture Limited
🟣 ÖKOSIX Limited（綠適有限公司）
🟣 Precision Cut Limited（精准醫療有限公司）
決賽星級評審團包括（按英文姓氏字母排序）：
🌟#勞維信 校友｜#點亮資本 合夥人
🌟#駱美琪 校友｜#阿裡巴巴 香港創業者基金執行董事
🌟#譚偉豪 校友｜#香港英諾天使基金 始創合夥人；權智有限公司主席
🌟#王瑩 女士｜#香港科技園公司 創科培育計畫及企業加速計畫總監
🌟#任景信 校友｜#香港數碼港管理有限公司 行政總裁
想知終極8強各有甚麼本事？立即去片！
----------------------------------
立即報名參加中大創業日2022➡️ https://bit.ly/3pAIrJd 
更多精彩活動資訊，請密切留意「中大創業日」網站：https://www.cuhkeday2022.com/
Connect with Us 聯絡我們: https://linktr.ee/CUHK</t>
  </si>
  <si>
    <t>飛躍中大(繁體版) Soar with CUHK (Traditional Chinese version)</t>
  </si>
  <si>
    <t>香港中文大學是一所研究型綜合大學，提供優質的本科和研究生課程，並以其尖端研究成果，服務社會。
英文版: https://youtu.be/aNtj8D06ccQ
簡體版: https://youtu.be/saMwkiiZFHI
The Chinese University of Hong Kong is a comprehensive research-led university in Hong Kong delivering high-quality education on both undergraduate and postgraduate levels and serving the community with its cutting-edge research capability.
English version: https://youtu.be/aNtj8D06ccQ
Simplified Chinese version: https://youtu.be/saMwkiiZFHI
聯絡我們 Connect with Us: https://linktr.ee/CUHK</t>
  </si>
  <si>
    <t>Soar with CUHK(English version) 飛躍中大(英文版)</t>
  </si>
  <si>
    <t>The Chinese University of Hong Kong is a comprehensive research-led university in Hong Kong delivering high-quality education on both undergraduate and postgraduate levels and serving the community with its cutting-edge research capability.
Traditional Chinese version: https://youtu.be/Ep-N-QNflBY
Simplified Chinese version: https://youtu.be/saMwkiiZFHI
香港中文大學是一所研究型綜合大學，提供優質的本科和研究生課程，並以其尖端研究成果，服務社會。
繁體版: https://youtu.be/Ep-N-QNflBY
簡體版: https://youtu.be/saMwkiiZFHI
聯絡我們 Connect with Us: https://linktr.ee/CUHK</t>
  </si>
  <si>
    <t>不“疫”“樂”乎 -文藝雲匯演</t>
  </si>
  <si>
    <t>香港中文大學內地及大中華發展處（本處）與內地伙伴院校聯手舉辦「不“疫”“樂”乎 - 文藝雲匯演」活動，雲滙演將於7月29日星期五晚上8時於線上舉行，誠意邀請您的參與。
主辦單位:
香港中文大學 
表演團體（按筆劃序）:
佛山科學技術學院飛虹合唱團
哈爾濱工業大學（深圳）學生藝術團
香港中文大學崇基合唱團及和聲書院
香港中文大學（深圳）學勤書院
廣東外語外貿大學藝術學院
澳門大學舞蹈隊
澳門科技大學藝術團
特邀參演團體
廣東實驗中學交響樂團
簡介:
「不“疫”“樂”乎 - 文藝雲匯演」由香港中文大學與內地夥伴院校聯手舉辦，期望在疫情中搭建線上交流平台，讓兩地同學在逆境時刻互相砥礪，透過欣賞及參與樂團、歌唱、歌劇、戲曲等多元化表演，保持身心健康，發放正能量，樂觀應對疫情帶來的挑戰。雲匯演計劃於每個月最後一個周五舉行，每次匯演時間約一小時。
榮譽顧問:
香港中文大學音樂系系主任劉長江教授
香港中文大學新聞與傳播學院馮應謙教授
香港中文大學音樂系官美如教授
China Engagement Office (CEO) of The Chinese University of Hong Kong and partner universities jointly organized Pleasure in the Pandemic Joint Performance. The performance would be held on 29 July (Friday) at 8pm online. We cordially invite you to join us.
Organizer:
The Chinese University of Hong Kong
Performing Ensembles:
Feihong Chorus, Foshan University
HITSZ Students Art Society
Chung Chi Choir and Lee Woo Sing College, The Chinese University of Hong Kong
Diligentia College of The Chinese University of Hong Kong, Shenzhen
The art school of Guangdong University of foreign studies
University of Macau Dance Troupe
Art Troupe of Macau University of Science and Technology
Special Guest
Symphony Orchestra of Guangdong Experimental High School
The Performance:
Pleasure in the Pandemic Joint Performance is organized by The Chinese University of Hong Kong (CUHK) in collaboration with mainland partners. The event aims to establish a virtual platform during the pandemic committed to enriching the cultural life of the students by presenting a diverse range of student performances. Students from the Mainland and Hong Kong can support each other in adversity, maintaining physical and mental health, and to stay positive to respond to the challenges. It will take place on the last Friday of every month via online platform(s). Each show lasts about an hour.
Honorary Advisors:
Professor LAU Cheung Kong Frederick, Chairman of Department of Music, CUHK
Professor FUNG Ying Him Anthony, Professor of School of Journalism and Communication, CUHK
Professor KOON Carmen, Department of Music, CUHK</t>
  </si>
  <si>
    <t>中大月餅．愛心傳承 Send Happiness And Reach Everyone</t>
  </si>
  <si>
    <t>一年一度的中秋佳節，除了與親友一同慶祝外，我們亦為獨居長者送上關懷 ，讓愛傳承。
「中大愛心月餅」每盒有四個低糖雙黃白蓮蓉月餅，特別委託社會企業明愛天糧製作。明愛天糧透過經營飽點烘培業務，為精神病康復者及殘疾人士創造就業機會，協助他們融入社區生活。每售出一盒，中大就會送上一個「中大愛心月餅」給沙田、大埔區的獨居長者，由NGO合作夥伴送至長者家門，長者安坐家中，就可收到月餅。出售月餅的收益將撥捐中大博群計劃。
大學今年邀請了英文系學生李佩兒同學，設計「中大愛心月餅」禮盒。靈感來自她一次中秋觀月活動 ，同學們正在觀察月球之時，可愛的「貓星人」出來搶風頭，令中秋節更添歡樂。她希望透過作品，傳遞互相關懷的訊息。
購買月餅兼可傳播愛心，一舉兩得！「中大愛心月餅」以低糖白蓮蓉製作，每盒糖份只有10.8克，售價HK$300 。
購買時亦可選擇速遞送貨服務 ，數量有限，請即訂購！
查詢 : 3943-3945 / souvenirs@cuhk.edu.hk
訂購詳情 : https://www.cpr.cuhk.edu.hk/mooncake/ordering
As well as spending the festive season with the family in the Moon Festival, let’s extend our love to those elderly people living alone. When you buy a box of “CUHK Mooncake”, a mooncake will be delivered to the solitary elderly, sending love to everyone.
Each box of CUHK Mooncake includes four low sugar white lotus seed paste mooncakes with double egg yolks. The University has joined hands with Caritas La Vie, a local social enterprise which provides job opportunities for the mentally disabled through its baking workshop, to produce “CUHK Mooncake. For each box sold, CUHK together with our NGO partners will deliver a free mooncake to the elderly living alone in Shatin and Tai Po. Proceeds from the mooncake sales will be donated to support CUHK I·CARE. This year, the university has invited CUHK English student Ruby Lee to design the packaging box. The idea came from an activity she joined in the Mid-Autumn Festival. When students are observing the moon, a cat suddenly comes out to grab the limelight and add delight to the festival. She also hopes to convey through her art piece the message to care for each other.
Each box is sold at HK$300 and includes four low sugar white lotus seed paste mooncakes with double egg yolks. Each contains 10.8 grams of sugar only.
Delivery service is available. Stocks are limited, place your order now!
Enquiry : 3943-3945 / souvenirs@cuhk.edu.hk
Ordering Details : https://www.cpr.cuhk.edu.hk/mooncake/ordering
Connect with Us 聯絡我們: https://linktr.ee/CUHK</t>
  </si>
  <si>
    <t>中大研發小型「摺紙」軟體機械人 CUHK devises small-scale “origami” soft robots</t>
  </si>
  <si>
    <t>#中大工程學院機械與自動化工程學系 張立教授領導的研究團隊，最近成功研發嶄新的 #軟體機械人 組裝技術。團隊參考了「#紋身貼紙」將膠片上的圖案轉印到皮膚表面的概念，利用數片膠紙和磁性顆粒，通過簡單的黏貼及裁剪，就可以製作出靈活變形、擁有不同功能的小型摺紙式軟體機械人結構。配合不同感測元件模組，這些小型軟體機械人日後將可執行環境感測和醫療等任務，技術亦進一步為發展智能軟體機械人提供組裝基礎。
此研究獲香港研究資助局（RGC）、香港創新科技署（ITC）、裘槎基金會、中大周毓浩創新醫學技術中心、中大天石機器人研究所、中大—中國科學院深圳先進技術研究院機器人與智慧系統聯合實驗室及創新香港研發平台（InnoHK）的醫療機器人創新技術中心（MRC）大力支持。結果已刊登於國際學術期刊《Science Advances》。詳情：https://bit.ly/3uIXgwk 
A research team lead by Professor Li ZHANG from the Department of Mechanical and Automation Engineering, Faculty of Engineering of CUHK has recently devised a novel fabrication method for #softrobots. They were inspired by #temporarytattoos , decals printed on transfer film and transferred onto the skin by applying pressure and moisture. The soft robot is made by adhesive tape and magnetic microparticles with simple cutting and embedding. This structural fabrication, like 3D origami, provides a foundation for developing modular soft robots that potentially enable flexible shape deformation and multifunctionality in environmental sensing and medical tasks, after assembling different functional modules.
The project has been supported by the Research Grants Council (RGC), the HKSAR Innovation and Technology Commission (ITC), the Croucher Foundation, the Chow Yuk Ho Technology Centre for Innovative Medicine, the CUHK T Stone Robotics Institute, the SIAT-CUHK Joint Laboratory of Robotics and Intelligent Systems, and the Multi-Scale Medical Robotics Center (MRC), InnoHK, at the Hong Kong Science Park. The findings have been reported in Science Advances. Details: https://bit.ly/3PlAOB4  
聯絡我們 Connect with Us: https://linktr.ee/CUHK</t>
  </si>
  <si>
    <t>同根同源·共創未來  香港中文大學-香港中文大學（深圳）慶祝香港特別行政區成立25周年文藝雲匯演」</t>
  </si>
  <si>
    <t>中大慶祝香港特別行政區成立25周年升旗禮</t>
  </si>
  <si>
    <t>香港中文大學（中大）舉行升旗儀式，慶祝香港特別行政區（特區）成立25周年，標誌著香港回歸祖國至今四分一世紀。
Connect with Us 聯絡我們: https://linktr.ee/CUHK</t>
  </si>
  <si>
    <t>中大慶祝香港特別行政區成立25周年(繁體中文版)</t>
  </si>
  <si>
    <t>中大全體仝人熱烈祝賀香港特別行政區成立25周年！今後，中大會繼續與香港並肩前進，貢獻國家，共同開創新一頁，「砥礪奮進、再上征程」，邁向更美好的未來！
簡體中文版: https://youtu.be/iRco5lqB7sw
Connect with Us 聯絡我們: https://linktr.ee/CUHK</t>
  </si>
  <si>
    <t>中大慶祝香港特別行政區成立25周年 (簡體中文版)</t>
  </si>
  <si>
    <t>中大全體仝人熱烈祝賀香港特別行政區成立25周年！今後，中大會繼續與香港並肩前進，貢獻國家，共同開創新一頁，「砥礪奮進、再上征程」，邁向更美好的未來！
繁體中文版: https://youtu.be/3weNhsUM6ms
Connect with Us 聯絡我們: https://linktr.ee/CUHK</t>
  </si>
  <si>
    <t>The CUHK Summer Institute (SI) is a credit-bearing summer programme designed for local and international secondary 5 students (or equivalent) to explore their study interest and to prepare for their future studies at CUHK. In this programme, students will be able to take one or two credit-bearing courses taught by outstanding CUHK faculty members, and enjoy a series of enriching and enlightening activities including an undergraduate admission skills workshop, as well as various sessions and activities showcasing CUHK’s teaching and research strengths.   
「高中生暑期課程」將於8月13日至20日期間舉行。課程旨在讓將於2023年升讀大學的本地及海外高中生於暑假期間修讀兩門由中大教員主講的短期網上課程，探索不同學科領域。課程範圍包括文學、工商管理學、教育學、工程學、法律學、醫學、科學及社會科學。成功完成課程並達到課程規定的要求後，學生可獲得能納入將來入讀中大本科課程之學分（最多2學分，部分課程除外）。同學更可參與多項網上團體活動，獲得適應大學學習環境的秘訣。
Connect with Us 聯絡我們: https://linktr.ee/CUHK</t>
  </si>
  <si>
    <t>香港中文大學內地及大中華發展處（本處）與內地伙伴院校聯手舉辦「不“疫”“樂”乎 – 文藝雲匯演」活動，雲滙演將於5月27日星期五晚上8時於線上舉行，誠意邀請您的參與。
China Engagement Office (CEO) of The Chinese University of Hong Kong and partner universities jointly organized Pleasure in the Pandemic Joint Performance. The performance would be held on 27 May (Friday) at 8 pm online. We cordially invite you to join us.
表演團體（按筆劃序）Performing Ensembles::
上海交通大學學生民樂團
中央民族大學音樂學院及舞蹈學院
北航校友人聲樂團
香港中文大學崇基合唱團
香港中文大學（深圳）合唱團及管弦樂團
澳門大學管樂團
Chinese Orchestra of Shanghai Jiao Tong University
The MUC School of Music and School of Dance
Beihang Alumni Vocal Group
Chung Chi Choir, The Chinese University of Hong Kong
The Chorus and The Orchestra of The Chinese University of Hong Kong, Shenzhen
University of Macau Symphonic Band
簡介The Performance
「不“疫”“樂”乎 - 文藝雲匯演」由香港中文大學與內地夥伴院校聯手舉辦，期望在疫情中搭建線上交流平台，讓兩地同學在逆境時刻互相砥礪，透過欣賞及參與樂團、歌唱、歌劇、戲曲等多元化表演，保持身心健康，發放正能量，樂觀應對疫情帶來的挑戰。雲匯演計劃於每個月最後一個周五舉行，每次匯演時間約一小時。
Pleasure in the Pandemic Joint Performance is organized by The Chinese University of Hong Kong (CUHK) in collaboration with mainland partners. The event aims to establish a virtual platform during the pandemic committed to enriching the cultural life of the students by presenting a diverse range of student performances. Students from the Mainland and Hong Kong   can support each other in adversity, maintaining physical and mental health, and to stay positive to respond to the challenges. It will take place on the last Friday of every month via online platform(s). Each show lasts about an hour.
榮譽顧問Honorary Advisors
香港中文大學音樂系系主任劉長江教授Professor LAU Cheung Kong Frederick, Chairman of Department of Music, CUHK
香港中文大學新聞與傳播學院馮應謙教授Professor FUNG Ying Him Anthony, Professor of School of Journalism and Communication, CUHK
香港中文大學音樂系官美如教授Professor KOON Carmen, Department of Music, CUHK
查詢Enquiries
香港中文大學內地及大中華發展處China Engagement Office, The Chinese University of Hong Kong  (cneo@cuhk.edu.hk)</t>
  </si>
  <si>
    <t>貓虎宗親 Big Cat Small Cat</t>
  </si>
  <si>
    <t>中大校友李揚立之醫生是一位骨科醫生，也照顧過不少大型貓科動物。平日會細心研究貓科動物和喜歡畫畫的李揚醫生在新冠肺炎疫情出現初期繪製了以動物造型為主的抗疫小冊子，於全球熱傳。李揚立之醫生對文物館 #壬寅說虎 展覽中的「大貓小貓」又有甚麼想法呢？去片聽聽她的分享吧！
CUHK alumna and orthopedic surgeon Dr. Liyeung Lucci Lugee once took care of many big felines. As a cartoonist, she created a story book with various animal characters, in hope of educating children to fight against Covid-19. It has been widely distributed and translated into different languages. How does she feel about the “big cats and small cats” in the Art Museum’s exhibition 𝘊𝘦𝘭𝘦𝘣𝘳𝘢𝘵𝘪𝘯𝘨 𝘵𝘩𝘦 𝘠𝘦𝘢𝘳 𝘰𝘧 𝘵𝘩𝘦 𝘛𝘪𝘨𝘦𝘳? Watch her sharing here!
聯絡我們 Connect with Us: https://linktr.ee/CUHK</t>
  </si>
  <si>
    <t>CUHK’s Co-operative Education Programme (Co-op@CUHK)</t>
  </si>
  <si>
    <t>Co-op@CUHK prides itself in being the first of its kind in Hong Kong, open to CUHK’s penultimate and final-year students of all disciplines who exhibit good academic standing, a breadth of extra-curricular activities and a positive, can-do attitudes. It is an academically accredited programme that combines classroom learning with productive and paid work experience in a field related to students’ academic or career goals. 
聯絡我們 Connect with Us: https://linktr.ee/CUHK</t>
  </si>
  <si>
    <t>中大團隊研發「史萊姆機械人」  Slime Robot developed by CUHK team</t>
  </si>
  <si>
    <t>這部連日來獲國際媒體廣泛報道、引起全球關注的「史萊姆機械人」，能伸縮變形、抓物移動，具科幻電影感，其實是中大機械與自動化工程學系團隊發明的微型機械人。機械人的設計靈感亦真的源自電影《毒魔》，而與電影不同的是，這部機械人毒性很微，未來可望於人體內執行任務。
「史萊姆機械人」成分包括磁性顆粒，所以透過操控外在磁場，便能屈能伸，穿過超窄管道，遊走複雜迷宮，更能自我修復、抓住物件，而且可以傳電。中大機械與自動化工程學系張立教授及孫猛猛博士（論文第一作者）表示，「史萊姆機械人」有望作醫療用途，包括取出誤吞進消化管道的有害物，如電池或尖銳骨頭等。
今次研究獲BBC、Guardian、New Scientist等國際媒體報道，片段觀看次數過千萬。對於引起廣泛迴響，團隊表示興奮：「研究能引起大家對機械人的興趣及關注，我們感到十分鼓舞。團隊將繼續努力，探討如何好好利用『史萊姆機械人』帶來實際效用。」
研究論文已刊登於《先進功能材料》：
https://onlinelibrary.wiley.com/doi/10.1002/adfm.202112508
This slime robot has gone viral globally after its international media exposure lately. The slime robot, which was developed by a research team of CUHK Mechanical and Automation Engineering Department, can deform, grab objects and move, just like the sci-fi movie creatures. Indeed, the robot design was inspired by the movie Venom, but it is different from Venom in a way that it is expected to bring benefit to human beings in the future.
The magnet particles in the slime give it conductivity and the capability to change its shape to navigate through narrow tubes and complex mazes, self-heal and grab objects driven by an external magnetic field. According to Prof. Li Zhang and Dr. Mengmeng Sun, the lead author of the publishing, of CUHK Mechanical and Automation Engineering Department, the slime robot is expected to be of great value in medical applications, such as removing accidentally swallowed objects like button batteries and sharp bones.
The study was widely covered by international media outlets like BBC, Guardian and New Scientist. The news videos have gained over 10 million views online. The research team was thrilled about the overwhelming response, ‘It is encouraging to know that our study has aroused people’s interest and attention. We will keep it up and explore how the slime robot can be put into practical use in the future.’
The findings have been published in Advanced Functional Materials:
https://onlinelibrary.wiley.com/doi/10.1002/adfm.202112508
聯絡我們 Connect with Us: https://linktr.ee/CUHK</t>
  </si>
  <si>
    <t>第二場「不“疫”“樂”乎 - 文藝雲匯演」將會於 2022年5月27日（星期五）晚上8時舉行。
時間 2022年4月29日（星期五）時間 晚上8時 
主辦單位Organizer      
香港中文大學  The Chinese University of Hong Kong
表演團體（按筆劃序）Performing Ensembles
中國科學技術協會科學之聲合唱團 Voice of Science Chorus, China Association for Science and Technology (CAST)
西安交通大學學生舞蹈團及民樂團 Students' Dance Group and Students' Chinese Orchestra of Xi'an Jiaotong University
香港中文大學崇基合唱團及管弦樂團 Chung Chi Choir &amp; Chung Chi Orchestra, The Chinese University of Hong Kong
香港中文大學（深圳）國樂團、合唱團及管弦樂團 The Chinese Orchestra, The Chorus and The Orchestra of The Chinese University of Hong Kong, Shenzhen
清華大學學生藝術團交響樂隊 Tsinghua University Symphony Orchestra
華東師範大學音樂學院及學生藝術團舞蹈團 East China Normal University School of Music ECNU and Student Art Association (Dance)
簡介The Performance
「不“疫”“樂”乎 - 文藝雲匯演」由香港中文大學與內地夥伴院校聯手舉辦，期望在疫情中搭建線上交流平台，讓兩地同學在逆境時刻互相砥礪，透過欣賞及參與樂團、歌唱、歌劇、戲曲等多元化表演，保持身心健康，發放正能量，樂觀應對疫情帶來的挑戰。雲匯演計劃於每個月最後一個周五舉行，每次匯演時間約一小時。
Pleasure in the Pandemic Joint Performance is organized by The Chinese University of Hong Kong (CUHK) in collaboration with mainland partners. The event aims to establish a virtual platform during the pandemic committed to enriching the cultural life of the students by presenting a diverse range of student performances. Students from the Mainland and Hong Kong   can support each other in adversity, maintaining physical and mental health, and to stay positive to respond to the challenges. It will take place on the last Friday of every month via online platform(s). Each show lasts about an hour.
榮譽顧問Honorary Advisors
香港中文大學音樂系系主任劉長江教授Professor LAU Cheung Kong Frederick, Chairman of Department of Music, CUHK
香港中文大學新聞與傳播學院馮應謙教授Professor FUNG Ying Him Anthony, Professor of School of Journalism and Communication, CUHK
香港中文大學音樂系官美如教授Professor KOON Carmen, Department of Music, CUHK
查詢Enquiries
香港中文大學內地及大中華發展處China Engagement Office, The Chinese University of Hong Kong  (cneo@cuhk.edu.hk)</t>
  </si>
  <si>
    <t>香港中文大學策略計劃 2021–2025 — 社會責任與可持續發展（普通話版）</t>
  </si>
  <si>
    <t>香港中文大學策略計劃 2021–2025 「中大2025」
承擔社會責任，共圖持續發展
中大在可持續發展的路上，積極支持全人、社會，以及環境與經濟和諧的信念。
詳情：https://www.cuhk.edu.hk/strategicplan...
香港中文大學策略計劃 2021–2025（「中大2025」） 
英語版：https://youtu.be/pCYiqV3FfGQ 
廣東話版：https://youtu.be/edTLeZNFwkI 
普通話版：https://youtu.be/PtF1_MhYtns 
CUHK Strategic Plan 2021–2025 'CUHK 2025'
Education: Meeting the Challenges of Tomorrow 
CUHK espouses the values of people, social, and environment and economic harmonies in the pursuit of sustainable development.
More details at https://www.cuhk.edu.hk/strategicplan...
CUHK Strategic Plan 2021-2025 ('CUHK 2025') 
English version: https://youtu.be/pCYiqV3FfGQ 
Cantonese version: https://youtu.be/edTLeZNFwkI 
Mandarin version: https://youtu.be/PtF1_MhYtns 
聯絡我們 Connect with Us: https://linktr.ee/CUHK</t>
  </si>
  <si>
    <t>CUHK Strategic Plan 2021–2025 — Student Experience (English version)</t>
  </si>
  <si>
    <t>CUHK Strategic Plan 2021–2025 'CUHK 2025' 
Student Experience: Nurturing Excellence of Both Heart and Mind
CUHK is a cradle for future global leaders who are imbued with strong moral character, emotional resilience, entrepreneurial mindset, innovative spirit and competencies to make lifelong contributions to society.
More details at https://www.cuhk.edu.hk/strategicplan...
CUHK Strategic Plan 2021-2025 ('CUHK 2025') 
English version: https://youtu.be/pCYiqV3FfGQ 
Cantonese version: https://youtu.be/edTLeZNFwkI 
Mandarin version: https://youtu.be/PtF1_MhYtns 
香港中文大學策略計劃 2021–2025 「中大2025」
學生體驗：培育心與靈的卓越
中大是孕育未來全球領袖的搖籃：一群德情兼具、擁有企 業思維、富創新精神和能力，志以終身貢獻社會的領袖。
詳情：https://www.cuhk.edu.hk/strategicplan...
香港中文大學策略計劃 2021–2025（「中大2025」） 
英語版：https://youtu.be/pCYiqV3FfGQ 
廣東話版：https://youtu.be/edTLeZNFwkI 
普通話版：https://youtu.be/PtF1_MhYtns 
聯絡我們 Connect with Us: https://linktr.ee/CUHK</t>
  </si>
  <si>
    <t>香港中文大學策略計劃 2021–2025 — 社會責任與可持續發展（廣東話版）</t>
  </si>
  <si>
    <t>香港中文大學策略計劃 2021–2025 「中大2025」
承擔社會責任，共圖持續發展
中大在可持續發展的路上，積極支持全人、社會，以及環境與經濟和諧的信念。
詳情：https://www.cuhk.edu.hk/strategicplan/cuhk2025/tc/social.html
香港中文大學策略計劃 2021–2025（「中大2025」） 
英語版：https://youtu.be/pCYiqV3FfGQ 
廣東話版：https://youtu.be/edTLeZNFwkI 
普通話版：https://youtu.be/PtF1_MhYtns 
CUHK Strategic Plan 2021–2025 'CUHK 2025'
Education: Meeting the Challenges of Tomorrow 
CUHK espouses the values of people, social, and environment and economic harmonies in the pursuit of sustainable development.
More details at https://www.cuhk.edu.hk/strategicplan/cuhk2025/social.html
CUHK Strategic Plan 2021-2025 ('CUHK 2025') 
English version: https://youtu.be/pCYiqV3FfGQ 
Cantonese version: https://youtu.be/edTLeZNFwkI 
Mandarin version: https://youtu.be/PtF1_MhYtns 
聯絡我們 Connect with Us: https://linktr.ee/CUHK</t>
  </si>
  <si>
    <t>第二場「不“疫”“樂”乎 - 文藝雲匯演」將會於 2022年4月29日（星期五）晚上8時舉行。
觀看演出: https://youtu.be/3YdwyG1u8TE
時間 2022年3月25日（星期五）時間 晚上8時 
主辦單位 
香港中文大學
表演團體（按筆劃序）
上海交通大學學生合唱團 
中國科學院大學博士合唱團
北京大學學生阿卡貝拉清唱社
香港中文大學崇基合唱團及管弦樂團
香港中文大學（深圳）合唱團及管弦樂團
清華大學學生藝術團交響樂隊
簡介
「不“疫”“樂”乎 - 文藝雲匯演」由香港中文大學與內地夥伴院校聯手舉辦，期望在疫情中搭建線上交流平台，讓兩地同學在逆境時刻互相砥礪，透過欣賞及參與樂團、歌唱、歌劇、戲曲等多元化表演，保持身心健康，發放正能量，樂觀應對疫情帶來的挑戰。雲匯演計劃於每個月最後一個周五舉行，每次匯演時間約一小時。
榮譽顧問
• 香港中文大學音樂系系主任劉長江教授
• 香港中文大學新聞與傳播學院馮應謙教授
• 香港中文大學音樂系官美如教授
查詢
香港中文大學內地及大中華發展處cneo@cuhk.edu.hk</t>
  </si>
  <si>
    <t>中大與您共同抗疫 CUHK and the Community Act Together Against COVID-19</t>
  </si>
  <si>
    <t>本地第五波疫情持續嚴竣，中大醫院及醫學院接連推出新措施，為更多市民接種疫苗，為患者診症治療，騰出病床及人手紓緩公立醫院壓力，以及進行跨學科新冠病毒研究，全力支援社區抗疫。
在這艱難時刻，中大醫護、研究團隊、師生及校友上下一心，以專業精神關顧市民健康。抗疫路再難行，中大也與您同行。
-------------------
中大校長致前線員工、醫學研究和專業人員、及香港中文大學醫院全體員工的感謝信：https://bit.ly/3I3877V
The COVID-19 pandemic in Hong Kong is still severe. CUHK Medical Centre and CUHK Medicine have rolled out new measures one after another, to provide vaccination to more and more citizens, to treat COVID-19 patients, to help alleviate the pressure on the public healthcare system by offering hospital beds and manpower, and to conduct interdisciplinary COVID-19 research, with an ultimate goal of supporting the community in containing the spread of the pandemic.
During this difficult time, CUHK is bringing together our health professionals, research teams, staff, students and alumni to protect your health and contribute to the community by sharing our professional knowledge. You are not alone in this battle. CUHK always stands by you.
-------------------
Thank you message to CUHK frontline staff, medical researchers and professionals, and CUHKMC employees from the CUHK Vice-Chancellor and President: https://bit.ly/3I7ILWp
聯絡我們 Connect with Us: https://linktr.ee/CUHK</t>
  </si>
  <si>
    <t>【學生運動員入學】運動員在中大讀書是怎樣的？ 【Student-athlete Admission】 An athlete studying at CUHK</t>
  </si>
  <si>
    <t>中大學生運動員入學🎓📚現正接受報名🏃🏃‍♀️
精英運動員要兼顧訓練、比賽和學業，會很難嗎？日程如何安排？
於中大在學期間，香港田徑代表「欄后」呂麗瑤Vera（2020年 新亞 | 體育及運動科學）取得 2018 年亞運 100 米跨欄銅牌，成為香港史上首位女子跨欄選手登上亞運頒獎台。在較早前的專訪中，Vera跟大家分享她在中大的學業、日常、校園生活，以及中大給予的支援，不妨看看她是怎樣做到兼顧學業與體育事業的。
「學生運動員學習支援及入學計劃」現正接受報名，入學講座將於 3 月 9 日舉行，立即登記👉http://admission.cuhk.edu.hk/salsa/
💬入學講座詳情💬
日期：3月9日
時間：晚上 7 時
登記：https://bit.ly/3vHh18G （3月7日截止登記）
CUHK Student-Athlete Admission🎓📚Open for Application 🏃🏃‍♀️
How hard is it for an elite athlete to manage sports training, competition and academic workload at the same time? How do they allocate the time?
During the study at CUHK, Hong Kong track and field athlete Vera Lui (2020 New Asia | Sports Science and Physical Education) got the bronze medal in the 100-metre hurdles at the Asian Games 2018, being the first ever Hong Kong female hurdler mounting the winners podium of the Asian Games. In an earlier interview, Vera told us of her study, daily routine, campus life and professors' support at CUHK. You will know how she struck a balance between study and sports career. 
The 'Student-Athlete Learning Support and Admission (SALSA) Scheme' is open for application. An admission talk will be held on 9 March. Register now👉http://admission.cuhk.edu.hk/salsa/
💬Admission Talk Details💬
Date: 9 March (Wed)
Time: 7 pm
Register at https://bit.ly/3vHh18G by 7 March
聯絡我們 Connect with Us: https://linktr.ee/CUHK</t>
  </si>
  <si>
    <t>《疫久嘗新》第四集︰旅遊 "Alumni@Workplace” Episode 4: Tourism</t>
  </si>
  <si>
    <t>一個疫情，對全球旅遊業帶來前所未有的挑戰。業界紛紛推出新招數，例如虛擬旅遊，以吸引參加者。除此之外，業界還可以如何「變陣」作出突破呢？《疫久嘗新》第四集，提提大家努力、奮鬥的同時，別忘記跟身處的這片土地同呼吸、同心跳。
今集嘉賓陳智遠（社會科學院/ 2005）分享他由開初一步一腳印地建立本地遊生意，到利用自身優勢面對疫境的故事。純理科出生身的影像創作者張展銘（理學院/ 2020）與師兄更深入探討本地人與本地遊的意義。
致將投身社會的你︰「你的每一步看似雖小，但只要緊記當初給予工作的意義，你的力量或可改變世界。」
=================== 
重溫《疫久嘗新》系列：
預告片：https://youtu.be/l2Koupx4SbM 
第一集：外送服務 — 葉曉慧（社會科學院）https://youtu.be/fd2xMFnil4w 
第二集：教育 — 朱子穎（教育學院）https://youtu.be/_TaYQvqivYU
第三集︰生物科技 — 蔡佩樺（理學院）https://youtu.be/4uiZW-fH7yo 
#香港中文大學 #疫久嘗新 #中大人 #陳智遠 #旅遊 #影像創作者 #跟香港同呼吸同心跳 #嘗試為你的每一步找尋意義 #給有志者的一句話
International tourism has been hardest hit by the pandemic's impact. While live virtual tours are admired, how can the travel industry adapt to the changes and recover? The fourth episode of "Alumni@Workplace” reminds us to keep pace with the beat of other people while we are striving.
The guest in this episode, Paul CHAN (Faculty of Social Science/ 2005) tells his story of building his local tourism business and how he takes advantage of his own strengths to overcome challenges. A YouTuber from a pure science background, Ahmy CHEUNG (Faculty of Science/ 2020), further discusses with Paul about the influences of local tourism on local people and its meaning.
For those who will join the workforce:
Your every step may seem small. As long as you keep in mind the meaning you have given to your job, your power may change the world.
=================== 
Revisiting "Alumni@Workplace" series:
Teaser: https://youtu.be/l2Koupx4SbM
Episode 1: Food Delivery – Ding Ding (Faculty of Social Science) https://youtu.be/fd2xMFnil4w
Episode 2: Education – Headmaster Chu (Faculty of Education) https://youtu.be/_TaYQvqivYU
Episode 3: Biotechnology – Dr. Choi (Faculty of Science)
https://youtu.be/4uiZW-fH7yo
#CUHK #OSACUHK #CPDC #AlumniAtWorkplace #CUHKers #PaulChan #Tourism #YouTuber #BreathingandPalpitatingwiththePeople #MeaningofWork
聯絡我們 Connect with Us: https://linktr.ee/CUHK</t>
  </si>
  <si>
    <t>中大博文教學獎 2021  University Education Award 2021</t>
  </si>
  <si>
    <t>師者，傳道授業，還要解惑。酒店及旅遊管理、信息工程及通識教育的學生遇到甚麼疑惑？作為他們的老師，尹振英教授、何震宇博士及 PASS 團隊怎樣回應？
尹教授、何博士及 PASS 團隊 是中大「博文教學獎 2021」的得獎者。他們願意理解學生的學習需要，用心對待學生的疑惑，並精心設計教案，憑教學熱誠得獎，恭喜！
Great teachers do not only convey the truth and pass on knowledge, they also clarify doubts. What doubts do students of hotel and tourism management, information engineering and general education have? Being their teachers, how do Prof. Lisa Wan, Dr. Marco Ho and the PASS Team clarify the doubts?
Prof. Wan, Dr. Ho and the PASS Team are awardees of the University Education Award 2021. They are eager to understand students' needs and wants so as to design suitable teaching methods. They also treat students' doubts seriously. Their passion in teaching is greatly appreciated. Congratulations on winning the award!
聯絡我們 Connect with Us: https://linktr.ee/CUHK</t>
  </si>
  <si>
    <t>《疫久嘗新》第三集︰生物科技   "Alumni@Workplace” Episode 3: Biotechnology</t>
  </si>
  <si>
    <t>科學家為科研奮鬥，可以去到幾盡？當中又有甚麼掙扎？而對於醫學界的新鮮人來說，需要甚麼力量協助我們向前走？《疫久嘗新》第三集，鼓勵大家繼續懷著「信念」前行。
今集嘉賓蔡佩樺博士（理學院/ 2013）真摰地分享她的故事、她對香港科研發展的看法、作為女性科學家的優勢，以及建立初創公司的心理歷程。蔡博士提到薪火相傳的美麗，而醫學界新鮮人周婉蕎（醫學院/ 2021）正正從蔡博士身上學習良多，並以準醫生的角度與大家互勉。
科研職涯跟面對疫境一樣，都要不斷經歷Trial and Error（嘗試與錯誤），只有堅持信念，才可以令你繼續向目標前行。
=================== 
節目預告：
第四集：旅遊 — 陳智遠（社會科學院） 
=================== 
重溫《疫久嘗新》系列：
預告片：https://youtu.be/l2Koupx4SbM 
第一集：外送服務 — 葉曉慧（社會科學院）https://youtu.be/fd2xMFnil4w 
第二集：教育 — 朱子穎（教育學院）https://youtu.be/_TaYQvqivYU
#香港中文大學 #疫久嘗新 #中大人 #蔡佩樺 #生物科技 #醫學 #科研 #薪火相傳的美麗 #香港和我們一起變得更加好 #信念 #勇氣 #給有志者的一句話 
What are the struggles of scientists? How far can they go in pursuing excellence? For newbies in the medical field, what is needed to keep us going? The third episode of "Alumni@Workplace" encourages everyone to hang in there with "Faith".
The guest in this episode, Dr. CHOI Pui Wah  (Faculty of Science/ 2013) enthusiastically tells her story, her views on the development of scientific research in Hong Kong, the advantages of being a female scientist, and how she went through the ups and downs of  founding her start-up company. Coincidentally and naturally, the concept of passing on what was shared by Dr. Choi was grasped by Karen CHOW (Faculty of Medicine/ 2021), a newbie in the medical field. Inspired by Dr. Choi, she encourages us to persevere from the perspective of a houseman.
Constant Trial and Error is unavoidable in both pursuing a research career and facing the pandemic situation. Only “Faith” can keep us going.
===================
Coming up next:
Episode 4: Travel – Paul Chan (Faculty of Social Science) 
=================== 
Revisiting "Alumni@Workplace" series:
Teaser: https://youtu.be/l2Koupx4SbM 
Episode 1: Food Delivery – Ding Ding (Faculty of Social Science) https://youtu.be/fd2xMFnil4w
Episode 2: Education – Headmaster Chu (Faculty of Education) https://youtu.be/_TaYQvqivYU 
#CUHK #OSACUHK #CPDC #AlumniAtWorkplace #CUHKers #DrChoi #Biotechnology #Medicine #ScientificResearch #TheBeautyOfPassingOn #ThisCityToBeBetterWithUs #Faith #Courage #HangInThere</t>
  </si>
  <si>
    <t>中大‧成就 2021  CUHK Achievements 2021</t>
  </si>
  <si>
    <t>對中大成員而言，2021年是成績亮麗的一年。
我們於國際排名表現卓越，科研、創新及創業方面成績驕人，逾100名教職員及約400名學生榮獲國家、本地及國際讚譽，獲得各個獎項。
歡迎觀看「中大‧成就 2021」短片。如欲了解更多詳情，請瀏覽 https://bit.ly/3mrYdVC
2021 was another standout year for the CUHK community.
The year recorded strong performance in university rankings, as well as many staff and students receiving national, local and global recognition for their achievements in research, innovation and entrepreneurship with more than 100 faculty members and around 400 students picking up awards.
We invite you to watch a short video highlighting CUHK’s achievements this year. For details of our achievements in 2021, please visit: https://bit.ly/33UgTXB
Connect with Us 聯絡我們: https://linktr.ee/CUHK</t>
  </si>
  <si>
    <t>香港中文大學策略計劃 2021–2025 — 教育（普通話版） CUHK Strategic Plan 2021–2025 — Education (Putonghua version)</t>
  </si>
  <si>
    <t>香港中文大學策略計劃 2021–2025 「中大2025」
教育：迎向明日挑戰
中大的嚴格要求及創意課程，令學生更有自信迎向明日挑戰。
詳情：https://translate.itsc.cuhk.edu.hk/uniTS/www.cuhk.edu.hk/strategicplan/cuhk2025/tc/
香港中文大學策略計劃 2021–2025（「中大2025」） 
英語版：https://youtu.be/pCYiqV3FfGQ 
廣東話版：https://youtu.be/edTLeZNFwkI 
普通話版：https://youtu.be/PtF1_MhYtns 
CUHK Strategic Plan 2021–2025 'CUHK 2025' 
Education: Meeting the Challenges of Tomorrow 
CUHK's exacting standards and innovative programmes enable its students to step up to the challenges of tomorrow. 
More details at https://www.cuhk.edu.hk/strategicplan/cuhk2025/education.html
CUHK Strategic Plan 2021-2025 ('CUHK 2025') 
English version: https://youtu.be/pCYiqV3FfGQ 
Cantonese version: https://youtu.be/edTLeZNFwkI 
Mandarin version: https://youtu.be/PtF1_MhYtns 
請登陸中大視野觀看更多精彩短片 Please watch more videos from 
CUTV http://www.cpr.cuhk.edu.hk/cutv/index​
聯絡我們 Connect with Us: https://linktr.ee/CUHK</t>
  </si>
  <si>
    <t>香港中文大學策略計劃 2021–2025 — 教育（廣東話版） CUHK Strategic Plan 2021–2025 — Education (Cantonese version)</t>
  </si>
  <si>
    <t>香港中文大學策略計劃 2021–2025 「中大2025」
教育：迎向明日挑戰
中大的嚴格要求及創意課程，令學生更有自信迎向明日挑戰。
詳情：https://www.cuhk.edu.hk/strategicplan/cuhk2025/tc/education.html
香港中文大學策略計劃 2021–2025（「中大2025」） 
英語版：https://youtu.be/pCYiqV3FfGQ 
廣東話版：https://youtu.be/edTLeZNFwkI 
普通話版：https://youtu.be/PtF1_MhYtns 
CUHK Strategic Plan 2021–2025 'CUHK 2025' 
Education: Meeting the Challenges of Tomorrow 
CUHK's exacting standards and innovative programmes enable its students to step up to the challenges of tomorrow. 
More details at https://www.cuhk.edu.hk/strategicplan/cuhk2025/education.html
CUHK Strategic Plan 2021-2025 ('CUHK 2025') 
English version: https://youtu.be/pCYiqV3FfGQ 
Cantonese version: https://youtu.be/edTLeZNFwkI 
Mandarin version: https://youtu.be/PtF1_MhYtns 
請登陸中大視野觀看更多精彩短片 Please watch more videos from 
CUTV http://www.cpr.cuhk.edu.hk/cutv/index​
聯絡我們 Connect with Us: https://linktr.ee/CUHK</t>
  </si>
  <si>
    <t>中大正向員工服務獎 2021 CUHK Positive Workplace Service Awards 2021</t>
  </si>
  <si>
    <t>正向員工服務獎 2021 頒獎典禮已於2021年12月15日圓滿結束。今年共收到31份提名，當中每一位獲提名的同事及團隊，都是中大正向工作間的 「Champions」。而今屆正向員工服務獎一共有12個得獎單位（瀏覽得獎名單：https://bit.ly/3H34K0F )，分別包括4名個人獎得主、6個工作團隊獎，以及兩個「評審嘉許獎」。讓我們細聽得獎者的心得分享，一同在工作間發揮正能量。
The Positive Workplace Service Awards 2021 Presentation Ceremony ended successfully on 15 December 2021 with over 200 participants joining the party to celebrate positivity together. All colleagues and work teams being nominated, totally 31 this year, are indeed champions of the CUHK positive workplace. The Committee is pleased to include 12 nominations on the list of awardees (view at https://bit.ly/3H34K0F). There are 4 Individual Awards, 6 Team Awards and 2 Panel’s Appreciation Awards. Let's hear their stories.
請登陸中大視野觀看更多精彩短片 Please watch more videos from 
CUTV http://www.cpr.cuhk.edu.hk/cutv/index​
Connect with Us 聯絡我們: https://linktr.ee/CUHK</t>
  </si>
  <si>
    <t>CUHK Strategic Plan 2021–2025 — Social Responsibility and Sustainability Development (Eng version)</t>
  </si>
  <si>
    <t>CUHK Strategic Plan 2021–2025 'CUHK 2025' 
Education: Meeting the Challenges of Tomorrow 
CUHK espouses the values of people, social, and environment and economic harmonies in the pursuit of sustainable development.
More details at https://www.cuhk.edu.hk/strategicplan/cuhk2025/social.html
CUHK Strategic Plan 2021-2025 ('CUHK 2025') 
English version: https://youtu.be/pCYiqV3FfGQ 
Cantonese version: https://youtu.be/edTLeZNFwkI 
Mandarin version: https://youtu.be/PtF1_MhYtns 
香港中文大學策略計劃 2021–2025（「中大2025」） 
英語版：https://youtu.be/pCYiqV3FfGQ 
廣東話版：https://youtu.be/edTLeZNFwkI 
普通話版：https://youtu.be/PtF1_MhYtns 
聯絡我們 Connect with Us: https://linktr.ee/CUHK</t>
  </si>
  <si>
    <t>CUHK Strategic Plan 2021–2025 — Education (English version) 香港中文大學策略計劃 2021–2025 — 教育（英語版）</t>
  </si>
  <si>
    <t>CUHK Strategic Plan 2021–2025 'CUHK 2025' 
Education: Meeting the Challenges of Tomorrow 
CUHK's exacting standards and innovative programmes enable its students to step up to the challenges of tomorrow. 
More details at https://www.cuhk.edu.hk/strategicplan/cuhk2025/education.html
CUHK Strategic Plan 2021-2025 ('CUHK 2025') 
English version: https://youtu.be/pCYiqV3FfGQ 
Cantonese version: https://youtu.be/edTLeZNFwkI 
Mandarin version: https://youtu.be/PtF1_MhYtns 
香港中文大學策略計劃 2021–2025 「中大2025」
教育：迎向明日挑戰
中大的嚴格要求及創意課程，令學生更有自信迎向明日挑戰。
詳情：https://www.cuhk.edu.hk/strategicplan/cuhk2025/tc/education.html
香港中文大學策略計劃 2021–2025（「中大2025」） 
英語版：https://youtu.be/pCYiqV3FfGQ 
廣東話版：https://youtu.be/edTLeZNFwkI 
普通話版：https://youtu.be/PtF1_MhYtns 
聯絡我們 Connect with Us: https://linktr.ee/CUHK</t>
  </si>
  <si>
    <t>《疫久嘗新》第二集︰教育 "Alumni@Workplace" Episode 2: Education</t>
  </si>
  <si>
    <t>教育工作者對未來有甚麼盼望？將教育理念實踐，又有甚麼竅門？《疫久嘗新》第二集帶大家認識「使命」的重要性。
停課、網上學習、復課、全面復課......不斷改變的教學模式為學界帶來前所未有的挑戰，更讓教育工作者意識到推行網上教學以至混合式學習的重要性。「混合式學習」對教學質素有甚麼正面影響？在網上平台又如何發揮教學相長？同時，面對重大的挑戰，善意溝通技巧又如何支援老師及學生去表達自己的感受及需要？
今集嘉賓朱子穎（教育學院/2009）分享他對教育發展及未來的前瞻性見解。而職場新鮮人霍靖兒（社會科學院/2020）還會透過遊戲卡，邀請朱校長跟大家分享教育工作者的感受及需要。兩位嘉賓在教育路上擔當不同的角色。緊守崗位，是「愛」或是「責任」？
=================== 
節目預告：
第三集：生物科技 — 蔡佩樺（理學院） 
第四集：旅遊 — 陳智遠（社會科學院） 
=================== 
《疫久嘗新》系列重溫：
預告片︰https://youtu.be/l2Koupx4SbM 
第一集 外送服務 - 葉曉慧 (社會科學院)︰https://youtu.be/fd2xMFnil4w 
#香港中文大學 #疫久嘗新 #中大人 #朱子穎 #實踐想法 #對未來的愛 #使命 #給有志者的一句話 
What are the hopes of educators for the future? What is the gist of putting educational theories into practice? The second episode of "Alumni@Workplace" takes everyone to realize the importance of "mission". 
Suspension of classes, online learning, partial class resumption, official school reopening... The ever-changing teaching mode has brought unprecedented challenges to the academic arena  and has made educators aware of the importance of implementing blended learning modes. What are the positive impacts of "blended learning"? How could we make good use of online platforms for teaching and learning? At the same time, in the face of challenges, how can Giraffe Language support teachers and students to express their feelings and needs?
The guest in this episode, Tsz-wing Chu (Faculty of Education/2009) gives his forward-looking views on the development and future of education. A freshman in the workplace, Rachel (Faculty of Social Science}invites headmaster Chu to share with us his feelings and needs as an educator through the card game. The two guests play different roles in education. Is an educator's commitment and perseverance an indicator of "love" or "responsibility” for his/her profession?
=================== 
Coming up next:
Episode 3: Biotechnology – Dr. Choi Pui Wah (Faculty of Science) 
Episode 4: Travel – Paul Chan (Faculty of Social Science) 
=================== 
Revisiting "Alumni@Workplace" video series
Teaser: https://youtu.be/l2Koupx4SbM 
Episode 1: Food Delivery – Ding Ding (Faculty of Social Science) https://youtu.be/fd2xMFnil4w
#CUHK #OSACUHK #CPDC #AlumniAtWorkplace #CUHKers #ChuTszWing #Educators #LoveForTheFuture #Mission #LifePurpose #HoldOn
Connect with Us 聯絡我們: https://linktr.ee/CUHK</t>
  </si>
  <si>
    <t>中大2022年曆 CUHK 2022 Calendar</t>
  </si>
  <si>
    <t>【全新設計　中大2022年曆開賣中！】
中大2022年曆主題為「中大策略計劃2021–2025 ： 力臻卓越，任重志遠」，以全新的座枱卡片設計，配以中大景色及校園生活精彩照片，簡介七個重點範疇，展示中大未來五年的目標和方向。
座枱年曆定價為港幣98元正，所有收益將撥捐中大I‧CARE博群計劃。年曆即日起於中大書店及富爾敦樓紀念品銷售處有售，今年繼續有速遞送貨服務，數量有限，請即訂購！
網上訂購表格：https://bit.ly/31kJww1 
【Newly Designed CUHK 2022 Calendar Is Available Now!】
The theme of CUHK 2022 Calendar is "CUHK Strategic Plan 2021–2025: Excellence with Purpose and Responsibility" . With its table card design and wonderful photos of CUHK's scenery and campus life, it introduces the seven key areas, and maps out CUHK’s aims and direction over the next five years.
The desktop calendar is being sold at HK$98 and proceeds from the calendar sales will be donated to support CUHK I‧CARE Programme. The calendar is now available at the CUHK Bookstore and the Souvenir Counter at John Fulton Centre. We have also arranged a delivery service. Stocks are limited so place your order now!
Online order form: https://bit.ly/31kJww1 
Connect with Us 聯絡我們: https://linktr.ee/CUHK</t>
  </si>
  <si>
    <t>《疫久嘗新》第一集︰外送服務 "Alumni@Workplace” Episode 1: Food Delivery</t>
  </si>
  <si>
    <t>《疫久嘗新》第一集，帶大家認識外送服務及面對逆境的一個重要態度︰堅持。
限聚令生效後，安坐家中用膳成為日常，造就外送服務一大商機。飲食業即時轉型並加強外送服務，外送員的需求亦大量增加。
在新常態下，如何將外送服務推廣至穩定的長遠發展計劃？ 作為創業者，如何由零開始經營生意，同時履行社會責任？今集嘉賓葉曉慧（社會學/2016）在創業路上遇過不少困難，她又憑甚麼理念一直堅持下去？
===================
節目預告：
第二集：教育 — 朱子穎（教育學院）
第三集：生物科技 — 蔡佩樺（理學院）
第四集：旅遊 — 陳智遠（社會科學院）
===================
預告片重溫︰https://youtu.be/l2Koupx4SbM 
#香港中文大學 #疫久嘗新 #中大人 #葉曉慧 #創業 #堅持 #光 #希望 #給有志者的一句話
The first episode introduced you to an important attitude towards facing adversity: Persistence.
After the gathering restriction order came into effect, eating at home became a daily routine which created a major business opportunity for delivery services. The catering industry has immediately shifted to strengthen delivery services, and the demand for delivery staff increased exponentially. 
Under the new normal, how should the industry promote the delivery services for a stable long-term development? How should an entrepreneur run a business from scratch while fulfilling social responsibilities? Ding Ding (Sociology/2016), the guest of this episode has faced many difficulties when she runs her business. What makes her persist in doing so? 
===================
Coming up next:
Episode 2: Education – Headmaster Chu Tsz Wing (Faculty of Education)
Episode 3: Biotechnology – Dr. Choi Pui Wah (Faculty of Science)
Episode 4: Travel – Paul Chan (Faculty of Social Science)
===================
Revisiting Teaser: https://youtu.be/l2Koupx4SbM 
#CUHK #OSACUHK #CPDC #AlumniAtWorkplace #CUHKers #DingDing #Entrepreneur #Persistence #TheLightAtTheEndOfTheTunnel #Hope #IntoTheUnknown 
Connect with Us 聯絡我們: https://linktr.ee/CUHK</t>
  </si>
  <si>
    <t>Our CUHK (Student Experience)  我們的中大 (學生體驗)</t>
  </si>
  <si>
    <t>Building a vibrant student experience is a key pillar of CUHK Strategic Plan 2021–2025. Learn more on the University’s effort to engaging students from the video. 
中大策略計劃 2021–2025 以豐富學生的學習體驗為其中一個重點範疇，透過此短片，了解更多大學在加強學生參與方面的工作。
Connect with Us 聯絡我們: https://linktr.ee/CUHK</t>
  </si>
  <si>
    <t>《疫久嘗新》預告片 Alumni@Workplace Teaser</t>
  </si>
  <si>
    <t>【《疫久嘗新》一連四集　即將首播！】
四個不同行業，四種面對疫境的態度。
疫情加速社會演變，在新常態中，哪些行業繼續一枝獨秀、茁壯成長？求職者又如何看準機遇，裝備自己？一個讓中大校友交流的特輯，一個由中大人一手一腳包辦的企劃， 11月30日起一連四集，即將首播！
========================================
節目預告：
第一集︰外送服務 — 葉曉慧（社會科學院）
第二集：教育 — 朱子穎（教育學院）
第三集：生物科技 — 蔡佩樺（理學院）
第四集：旅遊 — 陳智遠（社會科學院）
#香港中文大學 #疫久嘗新 #中大人 #葉曉慧 #朱子穎 #蔡佩樺 #陳智遠
【”Alumni@Workplace” 4 Episodes Coming Soon!】
Four different industries, four kinds of attitude towards the pandemic. 
COVID-19 accelerates social evolution. Under the “new normal”, which industries can stand out and thrive? How can job seekers seize opportunities and equip themselves? This programme allows CUHK alumni to exchange their ideas. It is all arranged and produced by CUHKers as well. 4 consecutive episodes will premiere from 30 November!
========================================
Coming up next:
Episode 1: Food Delivery – Ding Ding (Faculty of Social Science)
Episode 2: Education – Headmaster Chu Tsz Wing (Faculty of Education)
Episode 3: Biotechnology – Dr. Choi Pui Wah (Faculty of Science)
Episode 4: Travel – Paul Chan (Faculty of Social Science)
#CUHK #CUHKCPDC #OSA #AlumniAtWorkplace #CUHKers #DingDing #HeadmasterChu #DrChoi #PaulChan
Connect with Us 聯絡我們: https://linktr.ee/CUHK</t>
  </si>
  <si>
    <t>粵港澳大灣區發展論壇暨香港中文大學大灣區發展成果研討會開幕典禮</t>
  </si>
  <si>
    <t>為慶祝中大於粵港澳大灣區發展十五周年，大學於10月28日舉辦「粵港澳大灣區發展論壇暨香港中文大學大灣區發展成果研討會」，簽署了七份新的戰略合作夥伴協議，進一步鞏固香港在大灣區創新科技方面的地位。
In a major celebration of its 15-year presence in the Guangdong-Hong Kong-Macau Greater Bay Area (GBA), at a special forum CUHK unveiled seven new strategic partnerships that are set to strengthen Hong Kong’s presence in the region’s emerging innovation and technology ecosystem.
聯絡我們 Connect with Us: https://linktr.ee/CUHK</t>
  </si>
  <si>
    <t>粵港澳大灣區發展論壇暨香港中文大學大灣區發展成果研討會</t>
  </si>
  <si>
    <t>為慶祝中大於粵港澳大灣區發展十五周年，大學於10月28日舉辦「粵港澳大灣區發展論壇暨香港中文大學大灣區發展成果研討會」，簽署了七份新的戰略合作夥伴協議，進一步鞏固香港在大灣區創新科技方面的地位。
論壇以"承先啟後，繼往開來"為主題，以成果展覽、主題演講、專題論壇等形式，回顧港中大15年來在大灣區的發展歷程，展示大學在灣區發展期間取得的豐碩成果！
主題演講 （一）香港中文大學大灣區發展的回顧與前瞻
主持：香港中文大學校長段崇智教授
主講：香港中文大學藍饒富暨藍凱麗經濟學講座教授劉遵義教授
主題演講 （二）中長期視角下的中國經濟與大灣區發展
主持：香港中文大學（深圳）副校長朱世平教授
主講：國務院發展研究中心宏觀經濟研究部副部長許偉博士
大學與創科發展在大灣區論壇
主持人：香港中文大學常務副校長陳金樑教授
講者：
1. 樊建平院士（中國科學院深圳先進技術研究院院長、中國科學院深圳理工大學籌備辦主任、國際歐亞科學院院士）
2. 盧煜明教授（香港中文大學醫學院李嘉誠健康科學研究所所長、李嘉誠醫學講座教授及化學病理學講座教授）
3. 林達華教授（香港中文大學人工智慧交叉學科研究所暫任所長、商湯科技聯合創始人）
4. 李睿宇博士（思謀科技聯合創始人兼產品總經理）
In a major celebration of its 15-year presence in the Guangdong-Hong Kong-Macau Greater Bay Area (GBA), at a special forum CUHK unveiled seven new strategic partnerships that are set to strengthen Hong Kong’s presence in the region’s emerging innovation and technology ecosystem.
Thematic Talk 1: Retrospect and Prospects of CUHK Development in the Greater Bay Area
Host: Professor Rocky S. TUAN, Vice-Chancellor and President,
The Chinese University of Hong Kong
Speaker: Professor Lawrence J. LAU, Ralph and Claire Landau Professor of Economics,
The Chinese University of Hong Kong
Thematic Talk 2: China’s Economy and Greater Bay Area Development in Medium and Long Term
Host: Professor Shiping ZHU, Vice President of
The Chinese University of Hong Kong (Shenzhen)
Speaker: Dr. Wei XU, Deputy Director-General, Department of Marcoeconomic Research,
Development Research Center of the State Council
Forum on Development of The Chinese University of Hong Kong and Innovation and Technology in the Greater Bay Area
Host: Professor Alan K.L. CHAN, Provost, The Chinese University of Hong Kong
Speakers:
． Professor Jianping FAN, President of Shenzhen Institute of
Advanced Technology (SIAT), Chinese Academy of Science (CAS),
Director of the Preparatory Office of SIAT University, CAS, and Academician of the
International Eurasian Academy of Sciences
． Professor Dennis LO, Director, Li Ka Shing Institute of Health Sciences, Li Ka Shing
Professor of Medicine, and Professor of Chemical Pathology,
The Chinese University of Hong Kong
． Professor Dahua LIN, Interim Director of CUHK Interdisciplinary Artificial Intelligence
Research Institute and Co-founder of SenseTime
． Dr. Ruiyu LI, Co-founder and Head of Product of SmartMore
聯絡我們 Connect with Us: https://linktr.ee/CUHK</t>
  </si>
  <si>
    <t>承先啟後繼往開來　多位重量級嘉賓亮相粵港澳大灣區發展論壇！</t>
  </si>
  <si>
    <t>【#承先啟後繼往開來　多位重量級嘉賓亮相粵港澳大灣區發展論壇！】
早在2006年，#香港中文大學（中大）便踏足深圳，是香港最早在粵港澳大灣區開展學術、科研合作的香港高等院校之一，今年適逢中大在灣區發展的第15年，中大將舉辦"#粵港澳大灣區發展論壇暨香港中文大學大灣區發展成果研討會"。
論壇以"承先啟後，繼往開來"為主題，以成果展覽、主題演講、專題論壇等形式，回顧港中大15年來在大灣區的發展歷程，展示大學在灣區發展期間取得的豐碩成果！
兩場主題演講及一場專題論壇邀請了多位重量級嘉賓出席，詳情如下：
日期：2021年10月28日（星期四）
時間：上午10時20分至下午1時正
網上直播連結（ZOOM平台）：https://cuhk.zoom.us/j/93563499864 
主題演講 （一）香港中文大學大灣區發展的回顧與前瞻
主持：香港中文大學校長段崇智教授
主講：香港中文大學藍饒富暨藍凱麗經濟學講座教授劉遵義教授
主題演講 （二）中長期視角下的中國經濟與大灣區發展
主持：香港中文大學（深圳）副校長朱世平教授
主講：國務院發展研究中心宏觀經濟研究部副部長許偉博士
大學與創科發展在大灣區論壇
主持人：香港中文大學常務副校長陳金樑教授
講者：
1. 樊建平院士（中國科學院深圳先進技術研究院院長、中國科學院深圳理工大學籌備辦主任、國際歐亞科學院院士）
2. 盧煜明教授（香港中文大學醫學院李嘉誠健康科學研究所所長、李嘉誠醫學講座教授及化學病理學講座教授）
3. 林達華教授（香港中文大學人工智慧交叉學科研究所暫任所長、商湯科技聯合創始人）
4. 李睿宇博士（思謀科技聯合創始人兼產品總經理）
聯絡我們 Connect with Us: https://linktr.ee/CUHK</t>
  </si>
  <si>
    <t>中大網上本科入學資訊日歡迎辭 Welcoming Speech of CUHK Information Day</t>
  </si>
  <si>
    <t>聯絡我們 Connect with Us: https://linktr.ee/CUHK</t>
  </si>
  <si>
    <t>我們的中大 Our CUHK</t>
  </si>
  <si>
    <t>剛畢業的同學說，中大最吸引的是其秀逸的大自然環境；一年級新生說，中大最獨特的是其書院制度；畢業數年的校友說，最欣賞的是中大老師和員工展現的人文精神。中大有何吸引之處？不如一起細聽「我們的中大」吧。
有興趣了解中大更多，可以參加今個星期六 （10月16日）的中大網上本科入學資訊日 (Info Day)，立即登記吧：https://www.cuhk.edu.hk/infoday  
A fresh graduate says he’s most attracted to the stunning natural environment of CUHK. A year-1 freshman says she likes the unique college system of CUHK the most. Some alumni say their best memory of CUHK is the humanistic concern demonstrated by CUHK teachers and staff members. Why do they have deep affection for CUHK? Let’s listen to their feelings on “Our CUHK”.
Want to know more on CUHK? You can join the CUHK Virtual Information Day for Undergraduate Admissions (Info Day) scheduled for this Saturday (16 October). Register now at https://www.cuhk.edu.hk/infoday   
#香港中文大學 #中大 #中大網上本科入學資訊日
#thechineseuniversityofhongkong #cuhk #CUHKVirtualInformationDayforUndergraduateAdmission
聯絡我們 Connect with Us: https://linktr.ee/CUHK</t>
  </si>
  <si>
    <t>演藝追夢人—張靜文 Dream Chaser—Eugenea Cheung</t>
  </si>
  <si>
    <t>入讀大學其中一個原因，是為了將來的事業發展鋪路，不過工作與興趣往往很難兼顧。校友張靜文（新聞與傳播學）憑著對京昆的熱愛，一直堅持兼任傳媒人及京昆演員。對於她而言，第一次在鏡頭前報道新聞，與第一次踏上台板表演，兩者的感受到底有何分別？在追尋夢想的旅途上，她又遇過甚麼困難？發生怎樣的難忘事？立即觀看完整訪問，了解更多！
同學對於選報大學課程有任何疑問，中大將於10月16日(星期六)舉辦網上本科入學資訊日！活動設有多場 #入學講座、超過 110 個 #網上展位，更有即時問答時段，絕對是一個一站式平台，等你了解中大的學科、獨特的書院生活，以及其他學習機會。
歡迎同學、家長和老師參加，費用全免，立即登記：https://cuhkinfoday2021.eventx.io/index-tc.html　
-----------------------------------
重溫【演藝追夢人】系列
章彥琦: https://bit.ly/39NQgTZ
阿正: https://bit.ly/3BF9GXj 
#演藝追夢人 #香港中文大學 #中大網上本科入學資訊日 #中大
One of the reasons for entering university is to pave the way for your future career, but it is hard to strike the balance between work and hobbies. With a passion for Jingqun, CUHK alumna Eugenea Cheung (Journalism and Communication) perseveres to become a media person and a Jingqun actress simultaneously. What is the difference in  Eugenea's true feelings between the first time she reported news in front of the camera, and the first time she performed on stage? As she was chasing her dream, what difficulties did she encounter and what unforgettable things happened? Watch her interview and get to know more!
If you have any questions about programme choices, CUHK will hold a Virtual Information Day for Undergraduate Admission on 16 Oct (Sat)! Over 110 virtual booths will be showcased and live chat sessions will be available throughout the day. It’s definitely a one-stop platform for you to learn about our different academic programmes, unique college life, and other learning opportunities. 
The event is free-of-charge. All are welcome. Register now at
https://cuhkinfoday2021.eventx.io/index.html
-----------------------------------
Revisiting “Dream Chaser”video series
Ashley Cheung: https://bit.ly/39NQgTZ
Ah Jeng: https://bit.ly/3BF9GXj 
#chasingdreams #thechineseuniversityofhongkong #cuhk #CUHKVirtualInformationDayforUndergraduateAdmission
聯絡我們 Connect with Us: https://linktr.ee/CUHK</t>
  </si>
  <si>
    <t>粵港澳大灣區發展論壇暨香港中文大學大灣區發展成果研討會 10月28日隆重登場！</t>
  </si>
  <si>
    <t>隨著在《粵港澳大灣區發展規劃綱要》及"十四五規劃"的公布及推展，#粵港澳大灣區 的發展被深度納入國家發展大局，國家更明確提出加強粵港澳 #產學研 協同發展，建設綜合性國家科學中心。
#香港中文大學  (中大)在大灣區先後落地項目包括深圳先進技術研究院、深圳研究院、再生醫學高等研究院、香港中文大學(深圳)、深圳研究院眾創中心、深圳創新研究院(福田)等。
適逢今年是中大踏足大灣區15周年，將於10月28日舉辦「粵港澳大灣區發展論壇暨香港中文大學大灣區發展成果研討會」，展示中大多年來的大灣區發展建設成果！
期待各位中大人承先啟後、繼往開來，共同引領大灣區進入新時代發展模式！
活動將於香港、深圳兩地連線直播，歡迎網上參加！
詳情如下：
日期：2021年10月28日（星期四）
時間：上午10時20分至下午1時正
參與形式：網上直播 （ZOOM平台）
立即登記:https://bit.ly/3mOXe0U
主題演講及論壇
主題演講 （一）香港中文大學大灣區發展的回顧與前瞻
主持： 香港中文大學校長段崇智教授
主講： 香港中文大學藍饒富暨藍凱麗經濟學講座教授劉遵義教授
主題演講 （二）大灣區的發展與國家的經濟佈局
主持：香港中文大學（深圳）副校長朱世平教授
主講：國務院發展研究中心宏觀經濟研究部部長陳昌盛博士
大學與創科發展在大灣區論壇
主持人：香港中文大學常務副校長陳金樑教授
講者：
1. 樊建平院長（中國科學院深圳先進技術研究院院長、中國科學院深圳理工大學籌備辦主任、國際歐亞科學院院士）
2. 盧煜明教授（香港中文大學醫學院李嘉誠健康科學研究所所長、李嘉誠醫學講座教授及化學病理學講座教授）
3. 林達華教授（香港中文大學人工智能交叉學科研究所暫任所長、商湯科技聯合創始人）
4. 李睿宇博士（思謀科技聯合創始人兼產品總經理）
聯絡我們 Connect with Us: https://linktr.ee/CUHK</t>
  </si>
  <si>
    <t>演藝追夢人—阿正 Dream Chaser—Ah Jeng</t>
  </si>
  <si>
    <t>【#演藝追夢人 — #阿正 🗣️🎙️📻】
各位準DSE考生除了努力溫習，備戰考試外，是否正在為JUPAS選報課程而煩惱？其實就算讀哪一科，只要敢於追夢，便是勝利！ 
現職電台DJ的阿正 #黃正宜（#新聞與傳播學），由細到大都努力朝著這個目標進發，現在可算得上是夢想成真！在電台的工作時，同樣係中大出身的大師兄 #森美 常常提點阿正，他們之間的相處如何？一路走來，阿正追夢時也曾缺乏信心，是甚麼東西令她堅持下去，而且一講起會眼濕濕？立即睇片就知！
睇完條片後，仍然對大學選科充滿疑問？唔洗擔心！中大將於10月16日(星期六)舉辦網上本科入學資訊日，安排了不同講座，介紹各學系課程，還有在線即時對話，解答大家的疑問！
立即登記：https://cuhkinfoday2021.eventx.io/index-tc.html　
-----------------------------------
重溫【演藝追夢人】系列
章彥琦: https://bit.ly/39NQgTZ 
#香港中文大學 #中大 #中大網上本科入學資訊日 
【Dream Chaser—Ah Jeng🗣️🎙️📻】
All HKDSE candidates should be working hard preparing for the examination. Are you also struggling to select your programme choices in JUPAS? No matter which subject you choose, you will win as long as you dare to chase your dreams.
Currently a radio DJ, Ah Jeng / Wong Ching Yee (Journalism and Communication) has worked hard to achieve her goals since she was a kid. Now she regards it as a dream come true. While she has been working at the radio station, Sammy, who also graduated from CUHK, has often coached and prompted her as her senior. How do they get along? Along the way, when Ah Jeng was chasing her dream, she once lost her confidence. What made her persist? She was almost in tears when she talked about it. Check out this video!
You still have questions about choosing programmes? No worries! CUHK is going to organize Virtual Information Day for Undergraduate Admission on 16 Oct (Sat). There will be many talks to introduce different programmes. Live chat sessions will also be arranged to answer your questions!
Register now: https://cuhkinfoday2021.eventx.io/index.html 
-----------------------------------
Revisiting “Dream Chaser”video series
Ashley Cheung: https://bit.ly/39NQgTZ
#chasingdreams #thechineseuniversityofhongkong #cuhk #CUHKVirtualInformationDayforUndergraduateAdmission
聯絡我們 Connect with Us: https://linktr.ee/CUHK</t>
  </si>
  <si>
    <t>中大創新日2021  五大創新主題等你探究  CUHK Innovation Day 2021 Explore the 5 Emerging Technologies</t>
  </si>
  <si>
    <t>看看眼前電腦電話，你有多少個應用程式是因應疫情而下載？
至今，全世界的教學和工作模式都有所轉變。不少初創應運而生，將上游的大學知識帶到下游應用，創造社會影響，達至知識轉移的目標！
如果不想錯過這個激動人心的時刻，就一定要參加中大創新日！
直至2021年，中大申請超過3,300項專利，位列全港大學首位。而大學將於2021年9月23日舉辦中大創新日，當日會展出大學部分創新成果！
參加以下主題講座，深入認識5大創新科技：
📲 #Satellite , #MobileSensingTechnologies and #PublicHealthInfrastructure
⚡ #GreenEnergy and Advanced Materials
🩺 #TissueEngineering and #RegenerativeMedicine
🔭 Industry Insights: Future Demand of Technologies
🛰️ Advantages of Future CUHK Satellite
🌫️ Laser-based #GasSensing
👶 Strategies to Enhance #EarlyLanguageDevelopment
創新日會於大學校園及線上同步舉行，隨時隨地都可以參與這場創新盛會，立即報名： https://bit.ly/38Wh8AM
Take a look at your computer and cellphone. How many apps have you downloaded due to the pandemic outbreak? 
The way the world works, teaching and learning has changed. As a result, many start-ups were born, bringing upstream knowledge from universities to downstream applications to create societal impact!
Don’t want to miss out on the excitement? Join the first CUHK Innovation Day to learn more!
As of today, CUHK has filed over 3,300 patents, ranking first among universities in Hong Kong. The CUHK Innovation Day will showcase a taste of innovation on 23 September 2021. 
Join the thematic lectures below to learn more about the 5 innovative technologies:
📲 Satellite, Mobile Sensing Technologies and Public Health Infrastructure
⚡ Green Energy and Advanced Materials
🩺 Tissue Engineering and Regenerative Medicine
🔭 Industry Insights: Future Demand of Technologies
🛰️ Advantages of Future CUHK Satellite
🌫️ Laser-based Gas Sensing
👶 Strategies to Enhance Early Language Development
The event will be held simultaneously on the university campus and online. Participate with one click, anytime, anywhere. Register now: https://bit.ly/38Wh8AM
聯絡我們 Connect with Us: https://linktr.ee/CUHK</t>
  </si>
  <si>
    <t>Nurturing knowledgeable decision makers in SEEM 培育具備系統工程與工程管理知識的決策者</t>
  </si>
  <si>
    <t>The Department of Systems Engineering and Engineering Management was established in 1991 as the first of its kind in tertiary educational institutions in Hong Kong. The scope of the research area of the Department covers Financial Engineering and FinTech, Service Engineering and Management, Logistics and Supply Chain Management, Operations Research, and Information Systems. SEEM supports Hong Kong’s pillar industries and our diverse programmes educate students for applying the engineering techniques to the management for optimal decision-making in complex environments.
系統工程與工程管理學於1991年成立，為香港首個系統工程與工程管理學系。本學系的研究領域包括金融工程、金融科技、服務工程及管理、物流及供應鏈管理、運籌學及信息系統。系統工程與工程管理學支援著香港經濟的支柱產業，而學系多元化的課程亦教導學生把所學的技術應用於管理上，從而能在複雜的環境下進行決策。
聯絡我們 Connect with Us: https://linktr.ee/CUHK</t>
  </si>
  <si>
    <t>中大創新日2021：創新創意 盡在其中 CUHK Innovation Day 2021: Innovation, Patents and Beyond</t>
  </si>
  <si>
    <t>【中大創新日2021：創新創意 盡在其中】
在「路透社亞太區最具創新力大學」排名中，中大連續4年 (2016-2019) 居於全港首位，大學迄今申請的專利達3300 多項，為全港最多 🏆。為推動和鼓勵大學社群繼續運用創意產生社會影響，並表揚和展示豐碩的研究和創新成果，中大將於2021年9月23日於校園和線上同步舉行第一屆 #中大創新日💡。
大學和社會間的知識轉移可以透過借助知識產權、進行創業活動和科研成果產業化，為社會和企業帶來經濟效益和改善。🤝
活動當日將有：
🗣️ 14 位講者
💡 20 個展覽（實體和虛擬）
🚀 展示衛星技術、機器人、生物醫學和教育領域的創新創意
即上網站了解更多，座位數量有限，請盡早報名！👉 https://bit.ly/38Wh8AM
【CUHK Innovation Day 2021: Innovation, Patents and Beyond】
CUHK ranked 1st in Hong Kong in the Reuters Asia Pacific's Most Innovative Universities ranking in 2016 -2019 and has filed more than 3300 patents to date, top among local universities 🏆. In order to inspire and encourage the CUHK community to continue to innovate for societal impact and showcase our research and innovation achievements, we will organise the 1st ever #CUHKInnovationDay on 23 September 2021. The event will be held simultaneously on CUHK campus and online. 💡 
Through capitalisation of intellectual property, entrepreneurial activities and the commercialisation of R&amp;I projects, the transfer of knowledge between universities and society helps bring about a socio-economic impact and improvements to the community and businesses. 🤝 
The day will include:
🗣️ 14 Speakers
💡 20 booths (Hybrid)
🚀 Innovation in the areas of satellite technologies, robotics, biomedicine &amp; education
Learn more and secure your seat NOW! 👉 https://bit.ly/38Wh8AM
聯絡我們 Connect with Us: https://linktr.ee/CUHK</t>
  </si>
  <si>
    <t>中大校長段崇智教授致新生的話 Welcome Message to New Students by Prof Rocky Tuan, CUHK Vice-Chancellor/President</t>
  </si>
  <si>
    <t>【中大校長段崇智教授致新生的話】
段崇智校長向新生發表歡迎詞。新學年中大恢復面授教學，段校長表示：「現時本港的感染率相對較低，我們熱切期盼在新學年恢復面授教學及學習活動，重見久違了的活力校園。」
段校長提到：「中大為你們提供的教育，並不限於專業知識及實用技能。我們希望大家在畢業的時候，已經為應對現實世界中的挑戰作好準備，具備所需的軟實力，成為負責任的本地及世界公民，過充實而豐盛的生活。」
段校長於本科課程設計、中大對全人發展的重視，以及培養學生全球視野三方面，向新生簡介一些具體細節。
【Welcome Message to New Students by Professor Rocky S. Tuan, CUHK Vice-Chancellor and President】
Professor Rocky S. Tuan, CUHK Vice-Chancellor and President delivered a welcome message for new students. The University resumes face-to-face teaching and learning in the new semester. “As the current rate of local infections remains relatively low, we eagerly look forward to resuming face-to-face teaching and learning activities and seeing the greatly missed vibrant campus in the new semester,” said Professor Tuan. 
“The education that you will receive in CUHK is not only about our imparting to you technical and practical knowledge. We are here to prepare you for local and global challenges in the real world, to equip you with the soft skills, and to nurture you to be responsible global citizens. In other words, the CUHK experience will allow you to live and flourish,” said Professor Tuan. 
Specifically, Professor Tuan briefed new students on CUHK’s undergraduate curriculum, the University's commitment on whole-person development, and our global engagement.
聯絡我們 Connect with Us: https://linktr.ee/CUHK</t>
  </si>
  <si>
    <t>中大創業大賽2021　五強一較高下！CUHK Entrepreneurship Competition 2021 Five Finalists Fight It Out!</t>
  </si>
  <si>
    <t>【中大創業大賽2021　五強一較高下！🗣️🏆】
中大創業大賽今年已是第五屆舉行，晉身最後5強的初創企業將於現場施展渾身解數，爭奪冠軍殊榮。決賽評審團由香港科技園公司和香港數碼港的代表，以及三位豐富創投經驗的校友投資者組成，冠亞季軍的隊伍可分別獲得港幣5萬元、3萬元及2萬元的獎金，以作鼓勵。
成功入圍的最後五強包括：
1. 貝思生物科技有限公司—王海天（中大賽馬會公共衞生及基層醫療學院副教授）
2. 生物醫學科技控股有限公司—曾志謙（1984崇基經濟）、徐國榮（1985崇基化學）、盧景勳（2002崇基內外全科醫學） 
3. 漢鵬輔助生殖科技有限公司—趙銘鵬（2020研究院婦產科哲學博士）
4. 朗思科技有限公司—任偉（中大機械與自動化工程學系副教授）、許可（2020研究院機械與自動化工程哲學博士）、陳思捷（2020研究院生物醫學工程學） 
5. 騰熠科技有限公司—馮威棠（2000研究院訊息工程學）
立即睇片！了解五強過人之處！
----------------------------------
立即報名參加中大創業日2021➡️ https://bit.ly/3E7a4jd 
更多精彩活動資訊，請密切留意「中大創業日」網站：http://www.alumni.cuhk.edu.hk/cuhkeday
#中大創業大賽2021 #中大創業日2021 #創業創新 #共享共贏
【CUHK Entrepreneurship Competition 2021 Five Finalists Fight It Out!🗣️🏆】
The CUHK Entrepreneurship Competition is being held for the fifth time. The five finalists are going to pull out all the plugs competing for the championship. The judging panel is composed of two representatives from Hong Kong Science and Technology Parks and Cyberport, and three alumni investors with rich venture capital experience. The winners, 1st runners-up and 2nd runners-up will receive prizes of $50K, $30K and $20K respectively. 
The five finalists are:
1. Beth Bioinformatics Co., Ltd— (Professor Maggie Wang)
2. BioMed Technology Holdings Limited— (Mr. Vincent Tsang, Professor Stephen Tsui, Dr. Steven Loo)
3. Han-Peng Assisted Reproductive Technology Limited— (Dr. Ming Peng Zhao)
4. LaSense Technology Limited— (Professor Wei Ren, Dr. Ke Xu, Miss Sigrid Chan)
5. LeapFlash Technology Limited— (Dr. Torin Fung)
Let’s watch the video and get to know more about their strength! 
----------------------------------
Register now➡️ https://bit.ly/3E7a4jd 
Please stay tuned to CUHK E-Day Website for more event information：http://www.alumni.cuhk.edu.hk/cuhkeday 
#CUHKEntrepreneurDay2021 #CUHKEDay2021 #Entrepreneurship #Innovation #SharingforGood 
聯絡我們 Connect with Us: https://linktr.ee/CUHK</t>
  </si>
  <si>
    <t>中大創業日2021—創業創新‧共享共贏 CUHK Entrepreneur Day 2021—Entrepreneurship‧Innovation‧Sharing for Good</t>
  </si>
  <si>
    <t>第七屆「中大創業日」將於9月24至25日隆重舉行！
本年活動特別以「創業創新．共享共贏」為主題，除了有香港貿易發展局及中大創業者聯盟的鼎力支持外，更有幸邀得香港科學園、數碼港、阿里巴巴創業者基金成為合作夥伴，促進大學與校外創業相關機構多方面的交流，讓中大創業人與校友投資者互動共贏。 
活動以線上與線下的混合模式舉行，方便中大人親身出席或於網上參與。連串精彩節目包括：
🟠✨全新✨創業項目互動展示區 (實體)
🟠100+初創項目展覽 (網上)
🟠中大創業大賽決賽
🟠多場主題講座
🟠中大創業者聯盟Happy Hour X 創業大師班
🟠創業小型工作坊
立即報名➡️ https://bit.ly/3E7a4jd 
更多精彩活動資訊，請密切留意「中大創業日」網站：http://www.alumni.cuhk.edu.hk/cuhkeday
#中大創業日2021 #創業創新 #共享共贏
The 7th CUHK Entrepreneur Day 2021 (E-Day) will be held on September 24 and 25!
Themed as "Entrepreneurship‧Innovation‧Sharing for Good", E-Day this year aims to encourage CUHK members to join hands and promote entrepreneurship and innovation for good in Hong Kong. This event has not only received support from the Hong Kong Trade Development Council (HKTDC) and CUHK Entrepreneurs Alliance, but we have also invited Hong Kong Science &amp; Technology Parks Corporation (HKSTP), Cyberport and the Alibaba Entrepreneurs Fund to become our partners.    
This event will go hybrid (mixture of offline and online programmes) to facilitate all CUHK members. Programmes include:
🟠✨New✨Interactive Display Zone 
🟠Online Exhibition of 100+ Start-up Projects 
🟠CUHK Entrepreneurship Competition Final
🟠A series of Thematic Talks 
🟠CUEA Happy Hour X Entrepreneurial Masterclass
🟠Entrepreneurial Workshops
Register now➡️ https://bit.ly/3E7a4jd 
Please stay tuned to CUHK E-Day Website for more event information：http://www.alumni.cuhk.edu.hk/cuhkeday
#CUHKEntrepreneurDay2021 #Entrepreneurship #Innovation #SharingforGood
聯絡我們 Connect with Us: https://linktr.ee/CUHK</t>
  </si>
  <si>
    <t>香港中文大學策略計劃 2021–2025（《中大2025》）（普通話版）CUHK Strategic Plan 2021–2025 ('CUHK 2025') (Mandarin version)</t>
  </si>
  <si>
    <t>現在，中大是時候展開新的策略計劃。中大策略計劃2021–2025（《中大2025》）以「力臻卓越，任重志遠」為目標，勾畫出我們未來五年的目標和方向，重點有兩個——固本培元、變革求進。
《中大2025》是廣泛諮詢大學成員後得到的成果，計劃涵蓋了大學運作的七大範疇——教育、學生體驗、研究與創新、人才招攬及發展、全球視野、凝聚校友及大學拓展、社會責任及可持續發展。
《中大2025》確立我們未來的方向，努力建立一個擁抱多元的社群，同心協力貢獻香港以至全球。
英文版: https://youtu.be/pCYiqV3FfGQ
廣東話版: https://youtu.be/edTLeZNFwkI
The time has come for a new strategic plan for CUHK. With the theme of ‘Excellence with Purpose and Responsibility’, CUHK Strategic Plan 2021–2025 (‘CUHK 2025’) maps out our aims and direction over the next five years, with a dual focus on cultivating the fundamentals and leading positive change.
‘CUHK 2025’ is the result of extensive consultations with members of the University. Seven key areas are addressed in it, including education, student experience, research and innovation, talent attraction and development, global engagement, alumni engagement and institutional advancement, and social responsibility and sustainable development.
With 'CUHK 2025', we aim to chart our future direction and build a community that embraces diversity and stays united in its effort to enrich the lives of the people of Hong Kong and beyond.
English version: https://youtu.be/pCYiqV3FfGQ
Cantonese version: https://youtu.be/edTLeZNFwkI
聯絡我們 Connect with Us: https://linktr.ee/CUHK</t>
  </si>
  <si>
    <t>香港中文大學策略計劃 2021–2025（《中大2025》）（廣東話版）CUHK Strategic Plan 2021–2025 ('CUHK 2025') (Cantonese version)</t>
  </si>
  <si>
    <t>現在，中大是時候展開新的策略計劃。中大策略計劃2021–2025（《中大2025》）以「力臻卓越，任重志遠」為目標，勾畫出我們未來五年的目標和方向，重點有兩個——固本培元、變革求進。
《中大2025》是廣泛諮詢大學成員後得到的成果，計劃涵蓋了大學運作的七大範疇——教育、學生體驗、研究與創新、人才招攬及發展、全球視野、凝聚校友及大學拓展、社會責任及可持續發展。
《中大2025》確立我們未來的方向，努力建立一個擁抱多元的社群，同心協力貢獻香港以至全球。
英文版: https://youtu.be/pCYiqV3FfGQ
普通話版: https://youtu.be/PtF1_MhYtns
The time has come for a new strategic plan for CUHK. With the theme of ‘Excellence with Purpose and Responsibility’, CUHK Strategic Plan 2021–2025 (‘CUHK 2025’) maps out our aims and direction over the next five years, with a dual focus on cultivating the fundamentals and leading positive change.
‘CUHK 2025’ is the result of extensive consultations with members of the University. Seven key areas are addressed in it, including education, student experience, research and innovation, talent attraction and development, global engagement, alumni engagement and institutional advancement, and social responsibility and sustainable development.
With 'CUHK 2025', we aim to chart our future direction and build a community that embraces diversity and stays united in its effort to enrich the lives of the people of Hong Kong and beyond.
English version: https://youtu.be/pCYiqV3FfGQ
Mandarin version: https://youtu.be/PtF1_MhYtns
聯絡我們 Connect with Us: https://linktr.ee/CUHK</t>
  </si>
  <si>
    <t>CUHK Strategic Plan 2021-2025 ('CUHK 2025') (English version) 香港中文大學策略計劃 2021–2025（《中大2025》）（英語版）</t>
  </si>
  <si>
    <t>The time has come for a new strategic plan for CUHK. With the theme of ‘Excellence with Purpose and Responsibility’, CUHK Strategic Plan 2021–2025 (‘CUHK 2025’) maps out our aims and direction over the next five years, with a dual focus on cultivating the fundamentals and leading positive change. 
‘CUHK 2025’ is the result of extensive consultations with members of the University. Seven key areas are addressed in it, including education, student experience, research and innovation, talent attraction and development, global engagement, alumni engagement and institutional advancement, and social responsibility and sustainable development.
With 'CUHK 2025', we aim to chart our future direction and build a community that embraces diversity and stays united in its effort to enrich the lives of the people of Hong Kong and beyond.
Cantonese version: https://youtu.be/edTLeZNFwkI
Mandarin version: https://youtu.be/PtF1_MhYtns
現在，中大是時候展開新的策略計劃。中大策略計劃2021–2025（《中大2025》）以「力臻卓越，任重志遠」為目標，勾畫出我們未來五年的目標和方向，重點有兩個——固本培元、變革求進。
《中大2025》是廣泛諮詢大學成員後得到的成果，計劃涵蓋了大學運作的七大範疇——教育、學生體驗、研究與創新、人才招攬及發展、全球視野、凝聚校友及大學拓展、社會責任及可持續發展。
《中大2025》確立我們未來的方向，努力建立一個擁抱多元的社群，同心協力貢獻香港以至全球。
廣東話版: https://youtu.be/edTLeZNFwkI
普通話版: https://youtu.be/PtF1_MhYtns
聯絡我們 Connect with Us: https://linktr.ee/CUHK</t>
  </si>
  <si>
    <t>中秋．讓愛傳出去 Let Love Spread at Moon Festival</t>
  </si>
  <si>
    <t>一年一度的中秋佳節，在疫情之下除了與親友一同慶祝外，也不忘為一班獨居長者送上關懷，讓愛走動。現在只要購買一盒「中大愛心月餅」與家人一同分享，就會有一個月餅送到獨居長者手上，讓愛長存。
「中大愛心月餅」每盒有四個低糖雙黃白蓮蓉月餅。中大為支持社會企業，特別委託明愛天糧製作中大月餅，明愛天糧透過經營飽點烘培業務，為精神病康復者及殘疾人士創造就業機會，協助他們融入社區生活。每售出一盒，中大就會送上一個「中大愛心月餅」給沙田、大埔獨居長者，由NGO合作夥伴送至長者家門，減少人群接觸。長者安坐家中收到月餅，月餅收益將撥捐中大博群計劃。
「中大愛心月餅」為一盒四個低糖雙黃白蓮蓉月餅，每盒糖份只有10.8克，售價HK$300 。
購買月餅兼可傳播愛心，一舉兩得！今年亦會安排速遞送貨服務，數量有限，請即訂購！
查詢: 3943-3945 / souvenirs@cuhk.edu.hk
訂購表格: http://mooncake.cpr.cuhk.edu.hk/orderform
詳情: https://mooncake.cpr.cuhk.edu.hk/
截止日期: 20 August 2021
As well as spending the festive season with the family in the Moon Festival, let’s extend our love to those elderly people living alone. When you buy a box of “CUHK Mooncake”, a mooncake will be delivered to the solitary elderly, letting love spread to people in need.
Each box of CUHK Mooncake includes four low sugar white lotus seed paste mooncakes with double egg yolks. The University has joined hands with Caritas La Vie, a local social enterprise which provides job opportunities for the mentally disabled through its baking workshop, to produce “CUHK Mooncake”. For each box sold, CUHK together with our NGO partners will deliver a free mooncake to the elderly living alone in Shatin and Tai Po. Proceeds from the mooncake sales will be donated to support CUHK I·CARE. 
Each box is sold at HK$300 and includes four low sugar white lotus seed paste mooncakes with double egg yolks. Each contains 10.8 grams of sugar only.
Delivery service is available this year. Stocks are limited, place your order now!
Enquiry : 3943-3945 / souvenirs@cuhk.edu.hk
Ordering form: http://mooncake.cpr.cuhk.edu.hk/orderform
Details : https://www.cpr.cuhk.edu.hk/mooncake
Deadline : 20 August 2021
聯絡我們 Connect with Us: https://linktr.ee/CUHK</t>
  </si>
  <si>
    <t>我們都是中大人II - 第五集：初心 We are CUHKers II – Fifth Episode: Staying True</t>
  </si>
  <si>
    <t>#我們都是中大人II  
不少學生初進中大山城時，充滿抱負和理想，但畢業後如何保持初心？導演 #黃修平 （藝術系）謹記了教授當年的一句話：「陽光底下無新事，許多存在影子中。」即使影子是依附在物件上，但會令物件更立體，當藝術家便需要探討這層面。
黃的好拍檔、編劇 #陳心遙 （人類學系）則認為，人生是累積而成，無論做的任何事會否開心，也是有意義的。
同場加映：二人相識經過，還有黃修平的親筆畫作曝光！想知就立即睇片~
--------------
從預告片開始，共推出了六段影片，我們看到每位中大人透過山城連繫起來，成為同行的夥伴，一路走來，從迷茫中重塑自己，保持初心。
節目重溫：
預告片：我們都是中大人II
https://bit.ly/3qIeBlO 
第一集：連繫—梅詩華（建築學院），一口設計工作室共同創辦人
https://bit.ly/3pl6smz
第二集：同行 —梁雅媛（醫學院），實習醫生
https://bit.ly/3gG3uFt
第三集：夥伴 —陳珊珊（會計學院），Blendit 創辦人
https://bit.ly/3vG9J17
第四集：重塑 —王森（藝術系），陶瓷藝術家、金繼師 
https://bit.ly/2Ubsht4 
＃陳心遙 ＃主演
＃黃浩然 ＃監製編劇導演
＃黃修平 ＃監製編劇主演
Many students are full of ambitions and dreams when they first enter CUHK, but how can they stay true to them after graduation? Director Adam Wong (Fine Arts) remembered a quote from his professor, "There is nothing new under the sun, but much is underlain in shadows." Every object has a shadow which makes it  more dimensional. Being an artist involves exploring this aspect.
Adam Wong’s partner, writer Saville Chan (Anthropology) believes that life is built on experience. Whether things make you happy or not, they are all meaningful.
Screening with: how did these two guys meet each other and become good friends? And Adam Wong’s drawing is also exposed! Let’s watch the video now!
--------------
Starting from the trailer, a total of six videos are produced. We have seen that CUHKers are connected in this campus and become companions. Along the way, they reinvent themselves from confusion and continue staying true.
Revisiting previous stories:
Trailer — We are CUHKers II  
https://bit.ly/3y5TLz9
First episode: Connection — Sarah Mui (Architecture), Co-founder of One Bite Design Studio　
https://bit.ly/3pl6smz
Second episode: Companion — Rachel Leung (Medicine Programme Global Physician-Leadership Stream), Houseman
https://bit.ly/3gG3uFt
Third episode: Friendship — Ashley Chan (Accounting), Founder of Blendit
https://bit.ly/3vG9J17
Fourth episode: Reinvention — Enders Wong (Fine Arts), Ceramics and Kintsugi Artist
https://bit.ly/2Ubsht4 
#SavilleChan #Starring
#AmosWhy #ProducerWriterDirector
#AdamWong #ProducerWriterStarring 
聯絡我們 Connect with Us: https://linktr.ee/CUHK</t>
  </si>
  <si>
    <t>未來工程領袖的完美選擇 Perfect Choice for Future Engineering Leaders</t>
  </si>
  <si>
    <t>中文大學電子工程學系於1970年由諾貝爾物理學獎得主「光纖之父」高錕教授創立。電子工程學課程內容廣泛，與時並進。主要課題包括：納米技術、電子材料、集成電路、光纖通信、無線通信、多媒體及信號處理、和人工智能等。學系致力於培育學生成為工程學科的世界領袖，啟發他們去追求知識和推動電子工程學的發展，以及應用新技術來為人類謀幸福。
The Department of Electronic Engineering was established in 1970 by Prof. Charles Kao, ‘Father of Fibre Optics’ and a Nobel Laureate in Physics. The Department features a dynamic and adaptive curriculum that covers a wide range of topics, including nanotechnology, electronic materials and devices, integrated circuits, opto-electronics and optical communication, telecommunication and wireless systems, multimedia and signal processing, and artificial intelligence. The Department aims at cultivating students to become global leaders in the engineering discipline and inspiring them to pursue knowledge, to advance the state-of-the-art in EE and to apply the new technologies for the betterment of mankind.
聯絡我們 Connect with Us: https://linktr.ee/CUHK</t>
  </si>
  <si>
    <t>演藝追夢人—章彥琦 Dream Chaser—Ashley Cheung</t>
  </si>
  <si>
    <t>今年的 #DSE 快放榜了！同學在考慮更改JUPAS選項時，會作甚麼考慮？大學時讀哪一科，很影響將來的工作嗎？
就讀 #中大哲學系 的導演 #章彥琦 Ashley，反而受父親章國明導演影響，自小接觸電影，並對這個行業感興趣，直至中學時期遇見了一個人，便真正打開通往光影世界的大門。
Ashley除了擔任導演，更是一名編劇，在撰寫劇本的時候，跟很多「哲學人」一樣，會不停推翻自己，像是一段無盡的旅途，不過她最享受事前的資料搜集，每次也可以接觸全新的事物。在Ashley眼中，何謂好電影？她自己又想拍怎樣的電影？答案就在以下影片找到！
#演藝追夢人 #香港中文大學 #中大
The HKDSE examination results will be released soon! What would you consider when modifying programme choices of JUPAS? Will the subject you choose in university affect your future career very much? 
Director Cheung Yin Kei Ashley studied #CUHK_Philosophy but influenced by her father director Alex Cheung. She has been immersed in films and interested in this sector since she was a kid. It was not until she met someone whilst studying in secondary school that the door was really opened towards the world of films.
In addition to acting as a director, Ashley is also a screenwriter. When writing a script, she will be like many "philosophers" and overturn herself constantly, like an endless journey. Nevertheless, she always enjoys doing research because she can learn something new. In Ashley’s eyes, what is a "good movie"? What kind of movie does she like to make? Let’s find the answer in the following video!
#dreamchaser #thechineseuniversityofhongkong #cuhk
聯絡我們 Connect with Us: https://linktr.ee/CUHK</t>
  </si>
  <si>
    <t>帶着獎學金追夢 — 蕭垚靚 Sail to the Dream with a Scholarship — Rice Siu</t>
  </si>
  <si>
    <t>有甚麼比贏獎學金更具挑戰性？是贏得雙獎學金呀！
中大生物化學系四年級學生蕭垚靚（音：遙靜）入讀中大之後，對科學研究達到「上癮」的程度，一放學就會衝進實驗室。憑着對生物化學的熱情，垚靚榮獲「2020/21滙豐海外獎學金」，並以訪問學生的身分到加州大學柏克萊分校學習了一年。在柏克萊期間，她再下一城，獲得「利黃瑤璧千禧獎學金」，將於今年十月負笈英國牛津大學，修讀神經科學博士學位課程。🧠🧪🔬👩‍🔬
垚靚有兩個夢想，一個是研究，另一個是教育。是甚麼啟發她追夢？她有甚麼學習心得？想知道就不要錯過她的訪問啦！
蕭垚靚訪問全文：https://bit.ly/3xCz2Tu
#獎學金 #追夢 #滙豐海外獎學金 #利黃瑤璧千禧獎學金 #中大生物化學 #牛津大學 #加州大學柏克萊分校
What is more challenging than winning a scholarship? It is winning two.
After studying at CUHK, the Biochemistry Year 4 student Rice Siu has become crazy about science. The laboratory is where she goes after school. With her passion for biochemistry, she was awarded the 2020/21 HSBC Overseas Scholarship and got the chance to study at the University of California, Berkeley as a visiting student. During her study there, she won another scholarship which is the Esther Yewpick Lee Millennium Scholarship and will continue her study in a PhD programme in neuroscience at the University of Oxford.🧠🧪🔬👩‍🔬
Rice has two dreams, a researching dream and a teaching dream. What inspired her? What learning tips does she have? Don't miss her interview!
#sailtothedream #scholarship #HSBCOverseasScholarship #EstherYewpickLeeMillenniumScholarship #CUHKbiochemistry #UniversityOfOxford #UCBerkeley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</si>
  <si>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回望．回饋．中大 Looking Back, Giving Back, CUHK</t>
  </si>
  <si>
    <t>四位環球校友諮詢委員會中的校友藉着回望過去，分享他們在中大時的點滴。雖然畢業多年，但仍心繫中大。究竟他們如何運用自己的經驗，於連繫、人才、形象、創新範疇中回饋中大？請觀看短片，了解四位校友的初心。
這四位校友與其他八位身處海外的校友，組成新一屆「環球校友諮詢委員會」。他們連成一線，為大學的未來發展出一分力。成員名單：https://bit.ly/3wBNevN
The four alumni from Global Alumni Advisory Board (GAAB) looked back to share their fond experiences at CUHK with us. Although they have been graduates for many years, they still care about CUHK. How do they make use of their experiences to give back to their alma mater in the areas of “Connection”, “Talent”, “Reputation” and “Innovation”? Let’s watch the video and learn more about how they stay true to themselves.
These four alumni has partnered up with eight other alumni residing overseas, forming the new term of GAAB, to contribute to the future development of the University. Member list: https://bit.ly/3cS5BER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</si>
  <si>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我們都是中大人II - 第四集：重塑 We are CUHKers II - Fourth Episode: Reinvention</t>
  </si>
  <si>
    <t>王森（藝術系）除了是一位陶瓷藝術家，更是一名金繼師。相信大家也很好奇，甚麼是金繼？導演黃修平也一樣，所以他在《重塑》短片中向王森請教，原來這門手藝是以金去延續事物的生命，過程需時七七四十九天。
在學習金繼的過程中，王森領略到即使發生了不好的事，只要能夠借助它，並改變它，便足以扭轉局面，「原來沒有分好壞，時間會令一切都變得美好。」立即睇片，細味更多金繼精神🏺
#我們都是中大人II #重塑 #王森
--------------
節目預告：
第五集：初心 —黃修平（藝術系），電影導演、編劇│陳心遙（人類學系），電影監製、編劇、作詞人
--------------
節目重溫：
第一集：連繫—梅詩華（建築學院），一口設計工作室共同創辦人
https://bit.ly/3pl6smz
第二集：同行 —梁雅媛（醫學院），實習醫生
https://bit.ly/3gG3uFt 
第三集：夥伴 —陳珊珊（會計學院），Blendit 創辦人
https://bit.ly/3vG9J17 
＃陳心遙 ＃主演
＃黃浩然 ＃監製編劇導演
＃黃修平 ＃監製編劇主演
Enders Wong (Fine Arts) is not only a ceramics artist. He also delves into Kintsugi. You are probably very curious about what Kintsugi is. Director Adam Wong who consulted Enders in the “Reinvention” video certainly feels that way. Kintsugi is  mending with gold, thereby extending the lives of broken objects but it takes 49 days to finish the whole process.
During his time learning Kintsugi, Enders came to understand that even if a flawed thing exists, you should embrace and transform the imperfection. Then you may turn the tide. “There is no flawed or perfect. Time makes everything beautiful, moment by moment,” Watch the video and savour the spirit of Kintsugi🏺
--------------
Coming up next:
Fifth episode: Staying true — Adam Wong (Fine Arts), Director, Writer│Saville Chan (Anthropology), Producer, Writer, Lyricist
--------------
Revisiting previous stories:
First episode: Connection — Sarah Mui (Architecture), Co-founder of One Bite Design Studio　
https://bit.ly/3pl6smz
Second episode: Companion — Rachel Leung (Medicine Programme Global Physician-Leadership Stream), Houseman 
https://bit.ly/3gG3uFt 
Third episode: Friendship — Ashley Chan (Accounting), Founder of Blendit
https://bit.ly/3vG9J17 
#SavilleChan #Starring
#AmosWhy #ProducerWriterDirector
#AdamWong #ProducerWriterStarring
--------------
Coming up next:
Fifth episode: Staying true — Adam Wong (Fine Arts), Director, Writer│Saville Chan (Anthropology), Producer, Writer, Lyricist
--------------
Revisiting previous stories:
First episode: Connection — Sarah Mui (Architecture), Co-founder of One Bite Design Studio　
https://bit.ly/3pl6smz
Second episode: Companion — Rachel Leung (Medicine Programme Global Physician-Leadership Stream), Houseman 
https://bit.ly/3gG3uFt 
Third episode: Friendship — Ashley Chan (Accounting), Founder of Blendit
https://bit.ly/3vG9J17 
#SavilleChan #Starring
#AmosWhy #ProducerWriterDirector
#AdamWong #ProducerWriterStarring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</si>
  <si>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我們都是中大人II - 第三集：夥伴 We are CUHKers II - Third Episode: Friendship</t>
  </si>
  <si>
    <t>很多人經常說學生時期交的朋友最真心，對於陳珊珊（會計學院）而言，這確實是毫無懸念。陳珊珊在中大認識到一班志趣相投的好友，讓她獲得滿滿的支持和鼓勵，堅定地走上創業之路。「有甚麼驅使我們幫助她？」「係愛呀！」
年紀輕輕的陳珊珊開設了自家麵包店Blendit，導演黃修平在《夥伴》短片中問道，甚麼因素令她成功開店，陳珊珊認為：「You never lose, you either win or learn!（你從不會失敗，你只會贏或是有所學習！）」想知更多她的創業心得，立即睇片！
#我們都是中大人II #夥伴 #陳珊珊 
--------------
節目預告：
第四集：重塑 —王森（藝術系），陶瓷藝術家、金繼師
第五集：初心 —黃修平（藝術系），電影導演、編劇│陳心遙（人類學系），電影監製、編劇、作詞人
#陳心遙 #主演
#黃浩然 #監製編劇導演
#黃修平 #監製編劇主演
--------------
節目重溫：
第一集：連繫—梅詩華（建築學院），一口設計工作室共同創辦人
https://bit.ly/3pl6smz
第二集：同行 —梁雅媛（醫學院），實習醫生
https://bit.ly/3gG3uFt 
Many people often say that friends they made in school are the most sincere. Ashley Chan (Accounting) is in no doubt about that. Ashley has met a group of like-minded friends at CUHK. She received loads of support and encouragement that set her firmly on the road of entrepreneurship. "What drives us to help her? It’s love!"
Ashley opened her own bakery Blendit at such a young age. Director Adam Wong asks her in the "Friendship" video what made her successful in opening the bakery. She believes, "You never lose, you either win or learn!" Watch the video and know more about her entrepreneurial experience! 
--------------
Coming up next:
Fourth episode: Reinvention — Enders Wong (Fine Arts), Ceramics and Kintsugi Artist
Fifth episode: Staying true — Adam Wong (Fine Arts), Director, Writer│Saville Chan (Anthropology), Producer, Writer, Lyricist
--------------
Revisiting previous stories:
First episode: Connection — Sarah Mui (Architecture), Co-founder of One Bite Design Studio　
https://bit.ly/3pl6smz 
Second episode: Companion — Rachel Leung (Medicine Programme Global Physician-Leadership Stream), Houseman 
https://bit.ly/3gG3uFt 
#SavilleChan #Starring
#AmosWhy #ProducerWriterDirector
#AdamWong #ProducerWriterStarring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</si>
  <si>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我們都是中大人II - 第二集：同行 We are CUHKers II - Second Episode: Companion</t>
  </si>
  <si>
    <t>作為一名醫生，最重要的是甚麼？剛當選本年度「羅德學人」的梁雅媛（醫學院）在《同行》短片接受導演黃修平訪問，她認為雖然醫生未必可以醫百病，但自己最能夠幫助病人的事，就是做一名同行者，聆聽病人和家屬的需要。
梁雅媛在中大讀書時經常做義工，但一次在柬埔寨的特別經歷令佢反思，如何做才可真正幫助別人，到底發生甚麼事？想知就立即睇片！
#我們都是中大人II #同行 #梁雅媛 
#仲有中大名物出鏡 #切勿錯過
--------------
節目預告：
第三集：夥伴 —陳珊珊（會計學院），Blendit 創辦人
第四集：重塑 —王森（藝術系），陶瓷藝術家、金繼師
第五集：初心 —黃修平（藝術系），電影導演、編劇│陳心遙（人類學系），電影監製、編劇、作詞人
＃陳心遙 ＃主演
＃黃浩然 ＃監製編劇導演
＃黃修平 ＃監製編劇主演
--------------
節目重溫：
第一集：連繫—梅詩華（建築學院），一口設計工作室共同創辦人
https://bit.ly/3pl6smz 
What is the most important quality of a doctor? Rachel Leung (Medicine Programme Global Physician-Leadership Stream), the newly selected Rhodes Scholar is interviewed by director Adam Wong in the "Companion" video.  Rachel believes that doctors may not be able to cure all diseases, but the best thing they can do to help patients is to be a companion and listen to the needs of patients and their families. 
Rachel often worked as a volunteer when she was studying at CUHK. A special experience in Cambodia brought her some new perspective on how to really help people. What happened to Rachel? Let’s watch the video! 
--------------
Coming up next:
Third episode: Friendship — Ashley Chan (Accounting), Founder of Blendit
Fourth episode: Reinvention — Enders Wong (Fine Arts), Ceramics and Kintsugi Artist
Fifth episode: Staying true — Adam Wong (Fine Arts), Director, Writer│Saville Chan (Anthropology), Producer, Writer, Lyricist
--------------
Revisiting previous stories:
First episode: Connection — Sarah Mui (Architecture), Co-founder of One Bite Design Studio　
https://bit.ly/3pl6smz 
#SavilleChan #Starring
#AmosWhy #ProducerWriterDirector
#AdamWong #ProducerWriterStarring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</si>
  <si>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我們都是中大人II - 第一集：連繫 We are CUHKers II - First Episode: Connection</t>
  </si>
  <si>
    <t>人類是群居動物，而彼此的社會連繫需要建基於棲息地之上。導演黃修平在《連繫》短片訪問了「一口設計工作室」共同創辦人梅詩華（建築學院），她深信建築不只是建造高樓大廈，還有建構人和空間的連繫。
梅詩華認為雖然香港的空間比較小，但不代表沒有社區，如何保持人與社區的連繫，正是她身為建築師的工作。立即睇片，了解她的理念👩🏻💭
--------------
節目預告：
第二集：同行 —梁雅媛（醫學院），實習醫生
第三集：夥伴 —陳珊珊（會計學院），Blendit 創辦人
第四集：重塑 —王森（藝術系），陶瓷藝術家、金繼師
第五集：初心 —黃修平（藝術系），電影導演、編劇│陳心遙（人類學系），電影監製、編劇、作詞人
#我們都是中大人II #連繫 #梅詩華
#陳心遙 #主演
#黃浩然 #監製編劇導演
#黃修平 #監製編劇主演
Human beings are born social and our social connections are built on our habitats. In the “Connection” video, director Adam Wong interviewed with Sarah Mui (Architecture), Co-founder of One Bite Design Studio. Sarah reckons that architecture is not only about building skyscrapers, but also constructing the connection between people and spaces.
Sarah believes that although the space in Hong Kong is relatively small, it does not mean that there is no community. It is her job as an architect to maintain the connection between people and the community. Watch the video and listen to her ideas 👩🏻💭
--------------
Coming up next:
Second episode: Companion — Rachel Leung (Medicine Programme Global Physician-Leadership Stream), Houseman
Third episode: Friendship — Ashley Chan (Accounting), Founder of Blendit
Fourth episode: Reinvention — Enders Wong (Fine Arts), Ceramics and Kintsugi Artist
Fifth episode: Staying true — Adam Wong (Fine Arts), Director, Writer│Saville Chan (Anthropology), Producer, Writer, Lyricist 
#SavilleChan #Starring
#AmosWhy #ProducerWriterDirector
#AdamWong #ProducerWriterStarring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</si>
  <si>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我們都是中大人 II We are CUHKers II</t>
  </si>
  <si>
    <t>「中大人」，不只是一個稱呼，更是一種跨世代連結。
大家從中大畢業後，到底如何發揮「中大人」的共同特質：連繫 、同行 、夥伴 、重塑 、初心 ，為社會盡一分力?
--------------
節目預告：
第一集：連繫 —梅詩華（建築學院），一口設計工作室共同創辦人
第二集：同行 —梁雅媛（醫學院），實習醫生
第三集：夥伴 —陳珊珊（會計學院），Blendit 創辦人
第四集：重塑 —王森（藝術系），陶瓷藝術家、金繼師
第五集：初心 —黃修平（藝術系），電影導演、編劇│陳心遙（人類學系），電影監製、編劇、作詞人
“CUHKers” is not only a name, but also an intergenerational connection. 
After graduating from CUHK, how do we express the core attributes of “CUHKers” including connection , comapnion , friendship , reinvention , and staying true ? 
--------------
Coming up next:
First episode: Connection — Sarah Mui (Architecture), Co-founder of One Bite Design Studio 
Second episode: Companion — Rachel Leung (Medicine Programme Global Physician-Leadership Stream), Houseman
Third episode: Friendship — Ashley Chan (Accounting), Founder of Blendit
Fourth episode: Reinvention — Enders Wong (Fine Arts), Ceramics and Kintsugi Artist
Fifth episode: Staying true — Adam Wong (Fine Arts), Director, Writer│Saville Chan (Anthropology), Producer, Writer, Lyricist
#我們都是中大人II #WeareCUHKersII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</si>
  <si>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《情動於中：生死愛慾的哲學思考》</t>
  </si>
  <si>
    <t>當焫焫焫焫焫焫著的時候😡🤯，你會點做？鬧人？摔東西？向朋友呻？
大家知唔知道，由哲學角度去睇，憤怒本身係有意義和價值？了解情緒的價值，有助明白自己之餘，亦能明白別人憤怒的原因。
📚📖📚📖📚📖📚📖
由香港中文大學出版社出版的《情動於中：生死愛慾的哲學思考》一書，早前入選了「香港初創數碼廣告企業×出版宣傳支援計劃」，獲資助製作及執行一系列的數碼廣告活動。
作者黃沐恩表示：「希望是以哲學角度，探討情緒在人生中的價值和意義，讓大家理解情緒同時，也學到擁抱和明白情緒的重要性。」
點撃連結，觀看更多👉🏻https://www.facebook.com/CUHKPress 
📚📖📚📖📚📖📚📖
由即日起至2021年5月30日，HKTVmall線上購買《情動於中：生死愛慾的哲學思考》，享8折優惠：https://bit.ly/3mKl91j　
 #情動於中 #生死愛慾的哲學思考 #黃沐恩
#香港中文大學出版社 #CUHKPress #語溝創作
#AdxPub #數碼廣告企業x出版宣傳支援計劃 #創意香港 #香港互動市務商會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</si>
  <si>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香港中文大學博群短片（2021）CUHK I·CARE Trailer (2021)</t>
  </si>
  <si>
    <t>博群計劃於 2011 年成立，建基於 I·CARE 發展模式，爲學生提供非形式全人教育。博群計劃以「博思明志，群育新民」為規訓，旨在鼓勵學生積極參與社會及公民服務，並促使他們發揮所長，以滿足本港、地區，以至全球的社會需要。
Launched in 2011, the I‧CARE Programme has been committed to offering informal whole-person education to students based on the I·CARE Framework.  In line with its motto “Aspiration through Reflection; Renewal through Civility”, the I·CARE Programme aims to inspire students to actively partake in social and civic services.  It also facilitates the release of students’ holistic competencies so that they will become able to enhance the wellness of people in the local, regional and global communities.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https://www.youtube.com/user/CUHKchannel​</t>
  </si>
  <si>
    <t>The CUHK Summer Institute (SI) 2021 香港中文大學高中生暑期課程2021</t>
  </si>
  <si>
    <t>The CUHK Summer Institute (SI) is a credit-bearing summer programme designed for local and international secondary 5 students (or equivalent) to explore their study interest and to prepare for their future studies at CUHK. In this 9-day virtual programme, students will be able to take one or two credit-bearing courses taught by outstanding CUHK faculty members, and enjoy a series of enriching and enlightening activities including a undergraduate admission skills workshop, as well as various sessions and activities showcasing CUHK’s teaching and research strengths.  
香港中文大學高中生暑期課程乃為期九天的學分制暑期課程，專為將於2022年報讀大學的本港、中國內地及海外高中生而設。透過修讀一系列網上即時面授課程，參加者可探索不同學科領域，了解升學興趣。本課程透過一系列學術強化活動，使參加者了解中大的教學及研究優勢，並分享升讀心儀大學的秘訣。 
參加者可修讀兩科短期課程探索中大學科領域，並獲得能納入將來入讀中大本科課程之學分（最多2學分、部分課程除外）。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https://www.youtube.com/user/CUHKchannel​</t>
  </si>
  <si>
    <t>Message from the Vice-Chancellor and President on university social responsibility (USR) 校長的話—大學社會責任</t>
  </si>
  <si>
    <t>‘University social responsibility—or USR for short—is the promotion by tertiary education institutions of a set of values and principles that will help us resolve and overcome the grand challenges we face.’ Professor Rocky S Tuan, Vice-Chancellor and President of CUHK said, ‘To embrace USR, we need to empower and transcend CUHK’s core functions to take on the responsibility as well as responsiveness to pressing social issues and sustainability challenges.’
How does CUHK embrace USR? Let’s hear from our VC.  Learn more: http://www.srsdo.cuhk.edu.hk
「大學社會責任（University social responsibility, 簡稱USR）
是在高等學院內推行的價值觀和原則，幫助我們解決和克服社會挑戰。」中大校長段崇智教授說：「我們為了推動USR，在堅守中大的核心職責之餘，將推而廣之，承擔更多社會責任，應對社會問題和可持續發展面臨的挑戰。」
中大如何推動USR？請各位細聽校長講解。了解更多：http://www.srsdo.cuhk.edu.hk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</si>
  <si>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帶著獎學金追夢—梁雅媛 Sail to the Dream with a Scholarship - Rachel Leung</t>
  </si>
  <si>
    <t>中大醫學院環球醫學領袖培訓專修組別2020年畢業生梁雅媛「文武雙全」，曾經入選游泳港隊，擔任中大崇基管樂團的長號手，現在成為2021年度香港羅德學者！亦是中大歷來第15位羅德學者！
羅德學士獎學金是全球競爭最激烈的獎學金之一，雅媛除了學業表現出眾，加上有一顆樂於助人的心而奪獎。她將於今年9 月前往英國牛津大學修讀關於公共衛生的碩士課程，希望學成歸來後繼續當醫生，造福病人。
立即點撃影片，看看雅媛分享在中大善衡書院的難忘回憶，還有參與義工服務帶來的啟發。
梁雅媛訪問全文：https://bit.ly/3vgkzLP 
Rachel Leung, a 2020 graduate of the MBChB programme Global Physician-Leadership Stream at CU Medicine, was an outstanding student with an all-round performance. She joined the swimming team of the HKSAR delegation and was a trombonist with the Chung Chi Wind Orchestra, CUHK. She has now been selected as Rhodes Scholars for Hong Kong 2021! She is also the fifteenth Rhodes Scholar from CUHK!
The Rhodes Scholarship is one of the most competitive scholarships in the world. Along with her stellar academic achievements, Rachel is committed to serving the community. These criteria are essential for her to be awarded this prestigious scholarship. She will study a master programme in Public Health at Oxford University in coming fall. She also wishes to continue to be a doctor after graduation and benefit patients.
View the video to see Rachel's account of her memorable college life in S.H. Ho College and inspiration from her voluntary service
Full article of Rachel's interview: https://bit.ly/3elERwu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</si>
  <si>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香港中文大學賽馬會老年學研究所「賽馬會安寧頌」計劃</t>
  </si>
  <si>
    <t>資深演員周驄為甚麼會在中大校園出現？原來他並非在拍劇，而是為香港中文大學賽馬會老年學研究所推行的「賽馬會安寧頌」計劃接受訪問。
現年89歲的周驄近年為照顧患病太太而淡出幕前，他慶幸太太及時講出最後心願，讓家人能為她完成。他亦坦言：「我拍戲拍了60年，好像已死過好多次，死亡是最公平的，無論你是富或貧，人人都要面對，你不去說死亡，不等於它不會降臨。」生老病死，是人生必經階段，如何增添生命的質素和意義，則是我們的權利。😌
根據香港政府統計處數據，預計人口將持續老化，其中65歲及以上長者的比例，推算將由2016年的17%，增加至2036年的31%，再進一步上升至2066年的37%*。面對人口老化問題，制訂長者友善政策及配套服務變得甚為迫切。「賽馬會安寧頌」計劃旨在協助改善社區晚期護理服務質素，以及為相關服務的專業人員提供培訓，並舉辦公眾教育活動。立即點擊以下影片🎥 ，了解計劃詳情👵🏻🧓🏻
香港中文大學賽馬會老年學研究所: https://www.ioa.cuhk.edu.hk/zh-tw/home 　　
*資料來源：https://bit.ly/3mrqsCt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</si>
  <si>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CUHK VIRTUAL International Summer School (ISS) 2021 中大網上國際暑期課程2021</t>
  </si>
  <si>
    <t>A 5-week virtual summer programme designed to academically challenge and culturally stimulate international and local students. 14 courses from 4 academic streams and Chinese language courses are offered, as well as a series of immersive virtual extra-curricular activities. Tuition is waived for CUHK and exchange students. Details and application at www.summer.cuhk.edu.hk. 
2021年度的中大國際暑期課程將於網上舉行，為期五周，讓來自中大及世界各地的大學生一同學習並進行文化文流。課程包含四個學術範疇共14項科目、中國語文課程，以及一系列網上課外活動。中大本科生及交換生無需繳付額外學費。 
查詢更多資訊及報名：www.summer.cuhk.edu.hk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</si>
  <si>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帶著獎學金追夢 ⸺ 何博菁 Sail to the Dream with a Scholarship ⸺ Jane Ho</t>
  </si>
  <si>
    <t>帶著獎學金追夢 ⸺ 何博菁
你有夢想嗎? 有盡力令夢想成真嗎?
教育學院畢業的何博菁說:「雖然知識改變命運這種說法很老套，但覺得自己就是這樣的例子。」由於家境不富裕，令她體會到要努力上進，善用僅有的資源，以知識豐富自己。畢業後擔任了四年英語教師，在職期間亦兼修了一個教育碩士課程，可是她仍一直希望能負笈海外升讀碩士學位。最終她憑著對教育的熱誠推動下，成功考獲北山堂基金獎學金，於2019-2020期間遠赴美國著名學府史丹福大學留學攻讀國際教育政策分析課程，實現了她的留學夢! 
記得要看片尾的彩蛋呀！博菁會為大家透露「獎學金Tips大分享」，不容錯過！
Sail to the Dream with a Scholarship - Jane Ho
Do you have dreams? Have you ever tried your best to make your dreams come true?
‘Although “knowledge can change my fate” sounds a bit of a cliché, I feel like this is an example.’ said Jane who is a graduate of the Faculty of Education. She comes from a grassroots family and understands that she has to work harder and makes use of the limited resources to enrich herself with knowledge. 
Jane received her first master degree while she was working as an English teacher for 4 years. However, what she was pursuing was nothing but the dream of studying abroad. With the support of Bei Shan Tang Foundation Scholarship, she turned her passion into motivation, sailed to the dream at the Stanford University in 2019-20, and finally received a Master of Arts in International Education Policy Analysis.
Remember to watch till the end of this video! Jane will share some useful tips for applying for a scholarship! Don’t miss it!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</si>
  <si>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Diversity and Inclusion Pledging Ceremony 多元共融宣誓儀式</t>
  </si>
  <si>
    <t>To increase understanding and heighten the awareness of the University community towards diversity and inclusion and to exhibit the University’s commitment in building a diverse and inclusive campus, CUHK held the Diversity and Inclusion Pledging Ceremony on campus on 4 March.
為加強大學社群對多元共融的理解和認識，並展示大學對推動多元共融文化的決心，中大於3月4日在校園舉辦多元共融宣誓儀式。</t>
  </si>
  <si>
    <t>看牛展 迎新春 View Ox-related Artworks for Chinese New Year’s Celebration</t>
  </si>
  <si>
    <t>西元2021年歲次辛丑，為十二生肖中的牛年。中大文物館為大家預備了「辛丑說牛」展覽，精選了十餘件與牛相關的文物，由今日開始一齊來看牛展迎新春！
讓小編趁這機會祝大家牛年如意，身體健康，日日都力大如牛！
「辛丑說牛」展覽
展期：2021年 1月29日至5月31日
地點：香港中文大學文物館展廳 II
歡迎公眾人士參觀，免費入場。
因應疫情，訪客須提前預約參觀時段。
詳情︰http://www.artmuseum.cuhk.edu.hk/zh/visit/opening/
2021 is the Year of the Ox according to Chinese zodiac. CUHK Art Museum prepares an exhibition "Celebrating the Year of the Ox" which showcases more than 10 ox-related items from its collection. Come and experience it to celebrate the Chinese New Year!
Let us take this opportunity to wish you all the best and good health in the Year of the Ox!
“Celebrating the Year of the Ox”
Date: 29 January - 31 May 2021
Venue: Gallery II, Art Museum, CUHK
Open to the public. Free admission
In view of the pandemic situation, advance booking is required for all visits to the exhibitions.
Details: http://www.artmuseum.cuhk.edu.hk/en/visit/opening/</t>
  </si>
  <si>
    <t>2020年博文教學獎  2020 University Education Award</t>
  </si>
  <si>
    <t>教育是什麼？2020年博文教學獎得主崔佩怡博士認為，「教育不單是知識傳授，更能帶來態度和行為改變。」
同樣獲得2020年博文教學獎的金國慶教授認為，使用科技能令教與學做得更好，將來的學習會是多面向的，憑藉科技，我們將能夠「終身學習」！
請觀看短片，了解兩位教師的教學成就。
獲頒博文教學獎及校長模範教學獎的中大優秀教師: https://bit.ly/3jpS6hQ
What is teaching? “Teaching is not only about transmitting knowledge, but also changing attitude and transforming habit,’ said Dr. Apple Chui, winner of 2020 University Education Award. 
Also getting the 2020 University Education Award, Professor Irwin King believes using technology inside our education allows us to teach and learn better, and that learning will become very multi-dimensional in the future. With the use of technology, we can “KEEP learning for Life”!
Check out the video to learn more about their achievement in teaching.
CUHK teachers who have received the University Education Award and the Vice-Chancellor’s Exemplary Teaching Award for their teaching excellence: https://bit.ly/3tBLjGn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</si>
  <si>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2020年教資會傑出教學獎 及 中大博文教學獎   2020 UGC Teaching Award &amp; CUHK University Education Award</t>
  </si>
  <si>
    <t>中大的教師為了讓學生學習更自主，背後花了很多工夫，兩位獲獎中大教師黃嘉雯教授及藍澧銓教授亦然。
恭喜醫學院黃嘉雯教授榮獲2020年教資會傑出教學獎（一般教學人員組別）及中大博文教學獎，以及學能提升研究中心藍澧銓教授，其參與的跨院校團隊「AIE-AR」榮獲2020年教資會傑出教學獎（隊伍組別）。
Teachers of CUHK, including Prof. Carmen Wong and Prof. Paul Lam has paid huge efforts to let students have more autonomy in their learning. 
Prof. Carmen Wong of the Faculty of Medicine has been awarded the 2020 UGC Teaching Award (General Faculty Members) and CUHK University Education Award. Professor Paul Lam of the Centre for Learning Enhancement And Research (CLEAR) was a member of the inter-institutional AIE-AR Team, which was named the 2020 UGC Teaching Award (Teams) recipient. Congratulations!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</si>
  <si>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從小學興趣班到中大羽毛球隊長 From Primary School Interest Class to Captain of CUHK Badminton Team</t>
  </si>
  <si>
    <t>2020傑出學生獎（體育）得主麥子欣（Gianne）是中大三年級學生，修讀健康與體育運動科學。從小學二年級起參加興趣班打羽毛球一直到現在，她對運動的熱情未曾消減; 升讀大學後，先後擔任書院、大學的羽毛球隊隊長。她說道：「在這段運動的路上，我真的成長了不少，運動也幫助了我很多，希望也可以幫助其他人，令大家一起進步，得到滿足感和成功感。」
為甚麼Gianne一直堅持打羽毛球？在密集的訓練和學習中，如何取得平衡？立即點撃睇片！
#傑出學生獎 #羽毛球 #運動 #博文約禮中大人 
Gianne Mak, the awardee of 2020 CUHK Outstanding Students Awards (Sports), is in year 3 of studies in Physical Education, Exercise Science and Health. From joining an interest class in primary 2, her passion for sport has not diminished. Since entering university, she has served as the captain of the CUHK and United College badminton teams. “In the course of playing sport, I really grew up a lot. Sport also helps me a lot. I hope it can also help others and make everyone progress together to get a sense of satisfaction and success,” she said.
Why does Gianne persist in playing badminton? How can she strike a balance between training and learning? Watch the video now! 
#OutstandingStudentsAwards #Badminton #Sports #CUHKerThroughLearningandTemperancetoVirtue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</si>
  <si>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段崇智校長回應襲擊保安事件 Prof. Rocky Tuan's Message Regarding Assault on Campus</t>
  </si>
  <si>
    <t>1月11日中午時份，大約8名黑衣蒙面人士在中大校園內不同方向衝向港鐵大學站A出口的中大保安崗位，向現場保安人員多次潑灑不知名白色粉末，並大肆搗亂，包括推倒鐵馬、坐椅等設施。段崇智校長就襲擊事件作出回應。
On 11 January at noon, 8 masked individuals, clad in black, raided the security counter near Exit A of the University MTR station from various directions on campus. They threw an unknown white powder repeatedly at the security guards on duty and damaged campus facilities including fences and chairs, causing panic to the people nearby. Vice-Chancellor Prof. Rocky Tuan recorded a message regarding the incident.</t>
  </si>
  <si>
    <t>「中大雲上師」CU in the CLOUD</t>
  </si>
  <si>
    <t>請瀏覽中大視野觀看更多精彩短片 
Please watch more videos from CUTV http://www.cpr.cuhk.edu.hk/cutv/index
在「中大雲上師」的帶領老師的支援及指導下，香港中文大學教育學院的教學實習學生設計了一系列網上課堂，免費提供予本港中小學及幼稚園學生報讀。 網上課堂涵蓋不同科目及課題，內容互動有趣，除了讓參與學生學習學科知識外，亦提升他們的學習興趣。
詳情：https://www.fed.cuhk.edu.hk/cuinthecloud/tc/
With the support and guidance of teacher educators who co-ordinate the “CU in the CLOUD” programme, student teachers of the Faculty of Education of The Chinese University of Hong Kong have designed a series of free online lessons covering various subjects and topics for primary, secondary and kindergarten students in Hong Kong. These productive and interactive online lessons will not only provide participating schoolchildren with subject knowledge, but also enhance their learning interest.
For details : https://www.fed.cuhk.edu.hk/cuinthecloud/en</t>
  </si>
  <si>
    <t>中大‧成就 2020  CUHK Achievements in 2020</t>
  </si>
  <si>
    <t>2020 是充滿挑戰的一年。儘管面對前所未有的困難，中大仍然於不同範疇表現出色，在國際排名、學術獎項及學生成就等取得驕人成就。逾60名教職員及逾170名學生榮獲本地及國際讚譽。
歡迎觀看「中大‧成就 2020」短片。如欲了解更多詳情，請瀏覽 https://againstcovid19.cuhk.edu.hk/tc/cuhk-achievements/ 
2020 certainly has been a challenging year. Despite the challenges, CUHK has been able to forge ahead and excel in many fronts, attaining noteworthy achievements in ranking results, scholarly awards, and student achievements.  More than 60 faculty members and 170 students achieved local and worldwide recognitions.
Watch the video which highlights the achievements of CUHK in 2020. For more details, please visit https://againstcovid19.cuhk.edu.hk/cuhk-achievements/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</si>
  <si>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推廣精神健康  讓世界變得更美好  Improving  Mental Health Awareness in Society</t>
  </si>
  <si>
    <t>社會上不少人因為「精神病」這標籤而受到不同的對待。現為中大心理學博士生的「說書人」共同創辦人李昭明，希望透過「說書人」這平台，讓不同的人士都能認識精神健康，以及聆聽到有精神病經歷的人的故事。
「研究顯示，親身接觸是減低歧視最有效的方法，說故事就是最能夠讓人直接認識眼前這個人。」李昭明表示， 2015年成立的「說書人」，去年在中大的協助下，轉型成為社企，爭取更多資源接觸多些本來不認識精神健康的人，突破同溫層！
「精神健康並非單純個人開心與否，更加重要是整個群體的事，整個社會的事。」憑藉推廣精神健康方面的貢獻，李昭明獲得「2020年傑出學生獎 – 社會服務」。
#精神健康 #親身接觸去污名 #中大心理學 #傑出學生獎 #社會服務 #博文約禮中大人
Sometimes people get discriminated against because they are labeled as mentally ill.  Currently a Ph.D. student of Department of Psychology, CUHK, Amanda Li cofounded StoryTaler to promote mental health and let people listen to the stories of people with mental illness.
“Research shows that personal contact is the most effective way to reduce discrimination. Story-telling is the most direct way to get to know more about the person in front of us,” said Amanda. StoryTaler was set up in 2015. With funding support from CUHK, it became a social entrepreneur last year, with the aim of acquiring more resources to reach people who do not know much about mental health and break through that stratosphere.
“Mental health is not just personal. It is a matter for the community. It is a matter for the whole of society,” said Amanda. 
In view of her contribution to promoting mental health, Amanda received the “2020 Outstanding Students Awards – Social Service”. 
#mentalhealth #personalcontactreducestigma #CUHKPSY #OutstandingStudentsAwards #SocialService #CUHKerThroughLearningandTemperancetoVirtue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</si>
  <si>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中大2021年曆 CUHK 2021 Calendar</t>
  </si>
  <si>
    <t>【中大2021年曆　現已登場】
2021年即將來臨，中大推出全新設計的座檯年曆。年曆以校園十二個知名景點與地標，配合十二位與中大淵源深厚的國際著名學者之名言雋語。想知道是哪些景點? 立即睇片！🎥
中大2021年曆定價港幣40元正，所有收益將撥捐中大I‧CARE博群計劃。年曆即日起於中大書店有售，今年更增設速遞送貨服務🚚，數量有限，請即訂購！
網上訂購表格：https://bit.ly/37dld1Y
#中大2021年曆 #中大ICARE博群計劃 
【CUHK 2021 Calendar Is Available Now】
With 2021 just around the corner, we are pleased to present to you the brand new CUHK 2021 Calendar. Twelve scenic CUHK landmarks and places of interest are featured in this calendar, accompanied by the quotes from twelve internationally renowned scholars who have built very strong connections with CUHK. Want to know which attractions are included? Watch the video now!🎥
The desktop calendar is sold at HK$40 and proceeds from the calendar sales will be donated to support CUHK I‧CARE Programme. The calendar is now offered at the CUHK Bookstore. CUHK also has a specially arranged delivery service this year🚚. Stocks are limited, place your order now!
Online order form: https://bit.ly/37dld1Y
#CUHK2021Calendar #CUHKICAREProgramme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https://www.youtube.com/user/CUHKchannel</t>
  </si>
  <si>
    <t>Organized by Office of Student Affairs, German Festival introduces the unique and vibrant German culture through a series of activities including talk, cultural sharing and language table.  
In this video, our Year 1 student Antonia talked about the difference between Germany and Hong Kong and shared her experience in adapting to the local culture. More videos about German culture could be found on Cultural Encounters at CUHK Facebook page (@CUHKCulturalEncounters).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https://www.youtube.com/user/CUHKchannel</t>
  </si>
  <si>
    <t>趙軍湘先生主講：「職業挑戰與樂趣：聯合國的同聲傳譯」</t>
  </si>
  <si>
    <t>趙軍湘先生現任聯合國日內瓦總部會議口譯員，在聯合國系統已有三十年的工作經驗。十月二十四日，趙先生應香港中文大學翻譯系的邀請，為同學、老師和口譯專業人士分享了他豐富的專業心得，並為踴躍提問的聽眾提供了中肯的建議和指導。
At the invitation of the Department of Translation, CUHK, Mr. Yunxiang Zhao, a senior staff interpreter of the United Nations Office in Geneva gave a professional talk to an audience from across the Greater China region and overseas. He shared his decades of experience working for the international organization and gave insightful advice and suggestions to members of the international audience.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</si>
  <si>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從Dirty Team到牛津 From Dirty Team to Oxford</t>
  </si>
  <si>
    <t>【從Dirty Team到牛津】
鄭世鴻醫生於今年修畢於中大內外全科醫科學士課程環球醫學領袖培訓專修組別，並獲頒本年度利黃瑤璧千禧獎學金，負笈英國牛津大學修讀臨床醫學博士課程。他隻身一人遠赴海外，修讀有關愛滋病的研究，科研之路往往看不見盡頭，也無法預測成敗得失，到底背後有甚麼原因，令他下此決定？
今年年初新冠疫情爆發，鄭醫生在香港威爾斯親王醫院加入了dirty team，成為抗疫前線一員。正正因為這次經歷，令他體會到傳染病學在香港的重要性。了解更多鄭世鴻醫生的從醫之路及研究初心，立即去片！
【From Dirty Team to Oxford】
Dr. Timothy Liong Tipoe is a graduate of the MBChB programme in the Global Physician-Leadership Stream of CUHK. He has been awarded the Esther Yewpick Lee Millennium Scholarship to pursue a DPhil in Clinical Medicine at the University of Oxford this year. Going to UK alone to further his study, he has chosen to focus on clinical research in HIV. Doing research is an open road where anything can come up and nothing can be predicted. Why did he make this decision?
When the outbreak of COVID-19 started earlier this year, Dr. Tipoe joined the dirty team at the Prince of Wales Hospital and fought the virus in the frontline. With such experience, he realised that epidemiology is an important speciality in Hong Kong. To understand more about Dr. Tipoe’s inspiration to become a doctor and his commitment to medical research, watch the video now!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https://www.youtube.com/user/CUHKchannel</t>
  </si>
  <si>
    <t>WE R SMART 醒目抗疫八式 - 8 Ways to Fight the Virus</t>
  </si>
  <si>
    <t>下星期開始，更多高年級本科課程、研究生課程及實驗室/工作室/實習課程的科目將恢復面授課堂，而中大大部分教學活動將以面授課堂及實時線上授課並行的「混合教學模式」進行。有需要出席面授課堂的同學在返回校園前，緊記以下抗疫八式，減低感染風險，保障自己和他人健康。
Starting from next week, more higher-level undergraduate courses, postgraduate courses, as well as lab/studio/practicum-based courses, face-to-face classes or related academic activities will be resumed. A curated “hybrid” mode—a carefully planned combination of face-to-face and synchronous online academic activities—will define most teaching and learning. Students who have to return to campus for face-to-face classes/other academic activities, please remember the following 8 ways to fight the virus before returning to campus. These can minimise the risk of infection and protect our health.
1️⃣ W: 勤洗手 Wash hands frequently
2️⃣ E: 慎飛沫Ensure no droplets are spread
3️⃣ R: 齊點名Register attendance in class
4️⃣ S: 早求醫Seek early medical consultation
5️⃣ M: 戴口罩 Mask up
6️⃣ A: 勿飲食 (課室範圍) Avoid eating and drinking in class
7️⃣ R: 保距離Respect social distancing
8️⃣ T: 量體溫Take body temperature
🎥 立即去片 View the video now👇🏻　
#WERSMART #醒目抗疫 #FighttheVirus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</si>
  <si>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疫情下‧ 不停學 Keep Learning Under the Pandemic</t>
  </si>
  <si>
    <t>【疫情下‧ 不停學📚】
疫症期間，有特殊教育需要的同學在網上學習💻時可能會遇到不同程度的困難，面對這突如其來的轉變，中大人的支援如何令他們更快適應新的學習模式？
其實，來自中大不同部門的教職員，包括學生事務處心理健康及輔導中心的同事以及學生義工 uShiners，會經常與他們溝通，了解他們的需要，在疫情下同行❤️。
讓大家在短片中了解他們如何在疫情下繼續學習。只要大家願意，你我都可以出一分力💪🏻，陪伴他們一起渡過。
#網上教學 #特殊教育需要支援 #學生事務處殘疾學生支援服務 #uShineSEN服務隊 #uShiner
【Keep Learning📚 Under the Pandemic】
During the pandemic, students with special educational needs will likely encounter various difficulties in online learning💻. How does the support of CUHKers facilitate their adaptation to the new learning mode?
In fact, CUHKers, including colleagues from the Wellness and Counselling Centre of the Office of Student Affairs and uShiners, maintain communications with them to understand their needs and accompany them in getting through the pandemic❤️.
Let’s watch their interviews and see how they keep learning under these circumstances. If we are willing to, all of us can play a part and support them💪🏻.
#SENStudents #OnlineLearning #SENSupport #StudentDisabilitySupportServices #uShineSENServiceTeam #uShiner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</si>
  <si>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中大文科生唔一定…… Arts Students of CUHK are not only...</t>
  </si>
  <si>
    <t>【🖋️📖中大文科生唔一定......】
各位中六的同學仔剛開學，除了忙於準備應考來年的DSE，又係時候計劃JUPAS選科了！
說到「文科生」，你對他們有甚麼印象？出口成文兼風度翩翩？畢業後成為語重心長的老師，還是筆耕不輟的文字工作者？我們邀請了山城中2位分別來自歷史系及哲學系的校友，由他們的職業說起，細看今時今日的「文科生」是怎樣！
今年的「本科入學資訊日（Info Day）」將移師網上舉行，定於10月10日（星期六）上午9時至下午6時，大家可以從網上展覽及入學講座了解學科資訊及書院生活，將會是一次獨特體驗！立即預先登記: www.cuhk.edu.hk/infoday 
【🖋️📖Arts Students of CUHK are not only...】
A new semester has just started. Form 6 students are not only busy preparing for the coming DSE exam, but also working on the selection of JUPAS programme choices.
When we talk about Arts students, what do you think of? Wise words flowing from them? Always gentle and refined? After graduation, becoming a dedicated teacher or hard-working writer? We invited two CUHK alumni who have graduated from the History and Philosophy programmes to talk about their career paths and review the reality of being Arts students now.
“Information Day for Undergraduate Admissions” will go virtual this year. It will be held from 9am – 6pm on 10 October (Saturday). Discovering all the admissions information, programme details and college life online will be a special experience. Register now at www.cuhk.edu.hk/infoday</t>
  </si>
  <si>
    <t>陳金樑教授與你談多元共融 Professor Alan Chan Talks about Diversity and Inclusion</t>
  </si>
  <si>
    <t>「生物多元，帶來包羅萬有的環境；社會多元，則會帶來更具活力的社會！」中大常務副校長及利榮森中國文化教授陳金樑教授道出多元的重要性。
陳教授認為，若我們實踐多元，便要有共融的文化，「共融其實就是開放、尊重、有耐性、願意聆聽，明白人人都能作出貢獻，對大學以至整個社會都作出貢獻。」
至於多元共融與中大校訓有何關係？且聽陳教授為你道來。更多詳情: http://www.cuhk.edu.hk/dio/
“Just as biodiversity will make for a more wholesome natural environment, social diversity will also contribute to a more vibrant society,” Professor Alan Chan, CUHK Provost and J. S. Lee Professor of Chinese Culture stressed the importance of diversity.
Professor Chan expressed the view that, if we embrace diversity, we need to make sure that there is inclusion. “Inclusion really means being open, being respectful, being patient, willing to listen, recognising that everybody has something to contribute to the betterment, not only of the University, but to society as a whole.” 
What do diversity and inclusion have to do with the CUHK motto? Let’s hear Professor Chan’s distinctive view. More details: http://www.cuhk.edu.hk/dio/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</si>
  <si>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新常態下的新學年 Welcome to the New Normal</t>
  </si>
  <si>
    <t>段崇智校長在這個不一樣的新學年，寄語新生們把握及善用線上線下每一個學習新知和擴闊體驗的機會，於開學日跟各位同學分享四件事，分別是疫症下的教學和校園生活 、網上學生交流計劃、可持續發展學習計劃及擁抱多元共融。
Prof. Rocky Tuan, CUHK Vice-Chancellor suggested on the atypical first day of the semester that new students should avail every opportunity to be exposed to and learn about new things and gain new experience, whether virtual or face-to-face. Prof. Tuan would like to share his thoughts on 4 relevant and timely topics with students, including Classes and Campus Life Under Pandemic, Virtual Exchange Opportunity, New Study Scheme on Sustainable Development and Embracing Diversity and Inclusion.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</si>
  <si>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中大創業大賽2020 五強爭奪冠軍殊榮 CUHK Entrepreneurship Competition 2020 Five Finalists Compete for Championship</t>
  </si>
  <si>
    <t>【中大創業大賽2020 🏆五強爭奪冠軍殊榮！】
早前公布中大創業大賽2020成功入圍的最後五強，相信大家對他們的入圍項目非常好奇🧐 到底五名校友及其團隊的創業理念是甚麼？入圍項目有何獨特？立即去片！📹
終極五強包括：
1. 智能健有限公司—朱子勤 (2018 公共衞生)
2. 飛天奶茶有限公司—陳柏基 (2019 物理)
3. 股跡—嚴謹宏 (2003 訊息工程學)
4. 轉廢為能—以廢木廢竹生產燒烤炭—何志磊 (1980 經濟)
5. 醒呀—張焯然 (2013 工商管理)
本年度中大創業大賽將於9月25日網上全程直播，更邀請了一眾星級校友評審坐陣，包括老鷹基金創始合夥人劉小鷹校友、點亮資本合夥人勞維信校友、香港英諾天使基金合夥人譚偉豪校友、香港科技園公司行政總裁黃克強校友及香港數碼港管理有限公司行政總裁任景信校友。
收看比賽直播及了解中大創業日其他精彩活動：https://cuhkeday.eventxtra.com/landing
【CUHK Entrepreneurship Competition 2020🏆 Five Finalists Compete for the Championship!】
Five finalists in the CUHK Entrepreneurship Competition 2020 were announced earlier. Many of you may be very curious about their shortlisted projects 🧐 What are the business ideas of the five alumni teams? What is unique about their projects? Watch the interview now! 📹
The Five Finalists include:
1. DeepHealth Limited—Christopher Chu (2018 Public Health)
2. Flying Milk Tea Limited—Keith Chan (2019 Physics)
3. Percival.ai—Kenneth Yim (2003 Information Engineering)
4. Upcycle landscape waste and construction bamboo into charcoal—Richard Ho (1980 Economics)
5. ShingAh—Clearence Cheung (2013 Integrated BBA)
The CUHK Entrepreneurship Competition 2020 will be held online on 25 September for the first time. Star alumni judges are invited, including Mr Steve Lau Siu-ying, Founder and Managing Partner of Eagles Fund; Dr Lo Wai-shun, General Partner of DL Capitals; Dr. Samson Tam, JP, Partner of Hong Kong Inno Angel Fund; Mr. Albert Wong Hak-keung, CEO of Hong Kong Science &amp; Technology Parks Corporation and Mr Peter Yan King-shun, CEO of the Hong Kong Cyberport Management Company Limited.
See the Competition Live &amp; Details of CUHK Entrepreneur Day: https://cuhkeday.eventxtra.com/landing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</si>
  <si>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預告—中大創業大賽2020　終極五強　Official Trailer: CUHK Entrepreneurship Competition 2020　Five Finalists</t>
  </si>
  <si>
    <t>［中大創業大賽2020🏆終極五強］
中大創業大賽將於9月25日首次移師線上舉行，終極五強已經誕生。五個校友團隊抱著創業熱誠，期望在疫情下帶來突破。他們敢創，便帶來新機遇！
終極五強包括：
1. 智能健有限公司—朱子勤 (2018 公共衞生) 
2. 飛天奶茶有限公司—陳柏基 (2019 物理)
3. 股跡—嚴謹宏 (2003 訊息工程學)
4. 轉廢為能—以廢木廢竹生產燒烤炭—何志磊 (1980 經濟)
5. 醒呀—張焯然 (2013 工商管理) 
P.S. 想了解五強隊伍的過人之處，就要留意稍後發布的訪問影片！📹
中大創業日及比賽詳情：https://cuhkeday.eventxtra.com/landing
［CUHK Entrepreneurship Competition 2020🏆Five Finalists］
The CUHK Entrepreneurship Competition 2020 will be held online on 25 September for the first time. The five finalists have been selected. The five alumni teams are full of entrepreneurial enthusiasm and hope to bring breakthroughs during the pandemic. They are daring to start undertakings and create new opportunities! 
The Five Finalists include:
1. DeepHealth Limited—Christopher Chu (2018 Public Health)
2. Flying Milk Tea Limited—Keith Chan (2019 Physics)
3. Percival.ai—Kenneth Yim (2003 Information Engineering)
4. Upcycle landscape waste and construction bamboo into charcoal—Richard Ho (1980 Economics)
5. ShingAh—Clearence Cheung (2013 Integrated BBA)
P.S. An interview video will be released to introduce their strong points. Please stay tuned! 📹 
CUHK Entrepreneur Day &amp; Competition Details: https://cuhkeday.eventxtra.com/landing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</si>
  <si>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新常態・新開始 New Normal. New Page</t>
  </si>
  <si>
    <t>新學期即將開始，中大上上下下在暑假期間馬不停蹄地為開學作好準備，並推出一系列措施，確保師生無論在家上課，或是有需要回校學習，都得到足夠支援，保持教學質素。各位中大人，新學年見！
#新學期 #新常態 #新開始
The new term is fast approaching. This summer, CUHK staff members have been busy preparing to turn a new page. The University has rolled out a series of measures to ensure students and staff can receive adequate support to enrich the teaching and learning experience. CUHKers, see you in the new semester!
#NewTerm #NewNormal #NewBeginning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</si>
  <si>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疫情下的中秋  中大愛心月餅贈長者</t>
  </si>
  <si>
    <t>【疫情下的中秋🌕  中大愛心月餅贈長者】
於疫情期間，與家人準備迎接中秋時，可有想過將「愛❤️」與有需要的獨居長者分享，令中秋佳節更有意義？
每售出一盒「中大愛心月餅」，中大將會送出一個中大月餅給沙田、大埔區的獨居長者，長者可以安坐家中收到月餅，月餅收益更會撥捐中大博群計劃。
購買月餅兼可傳播愛心，一舉兩得！今年增設🚚速遞送貨服務，數量有限，請即訂購！
「中大愛心月餅」為一盒四個低糖雙黃白蓮蓉月餅，每盒糖份只有10.8克，售價HK$300 。
📣 請即購買 : https://www.cpr.cuhk.edu.hk/mooncake/ordering
🛎️ 截止日期 : 4 September 2020
【Choose CUHK Mooncake to Show Care at Moon Festival🌕 during the Pandemic】
Have you thought of making your Moon Festival extra meaningful by sharing your love❤️ with the solitary elderly during the pandemic?
For each box sold, CUHK together with our NGO partners🤝 will deliver a free mooncake to the elderly living alone in Shatin and Tai Po. Proceeds from the mooncake sales will be donated to support CUHK I·CARE.
CUHK has a specially arranged 🚚delivery service this year. Stocks are limited, place your order now!
Each box is sold at HK$300 including four low sugar white lotus seed paste mooncakes with double egg yolks. Each box contains 10.8 grams of sugar only.
📣 Order Now : https://www.cpr.cuhk.edu.hk/mooncake/ordering
🛎️ Deadline : 4 September 2020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</si>
  <si>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「跨學科全球實地體驗式學習」機會 Award-Winning Interdisciplinary Global Field Experiential Learning Opportunities</t>
  </si>
  <si>
    <t>由香港中文大學及英國牛津大學於2011年4月合作成立的CCOUC災害與人道救援研究所，一直通過其「少數民族健康計劃」，為香港中文大學的本科生、研究生以及校友提供跨學科全球實地體驗式學習機會。CCOUC是一所非營利研究所，致力進行與大中華和亞太地區災害與人道救援有關的研究，培訓和知識轉移。
CCOUC所長陳英凝教授先後獲頒香港中文大學的博文教學獎、大學教育資助委員會的教資會傑出教學獎，以及國家教育部頒發的高等教育國家級教學成果獎，以表揚她通過這獨特的教學計劃對高等教育作出的貢獻。行政長官林鄭月娥女士於2020年7月3日正式向陳教授頒發四年一度的高等教育國家級教學成果獎獎狀。獲獎的「循證科學為本的跨學科全球實地體驗式教與學」的經驗也被收錄在CCTV發現之旅頻道《記錄東方》欄目中，該集名為《守望生命 守護健康》。
有興趣參加2020-21學年CCOUC實地考察的同學和校友，請留意CCOUC網站（http://ccouc.org）上將發佈的相關消息。
Established by the joint effort of The Chinese University of Hong Kong and the University of Oxford as a non-profit research centre to carry out research, training and community knowledge transfer in the area of disaster and medical humanitarian response in Greater China and the Asia-Pacific Region since April 2011, Collaborating Centre for Oxford University and CUHK for Disaster and Medical Humanitarian Response (CCOUC) has been offering interdisciplinary global field experiential learning opportunities via its Ethnic Minority Health Project to CUHK undergraduate and postgraduate students and alumni. 
In recognition of the contribution to higher education via this unique teaching and learning programme, CCOUC Director Prof Emily Ying Yang Chan has been successively awarded the University Education Award from The Chinese University of Hong Kong, the UGC Teaching Award from University Grants Committee of Hong Kong, and the National Teaching Achievement Award (Higher Education) from the Ministry of Education of China. The quadrennial National Teaching Achievement Award was officially presented to Prof Chan by the Chief Executive Ms Carrie Lam on 3 July 2020. This award-winning "Evidence-based Interdisciplinary Global Field Experiential Teaching and Learning" experience has also been documented in a CCTV Discovery Channel documentary entitled Safeguarding Life, Protecting Health. 
Students and alumni who are interested in joining CCOUC’s field trips during the coming academic year 2020-21 can pay attention to coming announcements at CCOUC’s website (http://ccouc.org).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</si>
  <si>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CUHK Business Webinar Series - What’s Going on in Oil ETFs? 「中大商業智慧」網上講座 - 原油期貨ETF跌至負值是甚麼意思？</t>
  </si>
  <si>
    <t>Crude oil investors are currently witnessing extreme conditions in futures prices. On 20th April 2020, crude futures declined to a negative level for the first time in history. This webinar will brief you on the fundamentals of crude oil futures and provide an understanding on how expiration and contract roll will affect oil ETFs.
2020年4月20日，原油期貨價格首次歷史性跌至負值，投資者目睹了前所未有的淒慘狀況。歐陽博士將在這場網上直播講座中握要介紹原油期貨的基本知識，並講解影響原油期貨ETF投資價值的相關因素，包括期貨合約到期日和轉倉等。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</si>
  <si>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CUHK Business Webinar Series - Data Visualisation Done Right「中大商業智慧」網上講座 - 如何將數據中的重要資訊有效地呈現？</t>
  </si>
  <si>
    <t>With data being a critical source of competitive advantage, business analysts are now familiar with statistical, economic, and computational methods that analyze data. However, many are not trained to effectively communicate their findings with others, which is essential for decision-makers in inferring managerial insight. Data visualisation serves as a powerful means to present a story embedded in data when it is done right. However, when it is done wrong, misleading visualisation can confuse and even deceive the audience. In this era of big data, effective data visualisation has become even more important. In this live webinar, Prof. Kim will explain why data visualisation is so important with the support of various examples.
善用數據能有助提升企業的競爭優勢，業務分析師通過統計，經濟和計算方法，對數據進行梳理和分析。然而，很多人由於沒有受過正規培訓，無法有效地與其他人交流從數據中挖掘出來的寶貴資訊。數據中隱藏着很多重要的訊息，經過妥善整理和分析，便可得出有用的資訊，這對決策者提升企業管理至關重要。置身大數據時代，最重要是抽絲剝繭，將數據中有用的資訊正確無誤地呈現出來，否則錯誤的資訊將對用家造成誤導和混淆。金起亨教授將在這場網上直播講座中，通過多個案例的講解，解釋如何在數據中抽取有用的資訊，並有效地呈現出來。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</si>
  <si>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CUHK Business Webinar Series - An Introduction to Angel Investment 「中大商業智慧」網上講座 - 簡介天使投資</t>
  </si>
  <si>
    <t>A unicorn is a privately held startup valued at over US$1 billion, but all unicorns must have started out as small companies and received funding from investors during the seed stage. Such investors are called Angel Investors. Who are these risk-taking angels? How do they identify and select their investment targets? Entrepreneurship and innovation are important parts of the growth strategy of many countries, and angel investment is an essential component of the innovation ecosystem. In this webinar, Prof. Dominic Chan will introduce the basics of angel investment and share his experience as an angel investor.
獨角獸（unicorn）企業是指市值逾十億美元的初創公司，發展初期它們的規模都很小，並通過吸納各方投資者的資金不斷壯大。對甘願承受高風險投資初創企業的投資者，市場稱之為「天使投資者」（Angel Investors）。天使投資者究竟是甚麼人？他們如何尋找和鎖定投資目標？時至今日，創業和創新已成為各國發展策略中的重要一環，而天使投資更是整個創新生態系統內不可或缺的組成部分。陳志邦教授將在這場講座中介紹有關天使投資的基本知識，並分享自己作為天使投資者多年來累積的心得。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</si>
  <si>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CUHK Business Webinar Series - Getting Famous = Successful Brand? 「中大商業智慧」網上講座 - 成名＝成功？解構品牌建設之要素</t>
  </si>
  <si>
    <t>A successful brand increases the chances of customers choosing your product or service over your competitors. According to a Nielson survey, 59% of consumers prefer buying new products from brands familiar to them. Brand building is the process of managing reputation of a brand and improving customers’ perception of it in a way that builds brand awareness, equity, and loyalty. How customers perceive a brand wholly determine how they will engage with it. In this webinar, Prof. Lisa Wan will share with you why do companies need brand building; and what are some key elements of successful brand building.
成功的品牌往往能擊倒競爭對手，吸引顧客選用旗下的產品或服務。根據尼爾森的調查顯示，59％的消費者更樂意選購他們熟悉品牌的新產品。品牌建設是管理品牌聲譽，提升品牌知名度、資產和忠誠度，以及加強顧客對相關品牌認知度的過程。顧客對品牌的看法決定了他們與品牌的互動。尹教授將在這場網上直播講座中，講解企業為何需要建立品牌，以及成功建立品牌的關鍵要素。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</si>
  <si>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環境·心境·意境——老畫家的探尋 Hope Springs Eternal: States of Mind of the Painter</t>
  </si>
  <si>
    <t>「兩者一天一地，一動一靜，帶領我慢慢去找我的源頭。」著名藝術家王無邪教授介紹自己的畫作《萬里尋源圖》時說道。
他在訪談中講解此作品的特點，亦分享了他的人生觀及藝術歷程，讓我們進入他的內心世界。
“In sky and on earth, dynamic and still, they guide me to find my source,” said the renowned artist Prof. Wucius Wong.
While introducing his work “Journeying Ten Thousand Miles to the Source”, he shared his philosophy of life and artistic journey. Watch Episode 8 of “HEART to HEART Talks” and feel his soul.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</si>
  <si>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當星級大廚遇上年青創業家 When a star chef meets a young entrepreneur</t>
  </si>
  <si>
    <t>一位是經驗豐富的副總廚，一位是年青的釀酒師，兩人在中大酒店及旅遊管理學院的星級廚房遇上，切磋廚藝，分享創業經驗。若你對煮食及創業都有興趣，這短片就可以一次過滿足兩個願望！
p.s. 近日疫情反彈，留在家中煮這道「創業佳餚」該是個不錯的選項吧？
#博文約禮中大人 #創業 #廚藝 #留家煮食 
One is an experienced sous chef. One is a young distiller. They meet at the star kitchen of CUHK’s School of Hotel and Tourism Management, demonstrating culinary skills and sharing their experience of starting up a business. If you are interested in cooking and entrepreneurship, this is the video that cannot be missed!
p.s. There is a rebound by COVID-19 lately so why not stay home and try out this ‘entrepreneurship dish’?
#CUHKerThroughLearningandTemperancetoVirtue #entrepreneurship #cooking #stayhomeandcook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</si>
  <si>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最後召集：「2020年傑出學生獎」提名   Final call: nominations for the 2020 Outstanding Students Awards</t>
  </si>
  <si>
    <t>請注意！呢個係提名「2020年傑出學生獎」嘅最後召集！邊啲學生先可以拎到呢個獎？山城樹窿uBuddies管理團隊舊年就獲得「2019年傑出學生獎 – 社會服務」，更獲選為社會服務組別嘅「傑出之星」。
相信唔少喺山城讀書嘅同學仔都有搵過山城樹窿 uBuddies 傾心事，「樹窿」每次都耐心聆聽，窩心回應。佢哋為同學排憂解困，宣傳精神健康，得獎肯定係實至名歸。佢哋嘅理念係啲咩？一齊睇睇短片，聽聽「樹窿」一班幕後英雄嘅分享喇！
其實除咗社會服務，任何中大同學喺創新及發明、體育、藝術或特別貢獻呢啲範疇有傑出表現，都可以報名架！
順帶溫提，有興趣為朋輩提供情緒支援同埋推廣心理健康嘅同學仔，就記住密切留意 uBuddies 嘅宣傳喇，佢哋會喺嚟緊 9 月招募新一批 uBuddies! 
#傑出學生獎  #接受報名  #創新及發明  #體育  #藝術  #社會服務 #特別貢獻  #博文約禮中大人
Attention please! This is the final call for nominations for the 2020 Outstanding Students Awards! How outstanding should the students be in order to get the awards? The team of uBuddies received the “2019 Outstanding Students Awards – Social Service” and was elected as “Most Outstanding Stars” in the social service category.
At CUHK, it is believed that lots of students have shared their personal stories and feelings with uBuddies via their Facebook page. uBuddies listen without judgment and they respond to emotions. They provide their peers with needed relief and promote the importance of mental health. Their professional service won them the award. So what is their mission? Check out the video and get to know more about the unsung heroes! 
Apart from social service, CUHK students with notable achievements who have made significant contributions in any of the areas of Innovation and Invention, Sports, Arts or Special Achievement can apply for the Awards. 
And a friendly reminder that those interested in providing peer counselling and promoting mental health should stay tuned for the uBuddies’ promotion. They will recruit a new batch of peer counsellors this coming September. 
#OutstandingStudentsAwards #ApplyNow #InnovationandInvention #Sports #Arts #SocialService #SpecialAchievement #CUHKerThroughLearningandTemperancetoVirtue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</si>
  <si>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點滴在心頭——咖啡店主說品味 Liquid Gold: Bittersweet for the Coffee Shop Owner</t>
  </si>
  <si>
    <t>「東西好就不用説得太多，原來會慢慢遇到懂欣賞的人。」中大咖啡店Paper &amp; Coffee的店主洪嘉偉先生（Vincent）說。
鑒賞中國繪畫和咖啡有何相關？
Vincent和中大文物館中國書畫主任陳冠男博士品嘗兩幅不同味道的花鳥畫，他更即席想到適合兩位畫家口味的咖啡。《藝術無間》第七集帶大家品味藝術、人生。
“Good products speak for themselves. They will find their way into the right hands,” said Mr. Vincent Hung, the owner of CUHK’s coffee shop “Paper &amp; Coffee”.
How can appreciating Chinese paintings and coffee be related?
Vincent and Dr. Chan Kwun Nam, Phil (Associate Curator of Painting and Calligraphy, Art Museum, CUHK) savoured two bird-and-flower paintings. Let’s have a taste of the arts and get refreshed by their conversation.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</si>
  <si>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逆境生活態度．動 Street Workout in Adversity</t>
  </si>
  <si>
    <t>「街頭健身，是不斷與自己溝通，做好每個動作。」
去年首次參加街頭健身比賽就奪得兩面金牌的中大哲學系學生黃楚恩，沒有被別人對女生的偏見影響，在安全、不影響人的情況下反覆練習挑戰自己，練成多個高難度動作。
在中大人逆境小故事第三集中，她分享自己由柔道到街頭健身，以至征服珠穆朗瑪峯的領悟，鼓勵大家勇於挑戰自己。
-------------------
節目重溫：
第一集🎤 逆境生活態度 ‧ 歌 — 中大音樂系四年級生、紀錄片《天水圍唱》製作人 陳君明
https://youtu.be/_Wx-L_MFwVE
第二集🎨 逆境生活態度 ‧ 畫 — 中大社會科學院全球研究課程講師、插畫家 張可欣博士
https://youtu.be/nIutCPO7emY
#逆境生活態度 #街頭健身 #挑戰自己 #博文約禮中大人
'Street workout is a process of self-communication with intent to perfect every movement.' 
Last year, Wong Chor-yan, a CUHK Philosophy student gained two gold medals in her first street workout competition. Through perseverance and iterative practice, she can now do many elite-level moves, breaking the bias against women.
In the third story of CUHKers overcoming adversity, Wong told us what she has learnt from practising judo and street workout, and also from her Mount Everest challenge, to encourage all of us to keep challenging our limits.
-------------------
Revisiting previous stories:
Episode 1 🎤 Singing in Adversity - Kessay Chan, CUHK Music Year 4 student and producer of documentary Wai Sing
https://youtu.be/_Wx-L_MFwVE
Episode 2 🎨 Drawing in Adversity - Dr. Yannie Cheung, Lecturer of Global Studies Programme, CUHK Faculty of Social Science, and an illustrator
https://youtu.be/nIutCPO7emY
#StreetWorkoutInAdversity #StreetWorkout #ChallengeYourLimits #CUHKerThroughLearningandTemperancetoVirtue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</si>
  <si>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2020 年傑出學生獎現已接受提名  2020 Outstanding Students Awards Open for Nomination now</t>
  </si>
  <si>
    <t>與眾不同的藝術背後是什麼？獲得「2019年傑出學生獎 — 藝術組別」的 Tobias Fandel 認為，要創作與眾不同的藝術，靠的不是技藝，而是持續地從根本著手，探索未知，然後轉化為一個全新的藝術結構。
你身邊也有中大同學在創新及發明、體育、藝術、社會服務或特別貢獻等範疇有傑出表現嗎？新一屆「傑出學生獎」現正接受提名或同學自薦，歡迎報名。　
#傑出學生獎  #接受報名  #藝術  #探索未知  #創新及發明 #體育 #社會服務 #特別貢獻  #博文約禮中大人 
What it is behind the art that makes the difference? Tobias Fandel, winner of 2019 Outstanding Students Awards – Arts, believes that it is not a question of craftsmanship. It is the philosophical decision on a constant basis, the exploring of the unknown and also then to translate this into artistic structures that have not happened yet. 
Have you got to know any CUHK students with notable achievements who have made significant contributions in the areas of Innovation and Invention, Sports, Arts, Social Service or Special Achievement? The 2020 Outstanding Students Awards is now open for nomination or self-nomination. Apply now.
#OutstandingStudentsAwards #ApplyNow #Arts #ExplorationoftheUnknown #InnovationandInvention #Sports #SocialService #SpecialAchievement #CUHKerThroughLearningandTemperancetoVirtue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</si>
  <si>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藝術無間 第六集 HEART to HEART Talks Episode 6</t>
  </si>
  <si>
    <t>中大駐校髮型師和中大文物館碑帖書畫專家何碧琪博士穿梭到古時看俊男美女，一起欣賞繪畫與造型的層次美吧！
Mr. Danny Lee (hairdresser in the CUHK campus salon) and Dr. Ho Pik Ki, Peggy (RE at the CUHK Art Museum) met two handsome persons. Let’s join them to feel the beauty of paintings and "fashion icons"!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</si>
  <si>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《藝術無間》第三集「青花「煮」意——在職媽媽餐具經」</t>
  </si>
  <si>
    <t>CNBC主播Emily和中大文物館器物專家王冠宇博士都是在職媽媽，她們近距離接觸瓷器的時候，熱切地尋找令孩子津津有味的藝術。她們有什麼發現呢？事不宜遲，一齊去片！
Ms. Emily Chan, anchor of CNBC, and Dr. Wang Guanyu, Samantha, Research-Assistant Curator (Antiquities) of Art Museum, CUHK, both look for inspiration from the ceramics featured in Episode 3. What do they think about the artifacts as a working mum? Let’s watch their “Heart to Heart talk”!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</si>
  <si>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《藝術無間》第五集: 「人情練達即文章—學生的溝通心得」</t>
  </si>
  <si>
    <t>兩位學生Quincy和Susanna跟中大文物館研究員童宇博士趣談一封晚清的珍貴信札，領略字裡行間中的人情世故。這封信除了展現清朝高材生費念慈的溝通技巧外，也反映了當時社會的文化。一起走進有趣的文字世界吧！
Quincy and Susanna came to the Art Museum and read a letter from the late Qing dynasty by a top graduate called Fei Nianci. They had a chat with our postdoctoral fellow Dr. Tong Yu and found “treasures” from the letter. Let’s join them!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</si>
  <si>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中大教曉我的事 – 專業忠誠   What I learnt from CUHK – Professionalism and loyalty</t>
  </si>
  <si>
    <t>「中大人的根基非常紮實，目標清晰，工作時專注，所以成效更高。」現時為羅兵咸永道香港審計部合夥人的方蘊萱，畢業至今於同一間會計師樓工作了二十多年。於最後一集「中大教曉我的事」，她會與我們分享中大人「專業忠誠」的特質。
--------------
節目重溫：
第一集：多角度思考——新聞與傳播系、電台主持森美 https://bit.ly/2U4SuXH 　
第二集：人文精神——商學院環球商業學系、非牟利機構Teach For Hong Kong創辦人陳君洋 https://bit.ly/3f5Aq7A 　　
第三集：止於至善——心理學系、香港紅十字會臨床心理學家張依勵 https://bit.ly/3dUYqu3
第四集：心術豁達——工商管理系、香港賽馬會慈善及社區事務執行總監張亮 https://bit.ly/37M7H5l　
#中大教曉我的事 #中大人 #中大人的特質 #方蘊萱　＃專業忠誠
“The foundations of CUHKers are rock-solid. When you have a clear goal, you are more focused when you work, and you will achieve more effective results.” Now an Audit and Assurance Partner in PricewaterhouseCoopers (PwC HK), Loretta Fong has been working with the same accounting firm since graduation, for over 20 years. In the last episode of “What I learnt from CUHK”, she will tell us about the attributes that CUHK graduates inherit - professionalism and loyalty.
--------------
Revisiting previous stories:
First episode: Multi-perspective thinking - Sammy Leung (Journalism and Communication), Media worker https://bit.ly/2U4SuXH
Second episode: Humanism - Arnold Chan (Global Business Studies), Founder of Teach For Hong Kong https://bit.ly/3f5Aq7A
Third episode: In Pursuit of Excellence - Eliza Cheung (Psychology), Hong Kong Red Cross Clinical Psychologist https://bit.ly/3dUYqu3
Fourth episode: Mind &amp; Means, Open-mindedness - Cheung Leong (Integrated BBA), Executive Director, Charities and Community of The Hong Kong Jockey Club https://bit.ly/37M7H5l
#WhatILearntFromCUHK #CUHKGradutes #CUHKAttributes #LorettaFong #ProfessionalismAndLoyalty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</si>
  <si>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Nurturing engineering leaders in the Secure and Intelligent Connected World 培育在安全和智能兼備的互聯世界中之工程領導者</t>
  </si>
  <si>
    <t>The Department of Information Engineering, CUHK founded in 1989, was the first and is still the only Information Engineering Department in Hong Kong. Under the leadership of Professor Sir Charles Kao, the department set up the first Internet connection from CUHK to NASA in US in 1991, paving way for the speedy Internet connection between Hong Kong and the global network. The department is also highly influential in several major research areas, including telecommunications, network security, multimedia networking and processing, big data technology and analysis, and network coding. The department is also committed to nurture engineering leaders to realize a secure and intelligent connected world.
中大信息工程學系成立於1989年，是香港第一個，也是至今唯一的信息工程學系。1991年，在時任香港中文大學校長高錕教授的領導下，學系在香港建立了第一個互聯網連線，連接香港中文大學至美國國家航空航天局，為香港與全球互聯網通訊網絡鋪平了道路。此外，信息工程學系在幾個主要研究領域，包括電信、網絡安全、多媒體網絡和處理、大數據技術和分析，及網絡編碼等，都極具影響力。學系亦致力培育工程領導者，實現一個安全和智能兼備的互聯世界。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</si>
  <si>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逆境生活態度．畫 Drawing in Adversity</t>
  </si>
  <si>
    <t>疫情遲遲未退，大家的情緒可能仍然繃緊。然而，在這般困難的時期，大家有沒有想過，原來一句簡單的「How are you today?（你今天好嗎？）」，足以傳遞快樂？
中大人的逆境小故事來到第二集，邀請了中大社會科學院全球研究課程講師兼插畫家張可欣博士Dr. Yannie Cheung，分享了自己無心插柳下開始畫畫，創作了一對沒有嘴巴的卡通角色，畫出一幅幅溫暖人心的作品。在疫情中，身為老師的Yannie面對教學上突如其來的轉變，她於訪問中也談及如何適應，以及她眼中的中大人有何特別之處。
大家可下載Yannie的畫作，自行填色和寫下心意，家長們更可陪同孩子畫畫，一起向身邊人送上關心。立即下載：https://bit.ly/2Nk1xA0 
The pandemic is ongoing and anyone may feel stressed. Even if you just say, “How are you today?”, do you realize how much happiness you can bring during this difficult time?
Here is the second episode of CUHKers' stories about overcoming adversity. We have invited Dr. Yannie Cheung, lecturer of Global Studies Programme, CUHK Faculty of Social Science, and an illustrator to tell us about how she started drawing at an unexpected time because of an accident. She created a pair of cartoon characters without a mouth which have become drawings that can bring you warmth. During the pandemic, Yannie was also facing a sudden change in teaching. She talks about how to cope with the challenges and also the uniqueness of CUHKers through her eyes.
Here is Yannie’s drawing to download. You can paint and write your personal messages. Parents can also draw with kids. Let's present people with this drawing and show you care. Download: https://bit.ly/2Nk1xA0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</si>
  <si>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藝術無間 第四集 HEART to HEART Talks Episode 4</t>
  </si>
  <si>
    <t>行山專家李維安先生和中大文物館館長姚進莊教授遊山玩水，嘗試踏入呂壽琨先生的足跡，探索他筆下的鹿頸村。
Mr. Li Wai On (Hike leader) and Prof. Josh Yiu (Director of Art Museum, CUHK) had a rendezvous with nature, following Lui Shou-kwan’s footsteps to explore Luk Keng Village. 
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http://www.youtube.com/cuhkchannel</t>
  </si>
  <si>
    <t>「中大教曉我的事」系列   "What I learnt from CUHK" Video Series</t>
  </si>
  <si>
    <t>【足本重溫：中大教曉我的事】
中大人有何共同特質？我們請來五位畢業於不同年代、不同學系的中大人，回顧大學對他們的影響。他們現時在社會上擔任不同的崗位，中大人一直傳承着的特質如何影響他們事業的發展？現在可以五集足本重溫！
第一集：多角度思考——新聞與傳播學院、電台主持森美 https://bit.ly/2U4SuXH 　
第二集：人文精神——工商管理學院環球商業課程、非牟利機構Teach For Hong Kong創辦人陳君洋 https://bit.ly/3f5Aq7A　　
第三集：止於至善——心理學系、香港紅十字會臨床心理學家張依勵 https://bit.ly/3dUYqu3　
第四集：心術豁達——工商管理學院、香港賽馬會慈善及社區事務執行總監張亮 https://bit.ly/37M7H5l　
第五集：專業忠誠——會計學院、羅兵咸永道香港審計部合夥人方蘊萱 https://bit.ly/3dHP04f
#中大教曉我的事   #中大人   #中大人的特質   #足本重溫
【Revisiting “What I learnt from CUHK”】
What core attributes do CUHK graduates share? We have invited five alumni from different generations who graduated from different disciplines to review how CUHK inspired them. The five are taking up different roles in society now. How do the uniquely inherited features shape their career development? You can now revisit all five episodes!  
First episode: Multi-perspective thinking - Sammy Leung (Journalism and Communication), Media worker https://bit.ly/2U4SuXH
Second episode: Humanism - Arnold Chan (Global Business Studies), Founder of Teach For Hong Kong https://bit.ly/3f5Aq7A
Third episode: In Pursuit of Excellence - Eliza Cheung (Psychology), Hong Kong Red Cross Clinical Psychologist https://bit.ly/3dUYqu3
Fourth episode: Mind &amp; Means, Open-mindedness - Cheung Leong (Integrated BBA), Executive Director, Charities and Community of The Hong Kong Jockey Club https://bit.ly/37M7H5l
Fifth episode: Professionalism and loyalty - Loretta Fong (Professional Accountancy), Audit and Assurance Partner in PricewaterhouseCoopers (PwC HK) https://bit.ly/3dHP04f
#WhatILearntFromCUHK #CUHKGradutes #CUHKAttributes #RevisitingAll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</si>
  <si>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A Way Out in the Midst of Challenges Posed by the Pandemic (English Subtitle) 如何在新冠的時代中絕處逢生 (英文字幕)</t>
  </si>
  <si>
    <t>It has been revealed that one of the traits that COVID-19 has exhibited is “dampness”.  While Hong Kong is located on the coast of Lingnan with a hot and humid climate, we need to figure out a way to discern and cope with the symptoms triggered by the“dampness pathogen” so as to maintain good health. Let’s hear the advice from an alumna with her expertise and insights into traditional Chinese medicine.
Chinese subtitle : https://youtu.be/q3JdnXng_A4
2019年尾出現的新型冠狀病毒所引起的肺炎疫情，有一種接近濕的特徵。可恨的是，香港處於潮濕的華南沿岸，故辨清濕邪引起的症狀，並加以預防，有助大家盡早把問題矯正過來。總之，堅持到最後便是贏家。
中文字幕: https://youtu.be/q3JdnXng_A4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CUHKChannel : http://www.youtube.com/CUHKchannel</t>
  </si>
  <si>
    <t>如何在新冠的時代中絕處逢生 (中文字幕) A Way Out in the Midst of Challenges Posed by the Pandemic (Chinese Subtitle)</t>
  </si>
  <si>
    <t>2019年尾出現的新型冠狀病毒所引起的肺炎疫情，有一種接近濕的特徵。可恨的是，香港處於潮濕的華南沿岸，故辨清濕邪引起的症狀，並加以預防，有助大家盡早把問題矯正過來。總之，堅持到最後便是贏家。
英文字幕: https://youtu.be/mx31m2yxzKQ
It has been revealed that one of the traits that COVID-19 has exhibited is “dampness”.  While Hong Kong is located on the coast of Lingnan with a hot and humid climate, we need to figure out a way to discern and cope with the symptoms triggered by the“dampness pathogen” so as to maintain good health. Let’s hear the advice from an alumna with her expertise and insights into traditional Chinese medicine.
English subtitle: https://youtu.be/mx31m2yxzKQ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http://www.youtube.com/CUHKchannel</t>
  </si>
  <si>
    <t>中大教曉我的事 –心術豁達  What I learnt from CUHK – Mind &amp; Means, Open-mindedness</t>
  </si>
  <si>
    <t>現職為香港賽馬會慈善及社區事務執行總監的張亮，事業生涯充滿變化及挑戰。每一次轉工都是減薪兼轉行，每一次也是從頭開始，到底所為何事？一起聽聽他的分享吧。
--------------
節目預告：
第五集：專業會計學系、羅兵咸永道香港審計部合夥人方蘊萱
--------------
節目重溫：
第一集：新聞與傳播系、電台主持森美 https://bit.ly/2U4SuXH
第二集：商學院環球商業學系、非牟利機構Teach For Hong Kong 創辦人陳君洋 https://bit.ly/3f5Aq7A
第三集：心理學系、香港紅十字會臨床心理學家張依勵 https://bit.ly/3dUYqu3
#中大教曉我的事 #中大人 #中大人的特質 #張亮 #心術豁達
Now the Executive Director of Charities and Community of The Hong Kong Jockey Club, Cheung Leong’s career has been full of changes and challenges. Every time he changed his job, he took a pay cut. And every time he changed his job, he ventured into a new industry and started from scratch. There must be something bigger in his mind. Here’s his answer.
--------------
Coming up next:
Fifth episode: Loretta Fong (Accounting), Partner, PwC Hong Kong
--------------
Revisiting previous stories:
First episode: Sammy Leung (Journalism and Communication), Media worker https://bit.ly/2U4SuXH
Second episode: Arnold Chan (Global Business Studies), Founder of Teach For Hong Kong https://bit.ly/3f5Aq7A
Third episode: Eliza Cheung (Psychology), Hong Kong Red Cross Clinical Psychologist https://bit.ly/3dUYqu3
#WhatILearntFromCUHK #CUHKGraduates #CUHKAttributes #CheungLeong #MindAndMeans #OpenMindedness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</si>
  <si>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逆境生活態度．歌 Singing in Adversity</t>
  </si>
  <si>
    <t>無論是面對疫情，還是遇上生活上的挫折，每一個人的心情都受到影響。我們會一連三集，介紹中大人的逆境小故事，陪着大家樂觀面對。
天水圍被指是「悲情城市」，從小在天水圍區長大的中大音樂系四年級生陳君明卻不這麼認為。去年開始，他以無伴奏合唱的歌聲連繫天水圍的人，於中大崇基學院「圓夢計劃」資助下製作了紀錄片《天水圍唱》，並舉行放映會，呈現社區的愛與關心。
畢業在即遇上疫情，他於訪問中分享面對逆境的態度，更教大家扮鼓聲做「人聲敲擊」，希望大家一起唱，面對困難未算糟。
The pandemic or other setbacks in life can change our emotions. In the 'Adversity' video series, we will tell three CUHKers' stories about overcoming adversity. Let's stay hopeful together.
Some say Tin Shui Wai is a city of sadness, but Kessay Chan, CUHK Music Year 4 student, does not agree. Since last year, he has connected the people in Tin Shui Wai through a cappella. With the support of the Dreaming Through Chung Chi Scheme, Kessay produced a documentary 'Wai Sing' and organised screenings of the documentary to show the community's love and care.
Graduating in the pandemic, Kessay told us how he faces adversity. He also taught us vocal percussion, so that we can all sing together to ease the challenges.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</si>
  <si>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360º中大校园游 (普通话) 360º CUHK Virtual Campus Tour (Putonghua Version)</t>
  </si>
  <si>
    <t>透过香港中文大学360度全景图，从崭新角度欣赏山城！
中大校园面积达一百三十七点三公顷，俯瞰吐露港，是全港最宽广丶最绿意盎然的校园，校内设施齐备 ，包括一流的图书馆，另有游泳池丶运动场丶网球场丶健身室等。书院制更是中大特色，在本港大学中独一无二。
请登陆中大视野观看更多精彩短片: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</si>
  <si>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中大教曉我的事 –止於至善  What I learnt from CUHK – In Pursuit of Excellence</t>
  </si>
  <si>
    <t>從事災難心理支援工作的張依勵，本科時已立志成為一名臨床心理學家，並希望能在災難地區工作。當她告訴別人自己的志向時，很多人都會潑冷水，但她並沒有放棄，憑著追求「止於至善」的決心，克服挫折與困難。她走入人群的服務精神，讓她獲選為香港十大傑出青年。
--------------
節目預告：
第四集：工商管理系、香港賽馬會慈善及社區事務執行總監張亮
第五集：專業會計學系、羅兵咸永道香港審計部合夥人方蘊萱
--------------
節目重溫：
第一集：新聞與傳播系、電台主持森美 https://bit.ly/2U4SuXH
第二集：商學院環球商業學系、非牟利機構Teach For Hong Kong 創辦人陳君洋 https://bit.ly/3f5Aq7A 
#中大教曉我的事  #中大人  #中大人的特質  #張依勵  #止於至善 
Working on post-disaster psychological relief now, Eliza Cheung was determined to be a clinical psychologist and work in regions prone to disasters when she was an undergraduate student. When she told people about her aspiration, many of them discouraged her. Persevering with “In Pursuit of Excellence”, she overcame challenges and difficulties to pursue her dream. She was honoured as one of the Hong Kong Ten Outstanding Young Persons in recognition of her service to the community.
--------------
Coming up next:
Fourth episode: Cheung Leong (Integrated BBA), Executive Director, Charities and Community of The Hong Kong Jockey Club
Fifth episode: Loretta Fong (Accounting), Partner, PwC Hong Kong
--------------
Revisiting previous stories:
First episode: Sammy Leung (Journalism and Communication), Media worker https://bit.ly/2U4SuXH
Second episode: Arnold Chan (Global Business Studies), Founder of Teach For Hong Kong https://bit.ly/3f5Aq7A 
#WhatILearntFromCUHK #CUHKGraduates #CUHKAttributes #ElizaCheung #InPursuitofExcellence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</si>
  <si>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360º中大校園遊 (英文) 360º CUHK Virtual Campus Tour (English Version)</t>
  </si>
  <si>
    <t>《藝術無間》第二集「如切如磋，如琢如磨 — 醫生的觀察和品德」</t>
  </si>
  <si>
    <t>仁心仁術，醫生除了要琢磨醫術外，還要有醫德。中大醫學院院長陳家亮教授和中大文物館副館長許曉東教授在《藝術無間》看一件德行化身的文物。究竟是何方神聖？立即去片！
Prof. Francis Chan, Dean of the Faculty of Medicine, CUHK and Prof. Xu Xiaodong, Associate Director of Art Museum, CUHK talked about a virtuous artifact. What is it? Let’s watch Episode 2 of “HEART to HEART Talks” to find out the answer!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</si>
  <si>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中大教曉我的事 – 人文精神 What I learnt from CUHK – Humanism</t>
  </si>
  <si>
    <t>若你問中大人有何共同特質？相信不少人都會答「人文精神」。於「神科」環球商業學畢業後加入投資銀行的陳君洋，數年後毅然放棄逾百萬年薪，創立非牟利機構 Teach For Hong Kong, 向基層學童提供課外活動及生涯規劃等，希望解決香港的教育不平等。獲選為2019年十大傑出青年，以及《福布斯》2019年度亞洲社會企業家榜的「30位30歲以下精英」的陳君洋，與我們分享他如何受到中大的人文熏陶。
--------------
節目預告：
第三集：心理學系、香港紅十字會臨床心理學家張依勵
第四集：工商管理系、香港賽馬會慈善及社區事務執行總監張亮
第五集：專業會計學系、羅兵咸永道香港審計部合夥人方蘊萱
--------------
節目重溫：
第一集：新聞與傳播系、電台主持森美 https://bit.ly/2U4SuXH 　
#中大教曉我的事 #中大人 #中大人的特質 #陳君洋 #人文精神 
If you ask what attributes CUHK graduates have in common, humanism must be one of them. Arnold Chan joined an investment bank after he graduated from the prestigious Global Business Studies programme. The high-flyer quit his million-dollar job several years later and founded the NGO Teach For Hong Kong, which provides life and careers lessons and runs extracurricular activities for less privileged students in grassroots schools, with a mission to bridge Hong Kong’s educational inequality. Honoured as one of the ‘Ten Outstanding Young Person Selection 2019’ and selected as one of Forbes ‘30 Under 30’ Asian Social Entrepreneurs list 2019, Arnold will describe his alma mater’s humanistic influence on him.
--------------
Coming up next:
Third episode: Eliza Cheung (Psychology), Hong Kong Red Cross Clinical Psychologist
Fourth episode: Cheung Leong (Integrated BBA), Executive Director, Charities and Community of The Hong Kong Jockey Club
Fifth episode: Loretta Fong (Accounting), Partner, PwC Hong Kong
--------------
Revisiting previous story:
First episode: Sammy Leung (Journalism and Communication), Media worker https://bit.ly/2U4SuXH
#WhatILearntFromCUHK #CUHKGraduates #CUHKAttributes #ArnoldChan #Humanism #TeachForHongKong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</si>
  <si>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In view of the latest development in the COVID-19 pandemic, the CUHK Summer Institute (SI) 2020 will become a credit-bearing online programme. It continues to provide opportunities for enthusiastic learners from secondary schools to explore different academic fields and prepare for their future studies at CUHK. The credit-bearing online courses will be conducted during 3 – 14 August 2020.
For details : http://www.summer.cuhk.edu.hk/si/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</si>
  <si>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疫境自助 投保索賠變輕鬆 (中文字幕)</t>
  </si>
  <si>
    <t>鑑於新型冠狀病毒疫情來勢洶洶，每日都有不同變化，突發情況時有出現。若不幸懷疑或確診感染新冠肺炎而須強制隔離，可有額外援助？其他國家封關令已計劃的旅程受阻，會否得到賠償？如果在外地染病怎麼辦？如何令客戶能得到即時適切的協助？虛擬保險主要透過網上申請及索償，不涉及中介人，投保過程簡單快捷，牽涉保費亦較少。校友講者會以專業角度，分析傳統與虛擬保險的分別何在，助我們在「疫境」中得到更好保障。
英文字幕: https://youtu.be/CEwDV0hH68U
How could Insurance help protect our interests in time of the COVID-19 pandemic? And perhaps you may have many more questions and concerns in mind: Will insurance companies compensate for the loss arising from trip delay due to the lockdown measure? What are the benefits or coverage the insured could obtain if getting infected in the locale? 
Let’s learn and understand more from Winnie Wong, the Chief Executive Officer and Director of Asia and Avo Insurance. She will also share with us some useful information on the insurance coverage and characteristics of virtual insurance in response to the pandemic.
English subtitle: https://youtu.be/CEwDV0hH68U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t>
  </si>
  <si>
    <t>How could Insurance help protect our interests in time of the COVID-19 pandemic? And perhaps you may have many more questions and concerns in mind: Will insurance companies compensate for the loss arising from trip delay due to the lockdown measure? What are the benefits or coverage the insured could obtain if getting infected in the locale? 
Let’s learn and understand more from Winnie Wong, the Chief Executive Officer and Director of Asia and Avo Insurance. She will also share with us some useful information on the insurance coverage and characteristics of virtual insurance in response to the pandemic.
Chinese subtitle : https://youtu.be/D35cFCBuhAY
鑑於新型冠狀病毒疫情來勢洶洶，每日都有不同變化，突發情況時有出現。若不幸懷疑或確診感染新冠肺炎而須強制隔離，可有額外援助？其他國家封關令已計劃的旅程受阻，會否得到賠償？如果在外地染病怎麼辦？如何令客戶能得到即時適切的協助？虛擬保險主要透過網上申請及索償，不涉及中介人，投保過程簡單快捷，牽涉保費亦較少。校友講者會以專業角度，分析傳統與虛擬保險的分別何在，助我們在「疫境」中得到更好保障。
中文字幕: https://youtu.be/D35cFCBuhAY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t>
  </si>
  <si>
    <t>中大教曉我的事 - 多角度思考  What I learnt from CUHK - Multi-perspective thinking</t>
  </si>
  <si>
    <t>大學教育如何影響學生畢業後的發展？我們請來五位畢業於不同年代、不同學系的中大人，回顧中大對他們的影響。你會發現，即使畢業後大家在社會上擔任不同的崗位，但原來他們都有著共同的特質：多角度思考、人文精神、止於至善 、心術豁達、專業忠誠。也許，這就是中大人一直傳承着的共同特質。
第一集，我們請來畢業於新聞與傳播系、現職電台主持的森美，與我們回顧中大如何培育他的多角度思考。
--------------
節目預告：
第二集：商學院環球商業學系、非牟利機構「良師香港」創辦人陳君洋
第三集：心理學系、香港紅十字會臨床心理學家張依勵
第四集：工商管理系、香港賽馬會慈善及社區事務執行總監張亮
第五集：專業會計學系、羅兵咸永道香港審計部合夥人方蘊萱
#中大教曉我的事 #中大人 #中大人的特質 #森美大哥 #多角度思考 #仲有四集萬勿錯過
How does university education influence one’s development after graduation? We have invited five alumni from different generations who graduated from different disciplines to review how CUHK inspired them. You’ll find that, despite taking up different roles in society, they share the same core attributes, which are multi-perspective thinking, humanism, in pursuit of excellence, broad-mindedness, as well as professionalism and loyalty. Perhaps, those are the uniquely inherited features of CUHK graduates.
In the first episode, Sammy Leung, the famous media worker who graduated from the School of Journalism and Communication, will tell how CUHK trained his multi-perspective thinking.
--------------
Coming up next:
Second episode: Arnold Chan (Global Business Studies), Founder of Teach For Hong Kong
Third episode: Eliza Cheung (Psychology), Hong Kong Red Cross Clinical Psychologist
Fourth episode: Cheung Leong (Integrated BBA), Executive Director, Charities and Community of The Hong Kong Jockey Club
Fifth episode: Loretta Fong (Accounting), Partner, PwC Hong Kong
#WhatILearntFromCUHK #CUHKGraduates #CUHKAttributes #SammyLeung #MulitPerspectiveThinking #StayTunedFor4MoreEpisodes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</si>
  <si>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《藝術無間》第一集「般若波羅蜜 — 與法師談傳承和修行」“HEART to HEART Talks” EP 1 - Art of Zen: Soul-searching with the Abbot</t>
  </si>
  <si>
    <t>《藝術無間》頭炮節目邀得東蓮覺苑苑長僧徹法師與中大文物館館長姚進莊教授看兩件藝術品，傾談中法師分享了對傳承及修行的看法。
The Art Museum invited Abbot, the Venerable Sik Tsang Chit from Tung Lin Kok Yuen (Monastery) to share with us his thoughts on two artworks and the art of Zen.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t>
  </si>
  <si>
    <t>中大綠色生活村　賽馬會研究生宿舍（二座及三座）CUHK Green-Hostel Village Jockey Club Postgraduate Halls 2 &amp; 3</t>
  </si>
  <si>
    <t>中大校園發展處及設計顧問團隊為新落成的「賽馬會研究生宿舍（二座及三座）」注入多個「綠色建築」元素，由設計概念、樓宇座向到節能技術等着手，讓同學可在日常起居飲食，全方位實踐可持續發展的生活。不妨一探這個毗鄰39區的「綠色生活村」！
The CUHK Campus Development Office and consultant team have worked in harness to enforce green building concepts in the ‘Jockey Club Postgraduate Halls 2 &amp; 3’ project. The concepts, position and technologies of the complex are designed for a lifestyle that fulfills the sustainable development goals. Let’s have a look at this ‘Green-Hostel Village’ near Area 39.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</si>
  <si>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《藝術無間》宣傳短片 "HEART to HEART talks" Trailer</t>
  </si>
  <si>
    <t>請瀏覽中大視野觀看更多精彩短片 
Please watch more videos from CUTV http://www.cpr.cuhk.edu.hk/cutv/index
法師、醫生、在職媽媽、行山領隊、學生、髮型師、咖啡店主和老畫家跟文物館的藝術品與專家可以擦岀甚麼火花？請留意5月29日起一連8個星期五下午4:30分推出的《藝術無間》！
What will an abbot, a doctor, a working mother, a hike leader, students, a hairdresser, a coffee shop owner and a painter tell our curators about the treasures in CUHK? Stay tuned to the "HEART to HEART talks" to be broadcasted from 29 May onwards for eight consecutive Fridays at 4:30pm.</t>
  </si>
  <si>
    <t>360º中大校園遊 (廣東話) 360º CUHK Virtual Campus Tour (Cantonese Version)</t>
  </si>
  <si>
    <t>透過香港中文大學360度全景圖，從嶄新角度欣賞山城！
中大校園面積達一百三十七點三公頃，俯瞰吐露港，是全港最寬廣、最綠意盎然的校園，校內設施齊備 ，包括一流的圖書館，另有游泳池、運動場、網球場、健身室等。書院制更是中大特色，在本港大學中獨一無二。
請登陸中大視野觀看更多精彩短片 
Please watch more videos from CUTV:
http://www.cpr.cuhk.edu.hk/cutv/index 
CUHK Facebook: 
https://www.facebook.com/CUHKofficial/ 
CUHK Instagram: 
https://bit.ly/3bNn8La
CUHK Telegram: 
https://t.me/cuhkofficialnews
CUHK Twitter: 
https://twitter.com/cuhkofficial 
CUHK WeChat ID: 
CUHKofficial 
CUHK Weibo: 
https://www.weibo.com/cuhkofficial
CUHK YouTube Channel: 
https://bit.ly/2AIlflT</t>
  </si>
  <si>
    <t>中大支援基金 CU RElief Fund</t>
  </si>
  <si>
    <t>請瀏覽中大視野觀看更多精彩短片 
Please watch more videos from CUTV http://www.cpr.cuhk.edu.hk/cutv/index
【中大支援基金】
為了協助受新冠肺炎疫情影響的大學成員渡過難關，香港中文大學成立「中大支援基金」，除了支援受疫情影響的中大人外 ，更期望能提升大學成員的抗逆能力，合力應對當前及往後的挑戰：https://bit.ly/3fSAUiE
「中大支援基金」主要援助：
（1）為中大全日制本科生提供校內兼職工作
（2）為2020年畢業班同學及2019年畢業校友提供短期受薪在校工作機會。基金亦正與校外機構緊密聯絡，邀請提供工作機會，以協助同學及校友累積實際工作經驗，增加競爭力
（3）為全職中大基層員工提供免息貸款
段崇智校長聯同全體七位副校長，將捐出本年餘下每月百分之十五的薪金作為起動基金。我們深盼各界慷慨捐助支持「中大支援基金」，共襄善舉，同心協力，支持中大人面對逆境。
我們亦誠邀各界友好提供寶貴工作機會，詳情請與「中大支援基金」管理委員會聯絡 （電話: 3943-1931；電郵：curefund@cuhk.edu.hk）。
有關捐助及申請詳情，可瀏覽網頁﹕www.cuhk.edu.hk/oia/cure-fund
#中大支援基金 #中大人 #慷慨捐助 #同心協力 #渡過難關
【CU RElief Fund】
To support university members during the current period of adversity, The Chinese University of Hong Kong launched the CU RElief Fund (CURE Fund), which aims to provide assistance and support to members who are adversely affected by the COVID-19 pandemic and to enhance the resilience of the CUHK community: https://bit.ly/3cyKipP
The main relief measures are:
(1) To provide on-campus part-time job opportunities for current CUHK full-time undergraduate students
(2) To provide short-term job opportunities for graduating students of the class of 2020 and alumni of the class of 2019. The CURE Fund Management Committee is also in discussion with various organizations to create job opportunities. The aim is to help graduating students and young alumni to gain work experience and competitiveness
(3) To provide interest-free emergency loans for full-time staff members in junior
Professor Rocky Tuan, Vice-Chancellor and President of CUHK, along with all seven Pro-Vice-Chancellors/Vice-Presidents, will donate 15% of their salaries for the remaining months of the current year to seed the CURE Fund.
We are calling for donations to support the CURE Fund and to help CUHK members in need to overcome adversity. The University also sincerely invites interested organizations to offer job opportunities for graduating students and young alumni. Please contact the CURE Fund Management Committee for details (tel: 3943-1931; email: curefund@cuhk.edu.hk).
For information on donation and application, please visit www.cuhk.edu.hk/oia/cure-fund
#CURE #CUHKCommunity #callfordonation #overcomeadversity</t>
  </si>
  <si>
    <t>Putting COVID-19 in perspective (English Subtitle) 轉念看疫境 ( 英文字幕)</t>
  </si>
  <si>
    <t>請瀏覽中大視野觀看更多精彩短片 
Please watch more videos from CUTV http://www.cpr.cuhk.edu.hk/cutv/index
During the pandemic, many of us are worried about getting infected. Not only has it disrupted our daily life, but also put much strains on our mental and physical well-being, finance and even family relationship.  Such reality, though painful, should not hold us back from enjoying and appreciating the beauty of love in our life and world that is still having truth, virtue and happiness. An ex-depression sufferer will also be invited to share her rehabilitation story during SARS, shedding some light on how to deal with the adversity. 
For Chinese subtitle: https://youtu.be/qh_WSAP24NA
在疫症蔓延的非常時期，不少人都會擔心受到感染。社會運作、經濟活動減慢甚至停擺，人們在情緒、經濟、與家人關係上都承受不少壓力。然而，痛苦雖然真實，但我們仍能在生活中尋找到表現愛的人、事、物，那怕是一朵開得燦爛的小花、一個小孩的微笑，都在提醒著我們其實世界還有真、善、美。透過17年前沙士期間，患上抑鬱症的康復者現身說法，也可幫助我們了解怎樣自強度過「疫境」。
中文字幕請按此: https://youtu.be/qh_WSAP24NA</t>
  </si>
  <si>
    <t>轉念看疫境 ( 中文字幕) Putting COVID-19 in perspective (Chinese Subtitle)</t>
  </si>
  <si>
    <t>請瀏覽中大視野觀看更多精彩短片 
Please watch more videos from CUTV http://www.cpr.cuhk.edu.hk/cutv/index
在疫症蔓延的非常時期，不少人都會擔心受到感染。社會運作、經濟活動減慢甚至停擺，人們在情緒、經濟、與家人關係上都承受不少壓力。然而，痛苦雖然真實，但我們仍能在生活中尋找到表現愛的人、事、物，那怕是一朵開得燦爛的小花、一個小孩的微笑，都在提醒著我們其實世界還有真、善、美。透過17年前沙士期間，患上抑鬱症的康復者現身說法，也可幫助我們了解怎樣自強度過「疫境」。
英文字幕請按此：https://youtu.be/SU88DDDitZE 
During the pandemic, many of us are worried about getting infected. Not only has it disrupted our daily life, but also put much strains on our mental and physical well-being, finance and even family relationship.  Such reality, though painful, should not hold us back from enjoying and appreciating the beauty of love in our life and world that is still having truth, virtue and happiness. An ex-depression sufferer will also be invited to share her rehabilitation story during SARS, shedding some light on how to deal with the adversity. 
For English subtitle: https://youtu.be/SU88DDDitZE</t>
  </si>
  <si>
    <t>'What I Have Learnt as a Surgeon' by Dr. Jeremy Teoh 「外科醫生的親身體驗」張源津醫生</t>
  </si>
  <si>
    <t>請瀏覽中大視野觀看更多精彩短片 
Please watch more videos from CUTV http://www.cpr.cuhk.edu.hk/cutv/index
Being a doctor has been Dr. Jeremy Teoh's dream since he was very young. Being a surgeon has been his goal since he has entered medical school. What does it take to become a surgeon? What are the struggles that a surgeon may have to face? Dr. Teoh shares what he has learnt as a surgeon in 'Class Acts'.
張源津醫生兒時就夢想成為醫生，入讀醫科後，他便立志成為外科醫生。要怎樣才能成為外科醫生？外科醫生會面對甚麼困難？張源津醫生於「博文在線」分享他做外科醫生的親身體驗。
'Class Acts' Online Talk Series:
In supporting quality learning off campus during the epidemic situation, the CUHK distinguished speakers will deliver a series of online talks, “Class Acts” exploring topics from their own professions.
「博文在線」講座系列：
為讓學生在疫情下仍能在家學習不同學術範疇知識，香港中文大學現舉辦「博文在線」講座系列，學生可安坐家中自我增值。「博文在線」講座將中大不同領域的傑出學者主講，以深入淺出的方式分享真知灼見。
Other Talk Links:
其他講座連結：
'Higher Learning in the Era of Industry 4.0' by Prof. Alan Chan
「大學之道 4.0」陳金樑教授
https://youtu.be/8FybyfCNJYI
'Love at First Swipe: Innovations for Online Dating' by Prof. Tingting FAN
「一點鍾情：在線約會的創新」范亭亭教授
https://youtu.be/f6rQhDmxp0Y
'What Do Gravitational Waves Tell Us?' by Dr. Tong Shiu Sing
「重力波告訴我們甚麼？」湯兆昇博士
https://youtu.be/qHYKBCc7sW8
'Chinese Shipwrecks and the Law of Treasure Hunting' by Prof. Steven GALLAGHER
「中國沉船與尋寶國際法例」Steven GALLAGHER教授
https://youtu.be/TFdvqQhi53A
'City Development and Urban History' by Prof. Ian Morley
「城市發展及歷史」Ian Morley教授
https://youtu.be/sJBQzgAacBE
'Robots as Mentors for Children with Autism' by Prof. Catherine So
「機械人：自閉症孩童的良師益友」蘇詠芝教授
https://youtu.be/xG9JTYkVNhI</t>
  </si>
  <si>
    <t>「機械人：自閉症孩童的良師益友」蘇詠芝教授 'Robots as Mentors for Children with Autism'  by Prof. Catherine So</t>
  </si>
  <si>
    <t>請瀏覽中大視野觀看更多精彩短片 
Please watch more videos from CUTV http://www.cpr.cuhk.edu.hk/cutv/index
中大教育學院教育心理學系蘇詠芝教授於「博文在線」講座邀請大家參觀「小星教室」，了解如何培養社交機械人成為自閉同學的良師益友。
Prof. Catherine So, Department of Educational Psychology, Faculty of Education, CUHK, invited us to visit a robotic classroom and learn how they trained the robots to be the mentors for children with autism.
「博文在線」講座系列：
為讓學生在疫情下仍能在家學習不同學術範疇知識，香港中文大學現舉辦「博文在線」講座系列，學生可安坐家中自我增值。「博文在線」講座將中大不同領域的傑出學者主講，以深入淺出的方式分享真知灼見。
'Class Acts' Online Talk Series:
In supporting quality learning off campus during the epidemic situation, the CUHK distinguished speakers will deliver a series of online talks, “Class Acts” exploring topics from their own professions.
其他講座連結：
Other Talk Links:
「大學之道 4.0」陳金樑教授
'Higher Learning in the Era of Industry 4.0' by Prof. Alan Chan
https://youtu.be/8FybyfCNJYI
「三磅宇宙探索指南」金國慶教授
'A Traveler's Guide to the 3-Pound Universe' by Prof Irwin King
https://youtu.be/omduIktSPLM
「一點鍾情：在線約會的創新」范亭亭教授
'Love at First Swipe: Innovations for Online Dating' by Prof. Tingting FAN
https://youtu.be/f6rQhDmxp0Y
「重力波告訴我們甚麼？」湯兆昇博士
'What Do Gravitational Waves Tell Us?' by Dr. Tong Shiu Sing
https://youtu.be/qHYKBCc7sW8
「中國沉船與尋寶國際法例」Steven GALLAGHER 教授
'Chinese Shipwrecks and the Law of Treasure Hunting' by Prof. Steven GALLAGHER
https://youtu.be/TFdvqQhi53A
「城市發展及歷史」Ian Morley教授
'City Development and Urban History' by Prof. Ian Morley
https://youtu.be/sJBQzgAacBE
「外科醫生的親身體驗」張源津醫生
'What I Have Learnt as a Surgeon' by Dr. Jeremy Teoh
https://youtu.be/ddCz2CBUUZ8</t>
  </si>
  <si>
    <t>「博文在線」網上講座系列－張源津教授 'Class Acts' Online Talk Series - Prof. Jeremy Teoh</t>
  </si>
  <si>
    <t>請瀏覽中大視野觀看更多精彩短片 
Please watch more videos from CUTV http://www.cpr.cuhk.edu.hk/cutv/index</t>
  </si>
  <si>
    <t>請瀏覽中大視野觀看更多精彩短片 
Please watch more videos from CUTV http://www.cpr.cuhk.edu.hk/cutv/index
At 'Class Acts', Prof. Ian Morley speaks on the topic of 'City Development and Urban History'. He talks about understanding cities and their development and, in this frame, recognising the value and significance of studying the urban past. After all, to value urban history helps us to evaluate how cities of the modern world came into being with the form and meaning that they have.
在「博文在線」講座中，Ian Morley教授以「城市發展與歷史」為題，向大家剖析城市及其發展，以及在城市發展中探索它的價值與重要性。畢竟，理解城市的歷史有助於我們評估當代世界現在的形式與意義如何誕生。
'Class Acts' Online Talk Series:
In supporting quality learning off campus during the epidemic situation, the CUHK distinguished speakers will deliver a series of online talks, “Class Acts” exploring topics from their own professions.
「博文在線」講座系列：
為讓學生在疫情下仍能在家學習不同學術範疇知識，香港中文大學現舉辦「博文在線」講座系列，學生可安坐家中自我增值。「博文在線」講座將中大不同領域的傑出學者主講，以深入淺出的方式分享真知灼見。
Other Talk Links:
其他講座連結：
'Higher Learning in the Era of Industry 4.0' by Prof. Alan Chan
「大學之道 4.0」陳金樑教授
https://youtu.be/8FybyfCNJYI
'A Traveler's Guide to the 3-Pound Universe' by Prof Irwin King
「三磅宇宙探索指南」金國慶教授
https://youtu.be/omduIktSPLM
'Love at First Swipe: Innovations for Online Dating' by Prof. Tingting FAN
「一點鍾情：在線約會的創新」范亭亭教授
https://youtu.be/f6rQhDmxp0Y
'What Do Gravitational Waves Tell Us?' by Dr. Tong Shiu Sing
「重力波告訴我們甚麼？」湯兆昇博士
https://youtu.be/qHYKBCc7sW8
'Chinese Shipwrecks and the Law of Treasure Hunting' by Prof. Steven GALLAGHER
「中國沉船與尋寶國際法例」Steven GALLAGHER 教授
https://youtu.be/TFdvqQhi53A
'Robots as Mentors for Children with Autism' by Prof. Catherine So
「機械人：自閉症孩童的良師益友」蘇詠芝教授
https://youtu.be/xG9JTYkVNhI
'What I Have Learnt as a Surgeon' by Dr. Jeremy Teoh
「外科醫生的親身體驗」張源津醫生
https://youtu.be/ddCz2CBUUZ8</t>
  </si>
  <si>
    <t>「博文在線」網上講座系列－蘇詠芝教授 'Class Acts' Online Talk Series - Prof. Catherine So</t>
  </si>
  <si>
    <t>請瀏覽中大視野觀看更多精彩短片 
Please watch more videos from CUTV http://www.cpr.cuhk.edu.hk/cutv/index
自閉症孩童跟「小星」為甚麼會成為好朋友？社交機械人「小星」怎樣幫助自閉症孩童增進社交及溝通能力？
引入這些社交機械人的中大教育心理學系蘇詠芝教授，將會於第七場「博文在線」講座帶我們到「小星教室」，認識這幾位自閉症孩童的良師益友。
How do children with autism and the robot become good friends? How can the robot improve their social and communications skills?
Prof. Catherine So of CUHK Department of Educational Psychology, who pioneered use of robots to help autistic children, will be the speaker of the 7th ‘Class Acts’ online talk. She will introduce this robot to all of us.</t>
  </si>
  <si>
    <t>家居Keep Fit錦囊 (中文字幕)Tips to Keep Fit at Home (Chinese Subtitle)</t>
  </si>
  <si>
    <t>請登陸中大視野觀看更多精彩短片
Please watch more videos from CUTV
http://www.cpr.cuhk.edu.hk/cutv/index
疫情嚴峻，勤做運動有效增強身體免疫力，實在是防疫減壓的好方法！即使現在只能留在家中，也可按個人能力及身體狀況，運動伸展鬆一鬆。今集由前香港三項鐵人代表李致和校友，分享如何在家中Keep Fit，並帶領兩位校友（蘇嘉欣及黃梓浩）一同親身示範，協助大家鍛鍊主肌群，以保持及增強肌肉力量和耐力。
英文字幕: https://youtu.be/ZWuW_r8k6AU
Home Workout might have been one of the best antidotes against COVID-19 as exercise helps boost our immune system and relieve our stress. In this episode, Daniel Lee, former triathlon Hong Kong representative, is leading two young alumni (Winnie and Leslie) to demonstrate some at-home exercises which aim to train the major muscle groups in a way to maintain and develop the muscle strength and endurance.
For English subtitle: https://youtu.be/ZWuW_r8k6AU</t>
  </si>
  <si>
    <t>Tips to Keep Fit at Home (English Subtitle) 家居Keep Fit錦囊 (英文字幕)</t>
  </si>
  <si>
    <t>請登陸中大視野觀看更多精彩短片
Please watch more videos from CUTV
http://www.cpr.cuhk.edu.hk/cutv/index
Home Workout might have been one of the best antidotes against COVID-19 as exercise helps boost our immune system and relieve our stress. In this episode, Daniel Lee, former triathlon Hong Kong representative, is leading two young alumni (Winnie and Leslie) to demonstrate some at-home exercises which aim to train the major muscle groups in a way to maintain and develop the muscle strength and endurance.
Chinese subtitle: https://youtu.be/gKQu1kun0z4
疫情嚴峻，勤做運動有效增強身體免疫力，實在是防疫減壓的好方法！即使現在只能留在家中，也可按個人能力及身體狀況，運動伸展鬆一鬆。今集由前香港三項鐵人代表李致和校友，分享如何在家中Keep Fit，並帶領兩位校友（蘇嘉欣及黃梓浩）一同親身示範，協助大家鍛鍊主肌群，以保持及增強肌肉力量和耐力。
中文字幕: https://youtu.be/gKQu1kun0z4</t>
  </si>
  <si>
    <t>'A Traveler's Guide to the 3-pound Universe' by Prof. Irwin King 「三磅宇宙探索指南」金國慶教授</t>
  </si>
  <si>
    <t>請瀏覽中大視野觀看更多精彩短片 
Please watch more videos from CUTV http://www.cpr.cuhk.edu.hk/cutv/index
In Prof. Irwin KING's 'Class Acts' talk on 'A Traveler's Guide to the 3-pound Universe, he tells of his personal journey to explore the universe of the brain and what he does in AI, and how these topics would shape today and tomorrow.
在金國慶教授主講的「博文在線」網上講座，他以「三磅宇宙探索指南」為題，分享他個人探索大腦這個「三磅宇宙」的經歷，以及他在人工智能範疇的工作，還講及這些議題如何塑造今日和明日的世界。
'Class Acts' Online Talk Series:
In supporting quality learning off campus during the epidemic situation, the CUHK distinguished speakers will deliver a series of online talks, “Class Acts” exploring topics from their own professions.
「博文在線」講座系列：
為讓學生在疫情下仍能在家學習不同學術範疇知識，香港中文大學現舉辦「博文在線」講座系列，學生可安坐家中自我增值。「博文在線」講座將中大不同領域的傑出學者主講，以深入淺出的方式分享真知灼見。
Other Talk Links:
其他講座連結：
'Higher Learning in the Era of Industry 4.0' by Prof. Alan Chan
「大學之道 4.0」陳金樑教授
https://youtu.be/8FybyfCNJYI
'Love at First Swipe: Innovations for Online Dating' by Prof. Tingting FAN
「一點鍾情：在線約會的創新」范亭亭教授
https://youtu.be/f6rQhDmxp0Y
'What Do Gravitational Waves Tell Us?' by Dr. Tong Shiu Sing
「重力波告訴我們甚麼？」湯兆昇博士
https://youtu.be/qHYKBCc7sW8
'Chinese Shipwrecks and the Law of Treasure Hunting' by Prof. Steven GALLAGHER
「中國沉船與尋寶國際法例」Steven GALLAGHER教授
https://youtu.be/TFdvqQhi53A
'City Development and Urban History' by Prof. Ian Morley
「城市發展與歷史」Ian Morley教授
https://youtu.be/sJBQzgAacBE
'Robots as Mentors for Children with Autism' by Prof. Catherine So
「機械人：自閉症孩童的良師益友」蘇詠芝教授
https://youtu.be/xG9JTYkVNhI
'What I Have Learnt as a Surgeon' by Dr. Jeremy Teoh
「外科醫生的親身體驗」張源津醫生
https://youtu.be/ddCz2CBUUZ8</t>
  </si>
  <si>
    <t>'Higher Learning in the Era of Industry 4.0' by Prof. Alan Chan 「大學之道 4.0」陳金樑教授</t>
  </si>
  <si>
    <t>請瀏覽中大視野觀看更多精彩短片 
Please watch more videos from CUTV http://www.cpr.cuhk.edu.hk/cutv/index
The 'Class Acts' commenced with CUHK Provost Professor Chan Kam-leung, Alan speaking on the topic 'Higher Learning in the Era of Industry 4.0'. 
中大常務副校長陳金樑教授將為「博文在線」打響頭炮，以「大學之道4.0」為題，討論高等教育在第四次工業革命經歷的變化。
'Class Acts' Online Talk Series:
In supporting quality learning off campus during the epidemic situation, the CUHK distinguished speakers will deliver a series of online talks, “Class Acts” exploring topics from their own professions.
「博文在線」講座系列：
為讓學生在疫情下仍能在家學習不同學術範疇知識，香港中文大學現舉辦「博文在線」講座系列，學生可安坐家中自我增值。「博文在線」講座將中大不同領域的傑出學者主講，以深入淺出的方式分享真知灼見。
Other Talk Links:
其他講座連結：
'A Traveler's Guide to the 3-Pound Universe' by Prof Irwin King
「三磅宇宙探索指南」金國慶教授
https://youtu.be/omduIktSPLM
'Love at First Swipe: Innovations for Online Dating' by Prof. Tingting FAN
「一點鍾情：在線約會的創新」范亭亭教授
https://youtu.be/f6rQhDmxp0Y
'What Do Gravitational Waves Tell Us?' by Dr. Tong Shiu Sing
「重力波告訴我們甚麼？」湯兆昇博士
https://youtu.be/qHYKBCc7sW8
'Chinese Shipwrecks and the Law of Treasure Hunting' by Prof. Steven GALLAGHER
「中國沉船與尋寶國際法例」Steven GALLAGHER 教授
https://youtu.be/TFdvqQhi53A
'City Development and Urban History' by Prof. Ian Morley
「城市發展與歷史」Ian Morley教授
https://youtu.be/sJBQzgAacBE
'Robots as Mentors for Children with Autism' by Prof. Catherine So
「機械人：自閉症孩童的良師益友」蘇詠芝教授
https://youtu.be/xG9JTYkVNhI
'What I Have Learnt as a Surgeon' by Dr. Jeremy Teoh
「外科醫生的親身體驗」張源津醫生
https://youtu.be/ddCz2CBUUZ8</t>
  </si>
  <si>
    <t>中大「博文在線」講座系列－Ian Morley教授 CUHK 'Class Acts' Online Talk Series - Prof. Ian Morley</t>
  </si>
  <si>
    <t>請瀏覽中大視野觀看更多精彩短片 
Please watch more videos from CUTV http://www.cpr.cuhk.edu.hk/cutv/index
🗺讓我們憧憬一下，疫情過後，你最想去哪個城市？
現在我們無法出遊，反而是個好機會讓我們先認識那個城市的歷史。讀一個城市的發展史，有助我們理解它的現狀。到真正成行時，再到那個地方深度遊，更富意義，收穫更豐。
榮獲多屆文學院教學奬及歷史系教學奬的Ian Morley教授，將於第六場「博文在線」講座以「城市發展與歷史」為題，教我們如何以一個城市的過去，去解讀那個地方的現在與發展。
📹播放安排
日期：4月29日（星期三）
時間：下午4時
講者：中大歷史系Ian Morley教授
講題：City Development and Urban History
語言：英語
播放平台：中大YouTube頻道 youtube.com/user/CUHKchannel
毋須登記，下星期三見👋
🙋‍♂️想提問❓
星期日（4月26日）或之前，把你的問題電郵至classacts@cuhk.edu.hk，Ian Morley教授將盡量在節目錄影中解答。
【'Class Acts' Preview: City Development and Urban History】
🗺Looking ahead, which city do you want to visit most after the pandemic?
Although it is not a time for us to travel, it is an excellent opportunity for us to learn about that city's history first. Studying a modern city's past helps us to better comprehend its present. When we can finally get there, we will get more fun out of an in-depth trip.
Prof. Ian Morley of CUHK Department of History, four-time awardee of the Outstanding Teaching Awards of the Faculty of Arts and the Department of History, will be the speaker in the sixth ‘Class Acts’ online talk. He will tell us how urban history helps us to evaluate how modern cities came into being with the form and meaning that they have.
📹Broadcast Arrangement
Date: 29 April (Wednesday)
Time: 4:00pm
Speaker: Prof. Ian Morley, CUHK Department of History
Topic: City Development and Urban History
Language: English
Broadcast Platform: CUHK YouTube channel (youtube.com/user/CUHKchannel)
No registration required. See you next Wednesday.👋
🙋‍♂Want to raise a question❓
Send your question to classacts@cuhk.edu.hk on or before 26 April (Sunday). Prof. Ian Morley will try to include your question in the recording.</t>
  </si>
  <si>
    <t>請瀏覽中大視野觀看更多精彩短片 
Please watch more videos from CUTV http://www.cpr.cuhk.edu.hk/cutv/index
At 'Class Acts' on 'Chinese Shipwrecks and the Law of Treasure Hunting', Professor Steven GALLAGHER talks about what happens to people who find treasure, who can keep treasure and the importance of Chinese shipwrecks in the development of international law about treasure.
在「博文在線」講座中，Steven GALLAGHER教授以「中國深船與尋寶法例」為題，講解誰可保存尋寶者獲得的寶物，及以中國沉船對推進有關尋寶之國際法的重要性。
'Class Acts' Online Talk Series:
In supporting quality learning off campus during the epidemic situation, the CUHK distinguished speakers will deliver a series of online talks, “Class Acts” exploring topics from their own professions.
「博文在線」講座系列：
為讓學生在疫情下仍能在家學習不同學術範疇知識，香港中文大學現舉辦「博文在線」講座系列，學生可安坐家中自我增值。「博文在線」講座將中大不同領域的傑出學者主講，以深入淺出的方式分享真知灼見。
Other Talk Links:
其他講座連結：
'Higher Learning in the Era of Industry 4.0' by Prof. Alan Chan
「大學之道 4.0」陳金樑教授
https://youtu.be/8FybyfCNJYI
'A Traveler's Guide to the 3-Pound Universe' by Prof Irwin King
「三磅宇宙探索指南」金國慶教授
https://youtu.be/omduIktSPLM
'Love at First Swipe: Innovations for Online Dating' by Prof. Tingting FAN
「一點鍾情：在線約會的創新」范亭亭教授
https://youtu.be/f6rQhDmxp0Y
'What Do Gravitational Waves Tell Us?' by Dr. Tong Shiu Sing
「重力波告訴我們甚麼？」湯兆昇博士
https://youtu.be/qHYKBCc7sW8
'City Development and Urban History' by Prof. Ian Morley
「城市發展與歷史」Ian Morley教授
https://youtu.be/sJBQzgAacBE
'Robots as Mentors for Children with Autism' by Prof. Catherine So
「機械人：自閉症孩童的良師益友」蘇詠芝教授
https://youtu.be/xG9JTYkVNhI
'What I Have Learnt as a Surgeon' by Dr. Jeremy Teoh
「外科醫生的親身體驗」張源津醫生
https://youtu.be/ddCz2CBUUZ8</t>
  </si>
  <si>
    <t>「重力波告訴我們甚麼？」湯兆昇博士 'What Do Gravitational Waves Tell Us?' by Dr. Tong Shiu Sing</t>
  </si>
  <si>
    <t>請瀏覽中大視野觀看更多精彩短片 
Please watch more videos from CUTV http://www.cpr.cuhk.edu.hk/cutv/index
愛恩斯坦發表廣義相對論100年之後，物理學家才真正探測到重力波。究竟重力波是怎樣被探測的？它怎樣改變我們人類對宇宙旳認知？又怎樣驗證廣義相對論呢？湯兆昇博士於「博文在線」講座中，以「重力波告訴我們甚麼？」為題，跟大家一起探討。
Only 100 years after Einstein published the General Theory of Relativity have the physicists discovered gravitational waves for the very first time. How could the gravitational waves be detected? How could they change the humans' understanding about the universe and verify the General Theory of Relativity? Dr. TONG Shiu Sing discusses with the audience in the 'Class Acts' talk on 'What Do Gravitational Waves Tell Us?'.
「博文在線」講座系列：
為讓學生在疫情下仍能在家學習不同學術範疇知識，香港中文大學現舉辦「博文在線」講座系列，學生可安坐家中自我增值。「博文在線」講座將中大不同領域的傑出學者主講，以深入淺出的方式分享真知灼見。
'Class Acts' Online Talk Series:
In supporting quality learning off campus during the epidemic situation, the CUHK distinguished speakers will deliver a series of online talks, “Class Acts” exploring topics from their own professions.
其他講座連結：
Other Talk Links:
'Higher Learning in the Era of Industry 4.0' by Prof. Alan Chan
「大學之道 4.0」陳金樑教授
https://youtu.be/8FybyfCNJYI
「三磅宇宙探索指南」金國慶教授
'A Traveler's Guide to the 3-Pound Universe' by Prof Irwin King
https://youtu.be/omduIktSPLM
「一點鍾情：在線約會的創新」范亭亭教授
'Love at First Swipe: Innovations for Online Dating' by Prof. Tingting FAN
https://youtu.be/f6rQhDmxp0Y
「中國沉船與尋寶國際法例」Steven GALLAGHER 教授
'Chinese Shipwrecks and the Law of Treasure Hunting' by Prof. Steven GALLAGHER
https://youtu.be/TFdvqQhi53A
「城市發展與歷史」Ian Morley教授
'City Development and Urban History' by Prof. Ian Morley
https://youtu.be/sJBQzgAacBE
「機械人：自閉症孩童的良師益友」蘇詠芝教授
'Robots as Mentors for Children with Autism' by Prof. Catherine So
https://youtu.be/xG9JTYkVNhI
「外科醫生的親身體驗」張源津醫生
'What I Have Learnt as a Surgeon' by Dr. Jeremy Teoh
https://youtu.be/ddCz2CBUUZ8</t>
  </si>
  <si>
    <t>'Love at First Swipe: Innovations for Online Dating' by Prof. Tingting FAN 「一點鍾情：在線約會的創新」范亭亭教授</t>
  </si>
  <si>
    <t>請瀏覽中大視野觀看更多精彩短片 
Please watch more videos from CUTV http://www.cpr.cuhk.edu.hk/cutv/index
Do monkeys need Tinder for dating? Did your parents meet on Tinder? Can Tinder help you find your true love? In the 'Class Acts' talk on 'Love at First Swipe: Innovations for Online Dating', Prof. Tingting Fan tells about the past, present and future of dating platforms.
猴子需要網上約會平台Tinder來約會嗎？你的父母是在Tinder上認識的嗎？Tinder可以幫你找到真愛嗎？在「博文在線」講座中，范亭亭教授以「一點鍾情：在線約會的創新」為題，探究過去、現在與未來的約會模式。
'Class Acts' Online Talk Series:
In supporting quality learning off campus during the epidemic situation, the CUHK distinguished speakers will deliver a series of online talks, “Class Acts” exploring topics from their own professions.
「博文在線」講座系列：
為讓學生在疫情下仍能在家學習不同學術範疇知識，香港中文大學現舉辦「博文在線」講座系列，學生可安坐家中自我增值。「博文在線」講座將中大不同領域的傑出學者主講，以深入淺出的方式分享真知灼見。
Other Talk Links:
其他講座連結：
'Higher Learning in the Era of Industry 4.0' by Prof. Alan Chan
「大學之道 4.0」陳金樑教授
https://youtu.be/8FybyfCNJYI
'A Traveler's Guide to the 3-Pound Universe' by Prof Irwin King
「三磅宇宙探索指南」金國慶教授
https://youtu.be/omduIktSPLM
'What Do Gravitational Waves Tell Us?' by Dr. Tong Shiu Sing
「重力波告訴我們甚麼？」湯兆昇博士
https://youtu.be/qHYKBCc7sW8
'Chinese Shipwrecks and the Law of Treasure Hunting' by Prof. Steven GALLAGHER
「中國沉船與尋寶國際法例」Steven GALLAGHER教授
https://youtu.be/TFdvqQhi53A
'City Development and Urban History' by Prof. Ian Morley
「城市發展與歷史」Ian Morley教授
https://youtu.be/sJBQzgAacBE
'Robots as Mentors for Children with Autism' by Prof. Catherine So
「機械人：自閉症孩童的良師益友」蘇詠芝教授
https://youtu.be/xG9JTYkVNhI
'What I Have Learnt as a Surgeon' by Dr. Jeremy Teoh
「外科醫生的親身體驗」張源津醫生
https://youtu.be/ddCz2CBUUZ8</t>
  </si>
  <si>
    <t>中大這一課📚 - 前傳 A Class by CUHK 📚—The Prequel</t>
  </si>
  <si>
    <t>請瀏覽中大視野觀看更多精彩短片 
Please watch more videos from CUTV http://www.cpr.cuhk.edu.hk/cutv/index
上回提到， 中大化學系的講師為15間中學的學生在停課期間準備網上課堂，教授中學生可親自製作酒精搓手液及漂白水，更能從過程中學習消毒用品殺滅病毒的原理（重溫：https://youtu.be/cyLfJdNMTPo ）。
今次課堂全賴兩位化學系講師侯俊傑博士及麥建華博士的精心安排。究竟2位化學系講師為何萌生向中學生安排網上課堂的念頭？
As mentioned previously, two lecturers from CUHK Department of Chemistry prepared an online course for 15 secondary schools during the class suspension to demonstrate the production of alcohol handrub and bleach in the laboratory. Students have benefited from the class as they had chance to produce their own alcohol handrub and bleach, and learn the theories and principles behind it.（Review: https://youtu.be/cyLfJdNMTPo ）
This class relies on the careful arrangement of the two lecturers of the Department of Chemistry, Dr. HAU Chun Kit Sam and Dr. MAK Kin Wah. Why did the two lecturers have this idea to initiate the online class for secondary school students?</t>
  </si>
  <si>
    <t>['CUHK', '中大', 'video', '線上學習', '自製酒精搓手液', '中大化學系', '自製漂白水', '網上教學', 'CUHKDeptofChemistry', 'homemadebleach', 'homemadealcoholhandrub', 'onlineclass']</t>
  </si>
  <si>
    <t>中大這一課 A Class by CUHK</t>
  </si>
  <si>
    <t>請瀏覽中大視野觀看更多精彩短片 
Please watch more videos from CUTV 
http://www.cpr.cuhk.edu.hk/cutv/index
自二月起停課，已經第75天。停課期間如何讓學生維持自主學習的動機，是每個老師都在思考的問題，以轉危為機。不能群聚，改用網上教學，少了肢體接觸，卻讓課堂走得更遠。
中大化學系的老師在停課期間，利用網上教學的便利造就知識轉移，向15間中學的學生示範製作酒精搓手液及漂白水，並教授消毒用品殺滅病毒的原理，幫助學界助人自助，同心抗疫；22位化學系的同學更親身到各中學協助學生及解釋相關的化學知識👩🏻🔬👨🏻🔬，讓他們有實踐的機會，更能學以致用。就讓我們一同聽聽今次課堂如何令中學生有所得著。💪🏻💪🏻
今次課堂全賴兩位化學系講師侯俊傑博士及麥建華博士的精心安排。究竟2位化學系講師為何萌生向中學生安排網上課堂的念頭？大家可觀看前傳：https://youtu.be/GYdJuTmgywI
It is the 75th day of class suspension due to the epidemic since February 2020. Every teacher is working very hard to keep up students’ self-learning motivation with a view to turning challenges into opportunities. E-learning mode, while reduces human touch, allows us to go beyond boundary. 
Two lecturers from CUHK Department of Chemistry, for the sake of knowledge transfer, initiated an online course to demonstrate the production of alcohol handrub and bleach in the laboratory and elaborated the theories and principles behind to students in 15 secondary schools👩🏻🔬👨🏻🔬. 22 chemistry students assisted the secondary school students to carry out the experiments and explained the theories in person. Let us hear how students have benefitted from the class. 💪🏻💪🏻
This class relies on the careful arrangement of the two lecturers of the Department of Chemistry, Dr. HAU Chun Kit Sam and Dr. MAK Kin Wah. Why did the two lecturers have this idea to initiate the online class for secondary school students? Let's watch The Prequel : https://youtu.be/GYdJuTmgywI</t>
  </si>
  <si>
    <t>['CUHK', '中大', 'video', '網上教學', '線上學習', '自製酒精搓手液', '自製漂白水', '中大化學系', 'onlineclass', 'CUHKDeptofChemistry', 'homemadealcoholhandrub', 'homemadebleac']</t>
  </si>
  <si>
    <t>請登陸中大視野觀看更多精彩短片
Please watch more videos from CUTV
http://www.cpr.cuhk.edu.hk/cutv/index
The pandemic has grown so severe that it has disrupted many activities like transport and travel, triggering the global financial crisis. What does the future hold for Hong Kong’s economy despite the positive factors of low-interest and abundant funds What are the moods in the market? Is it panic-stricken? 
Let's hear more from the three renowned alumni sharing their insights into the impact of Covid-19 on Hong Kong’s and the World’s economy as well as the Financial Market. 
English Subtitle Translation: Information Services Office
For Chinese subtitle: https://youtu.be/aljuWR5WPUU 
新冠肺炎疫情持續升溫，經濟活動和交通運輸減少，引發全球金融動盪。低息及市場資金充裕，可否穩定香港的經濟，以及有利香港資本市場和地產市場？如何瞭解金融市場的恐慌情緒？現在市場是否過度恐慌？三位熟悉本港以至全球經濟、金融及貿易市場的校友，會與大家分享疫情期間所觀察到的市場反應及啟示，助大家找出「疫」流而上之對策，瞭解如何化危為機。
英文字幕翻譯：大學資訊處
中文字幕: https://youtu.be/aljuWR5WPUU</t>
  </si>
  <si>
    <t>新冠肺炎疫情打擊下的香港經濟和金融前景及對策 (中文字幕)</t>
  </si>
  <si>
    <t>新冠肺炎疫情持續升溫，經濟活動和交通運輸減少，引發全球金融動盪。低息及市場資金充裕，可否穩定香港的經濟，以及有利香港資本市場和地產市場？如何瞭解金融市場的恐慌情緒？現在市場是否過度恐慌？三位熟悉本港以至全球經濟、金融及貿易市場的校友，會與大家分享疫情期間所觀察到的市場反應及啟示，助大家找出「疫」流而上之對策，瞭解如何化危為機。
英文字幕: https://youtu.be/tUtb94S6b-s 
The pandemic has grown so severe that it has disrupted many activities like transportand travel, triggering the global financial crisis. What does the future hold for Hong Kong’s economy despite the positive factors of low-interest and abundant funds? What are the moods in the market? Is it panic-stricken? 
Let's hear more from the three renowned alumni sharing their insights into the impact of Covid-19 on Hong Kong’s and the World’s economy as well as the Financial Market. 
English Subtitle: https://youtu.be/tUtb94S6b-s</t>
  </si>
  <si>
    <t>Sturdy Grass Withstands the Storm of Covid-19 (English subtitle) 疫風知勁草 (英文字幕)</t>
  </si>
  <si>
    <t>請登陸中大視野觀看更多精彩短片
Please watch more videos from CUTV
http://www.cpr.cuhk.edu.hk/cutv/index
The storm of Covid-19 has engulfed the globe. With escalating number of infections reported in various countries, it has become the striking fear in us. 
Professor Francis KL Chan and his research team have recently discovered that the COVID-19 virus was detectable in the stool samples from all confirmed patients, regardless of the degree of illness and even after the clearance in their respiratory tract. The finding suggests important public health implications. Let’s hear more from Prof. Francis Chan, who will also share his insights and “tips” about the prevention of Covid-19.
English Subtitle Translation: Information Services Office
For chinese subtitle : https://youtu.be/XvlScWO_kTw
新型冠狀病毒席捲全球，世界各地的感染個案不斷上升，人人皆聞「肺炎」色變。 
陳家亮教授和他的團隊最新研究發現不論病情輕重，所有患者的糞便樣本均帶有新型冠狀病毒。即使呼吸道樣本已完全清除，其糞便樣本仍有病毒存在。此發現對我們日常生活防範帶來重要啟示。除此以外，陳教授還會分享他在疫情的見解和貼士。
英文字幕翻譯：大學資訊處
中文字幕: https://youtu.be/XvlScWO_kTw</t>
  </si>
  <si>
    <t>疫風知勁草 (中文字幕) Sturdy Grass Withstands the Storm of Covid-19 (Chinese subtitle)</t>
  </si>
  <si>
    <t>請登陸中大視野觀看更多精彩短片
Please watch more videos from CUTV
http://www.cpr.cuhk.edu.hk/cutv/index
新型冠狀病毒席捲全球，世界各地的感染個案不斷上升，人人皆聞「肺炎」色變。 
陳家亮教授和他的團隊最新研究發現不論病情輕重，所有患者的糞便樣本均帶有新型冠狀病毒。即使呼吸道樣本已完全清除，其糞便樣本仍有病毒存在。此發現對我們日常生活防範帶來重要啟示。除此以外，陳教授還會分享他在疫情的見解和貼士。
英文字幕: https://youtu.be/dpbLdbrBjf0
The storm of Covid-19 has engulfed the globe. With escalating number of infections reported in various countries, it has become the striking fear in us. 
Professor Francis KL Chan and his research team have recently discovered that the COVID-19 virus was detectable in the stool samples from all confirmed patients, regardless of the degree of illness and even after the clearance in their respiratory tract. The finding suggests important public health implications. Let’s hear more from Prof. Francis Chan, who will also share his insights and “tips” about the prevention of Covid-19.
For English Subtitle : https://youtu.be/dpbLdbrBjf0</t>
  </si>
  <si>
    <t>◀️ 諾貝爾學人精選講座重溫 ◀️ Revisiting the Nobel Laureates Lectures</t>
  </si>
  <si>
    <t>請瀏覽中大視野觀看更多精彩短片 
Please watch more videos from CUTV http://www.cpr.cuhk.edu.hk/cutv/index
📖📚🏠 足不出戶無法「sit堂」？
「中大視野」網站特別搜羅一系列不可不聽的山城課堂，讓各位在疫情期間亦能安坐家中，一搔 #sit堂 之癢。頭炮即找來逾10位近年曾到訪中大的諾貝爾得獎學人，細味他們在山城開講時的哲思金言。詳情：bit.ly/2w1snI6
#中大視野 #諾貝爾學人講座重溫
💬 朱棣文教授「科學逍遙遊」
語言：英語
💬 彼得‧戴蒙德教授「優良的退休金制度」
語言：英語
💬 高行健博士「藝術與人生：高行健與方梓勳對談」
語言：普通話
💬 詹姆士‧赫克曼教授「人生的相關技能」
語言：英語
💬 Barry James Marshall教授「幽門螺旋桿菌：古代細菌的現代用法」
語言：英語
💬 莫理斯教授「知也無涯？」
語言：英語
💬 理察‧羅伯茨爵士「為何我鍾愛細菌？」
語言：英語
💬 蘭迪‧謝克曼教授「細胞分泌蛋白質的包裝和運輸基理」
語言：英語
💬 約瑟夫‧斯蒂格利茨教授「全球財富不均」
語言：英語
💬 楊振寧教授「宇稱不守恆：1957年的震撼」
語言：英語
💬 穆罕默德‧尤努斯教授「盆景樹下小錢莊」
語言：英語
------------------------------------------------------------------------------------
📖📚🏠 Finding ways to sit in on lectures at home?
CUTV website is a treasure of knowledge where you can find various collections of CUHK lecture series to enrich yourselves while staying at home during the COVID-19 pandemic. As a start, we're pleased to present 'Revisiting the Nobel Laureates Lectures' which you can't miss. This first series includes more than 10 Nobel Laureates who have given lectures in CUHK in recent years. Check out the videos to learn from the distinguished scholars. Details: bit.ly/2UAc1zR
💬 Prof. Steven Chu "A Random Walk in Science"
Language: English
💬 Prof. Peter A. Diamond "Good Pension Design"
Language: English
💬 Dr. Gao Xingjian "Arts and Life - Dialogue between Dr. Gao Xingjian and Prof. Fong Chee Fun"
Language: Mandarin
💬 Prof. James J. Heckman "Life-Relevant Skills"
Language: English
💬 Prof. Barry James Marshall "Helicobacter Pylori: Modern Uses for the Ancient Bacterium"
Language: English
💬 Prof. Sir James Mirrlees "How Much More Can We Discover?"
Language: English
💬 Sir Richard J. Roberts "Why I Love Bacteria"
Language: English
💬 Prof. Randy W. Schekman "How Cells Package and Traffic Proteins for Export"
Language: English
💬 Prof. Joseph E. Stiglitz "Global Inequality"
Language: English
💬 Prof. Yang Chen Ning "The Great Excitement in 1957 about Parity Nonconservation"
Language: English
💬 Prof. Muhammad Yunus "Small Loans for a Big Future"
Language: English
#CUTV #NobelLaureatesLectures</t>
  </si>
  <si>
    <t>中大「博文在線」講座系列－Steven Gallagher教授 CUHK 'Class Acts' Online Talk Series - Prof. Steven Gallagher</t>
  </si>
  <si>
    <t>請瀏覽中大視野觀看更多精彩短片 
Please watch more videos from CUTV http://www.cpr.cuhk.edu.hk/cutv/index
⚓👑💍「地上執到寶，問天問地攞唔到」，尋獲地下的寶藏或海底的沉船可據為己有嗎？
原來國際法對寶藏誰屬有明文規定，其中中國的沉船對條文發展有很重要的影響。中大法律學院Steven Gallagher教授將於第五場「博文在線」講座帶領大家探討尋寶法律。現在就登記👇
第五場「博文在線」網上講座
日期：4月1日（星期三）
時間：下午12時30分
講者：中大法律學院副院長（學術事務）Steven Gallagher教授
講題：Chinese Shipwrecks and the Law of Treasure Hunting
語言：英語
網上報名：https://againstcovid19.cuhk.edu.hk/class-acts-online-talk/
⚓👑💍Is treasure hunting legal? Can we own the treasures we find underground or sunk at sea?
Actually there is a part of the international law about treasure hunting where the Chinese shipwrecks have played an important part in the development of it. Professor Steven Gallagher of CUHK Faculty of Law will tell us about the law and its history. Register now👇
Fifth of 'Class Acts' Online Talk Series
Date: 1 April (Wednesday)
Time: 12:30pm
Speaker: Professor Steven Gallagher, Associate Dean (Teaching and Learning), CUHK Faculty of Law
Topic: Chinese Shipwrecks and the Law of Treasure Hunting
Language: English
Online registration: https://againstcovid19.cuhk.edu.hk/class-acts-online-talk/</t>
  </si>
  <si>
    <t>中大「博文在線」講座系列－湯兆昇博士 CUHK 'Class Acts' Online Talk Series - Dr. Tong Shiu Sing</t>
  </si>
  <si>
    <t>請瀏覽中大視野觀看更多精彩短片 
Please watch more videos from CUTV http://www.cpr.cuhk.edu.hk/cutv/index
不時在電視上見到中大物理系湯兆昇博士，他講的課你有沒有聽過？
在第四場「博文在線」講座中，湯博士將會帶我們探討天文，講解重力波的探測及如何印證愛因斯坦的廣義相對論。機會難逢，立即登記👇
第四場「博文在線」網上講座
日期：3月31日（星期二）
時間：下午4時
講者：中大物理系湯兆昇博士
講題：重力波告訴我們甚麼？
語言：廣東話
網上報名：https://againstcovid19.cuhk.edu.hk/class-acts-online-talk/
You may often see Dr. Tong Shiu Sing of CUHK Physics on the TV screen. Have you ever gone to his class?
In the fourth 'Class Acts' online talk, Dr. Tong will tell us about astronomy, how to detect gravitational waves and how gravitational waves have proved Einstein's general theory of relativity. Register now👇
Fourth of 'Class Acts' Online Talk Series
Date: 31 March (Tuesday)
Time: 4:00pm
Speaker: Dr. Tong Shiu Sing, Senior Lecturer, Department of Physics
Topic: What Do Gravitational Waves Tell Us?
Language: Cantonese
Online registration: https://againstcovid19.cuhk.edu.hk/class-acts-online-talk/</t>
  </si>
  <si>
    <t>中大「博文在線」講座系列－范亭亭教授 CUHK 'Class Acts' Online Talk Series - Prof. Tingting FAN</t>
  </si>
  <si>
    <t>請瀏覽中大視野觀看更多精彩短片 
Please watch more videos from CUTV http://www.cpr.cuhk.edu.hk/cutv/index
💕💞你有朋友的愛情故事是在網上開始的嗎？他們怎樣認識？小心🤭你的答案可能會暴露年齡。
無論你認不認同，在線約會已勢不可擋，一見鍾情變一「點」鍾情，而且更發展出各種創新模式。中大市場學系助理教授范亭亭教授將於第三場「博文在線」網上講座，以『一「點」鍾情：在線約會的創新』，跟大家分享她於在線約會市場的觀察。題目那麼有趣，看來是絕對不會分心了！請先登記👇
第三場「博文在線」網上講座
日期：3月27日（星期五）
時間：下午4時
講者：中大市場學系助理教授范亭亭教授
講題：一「點」鍾情﹕在線約會的創新
語言：英語
網上報名：https://againstcovid19.cuhk.edu.hk/class-acts-online-talk/
----------------------------
其餘六場「博文在線」網上講座題目🗣
重力波告訴我們什麼？
🗣物理系湯兆昇博士
Chinese Shipwrecks and the Law of Treasure Hunting
🗣法律學院Steven GALLAGHER教授
City Development and Urban History
🗣歷史系Ian MORLEY教授
機械人：自閉症孩童的良師益友
🗣教育心理學系蘇詠芝教授
採用移動感知精準量度個人環境的空氣污染物
🗣地理與資源管理學系關美寶教授
外科醫生的親身體驗
🗣外科學系張源津教授
【Join 'Class Acts' now: Love at First Swipe: Innovations for Online Dating】
💕💞Have any of your friends begun their love stories on the web? How did they get to know each other? Mind how you answer as it may disclose your age🤭
Whether you like it or not, online dating has become unstoppable. Love at first 'swipe' has replaced love at first sight. Many novel features have been developed. In the third online talk of the 'Class Acts' series, Professor Tingting FAN, Assistant Professor, CUHK Department of Marketing, will tell us about her observations on the online dating market. It will be difficult to distract us from this interesting topic. Register now👇
Third of 'Class Acts' Online Talk Series
Date: 27 March (Friday)
Time: 4:00pm
Speaker: Professor Tingting FAN, Assistant Professor, Department of Marketing
Topic: Love at First Swipe: Innovations for Online Dating
Language: English
Online registration: https://againstcovid19.cuhk.edu.hk/class-acts-online-talk/
----------------------------
The remaining six 'Class Acts' topics🗣
What Do Gravitational Waves Tell Us?
🗣Dr. Shiu Sing TONG, Department of Physics
Chinese Shipwrecks and the Law of Treasure Hunting
🗣Professor Steven GALLAGHER, Faculty of Law
City Development and Urban History
🗣Professor Ian MORLEY, Department of History
Robots as Mentors for Children with Autism
🗣Professor Catherine Wing Chee SO, Department of Educational Psychology
Using Mobile Sensing to Accurately Assess Individual Exposure to Air Pollution
🗣Professor Mei Po KWAN, Department of Geography and Resource Management
What I Have Learnt as a Surgeon
🗣Professor Jeremy Yuen Chun TEOH, Department of Surgery</t>
  </si>
  <si>
    <t>中大「博文在線」講座系列－金國慶教授 CUHK 'Class Acts' Online Talk Series - Prof. Irwin KING</t>
  </si>
  <si>
    <t>請瀏覽中大視野觀看更多精彩短片 
Please watch more videos from CUTV http://www.cpr.cuhk.edu.hk/cutv/index
疫情期間旅遊癮發作嗎？介紹你一個旅遊勝地，地名「三磅宇宙」。三磅？宇宙？說的是……大腦
一個大腦三磅重，神經元景點已有千億個，交通複雜，探索難度好比宇宙，跟着當地「資深導遊兼人工智能達人」金國慶教授，應該好好玩，可以治治旅遊癮。
中大計算機科學與工程學系金國慶教授，將會是第二場「博文在線」網上講座的主講嘉賓，他會做你的『「三磅宇宙」探索指南』，帶你遊歷大腦世界，並分享他研究人工智能的有趣歷程，歡迎所有人報名做團友👇
第二場「博文在線」網上講座
日期：3月25日（星期三）
時間：下午4時
講者：中大計算機科學與工程學系金國慶教授
講題：「三磅宇宙」探索指南
語言：英語
網上報名：https://againstcovid19.cuhk.edu.hk/class-acts-online-talk/
----------------------------
其餘七場「博文在線」網上講座題目
一「點」鍾情：在線約會的創新
市場學系范亭亭教授
重力波告訴我們什麼？
物理系湯兆昇博士
Chinese Shipwrecks and the Law of Treasure Hunting
法律學院Steven GALLAGHER教授
City Development and Urban History
歷史系Ian MORLEY教授
機械人：自閉症孩童的良師益友
教育心理學系蘇詠芝教授
採用移動感知精準量度個人環境的空氣污染物
地理與資源管理學系關美寶教授
外科醫生的親身體驗
外科學系張源津教授
Missing travel badly? Here is an attraction that you could visit now, called the '3-pound Universe'. Where is it? It is actually our brain.
Our brain weighs 3 pounds. Every one of its hundred billion neurons could be a 'scenic spot'. Traffic is super busy. Adventure there is as tough as in the Universe. Join the tour with senior tour guide and A.I. expert Professor Irwin KING and you could well satisfy your craving for travel.
Professor King will be our guest speaker to give the second online talk of the 'Class Acts' series. He will embark with participants on 'A Traveler's Guide to the 3-pound Universe', leading them in an adventurous trip through the universe of the brain. All are welcome to join.
Second of 'Class Acts' Online Talk Series
Date: 25 March (Wednesday)
Time: 4:00pm
Speaker: Professor Irwin KING, Department of Computer Science and Engineering
Topic: A Traveler’s Guide to the 3-pound Universe
Language: English
Online registration: https://againstcovid19.cuhk.edu.hk/class-acts-online-talk/
----------------------------
The remaining seven 'Class Acts' topics
Love at First Swipe: Innovations for Online Dating
Professor Tingting FAN, Department of Marketing
What Do Gravitational Waves Tell Us?
Dr. Shiu Sing TONG, Department of Physics
Chinese Shipwrecks and the Law of Treasure Hunting
Professor Steven GALLAGHER, Faculty of Law
City Development and Urban History
Professor Ian MORLEY, Department of History
Robots as Mentors for Children with Autism
Professor Catherine Wing Chee SO, Department of Educational Psychology
Using Mobile Sensing to Accurately Assess Individual Exposure to Air Pollution
Professor Mei Po KWAN, Department of Geography and Resource Management
What I Have Learnt as a Surgeon
Professor Jeremy Yuen Chun TEOH, Department of Surgery</t>
  </si>
  <si>
    <t>中大「博文在線」講座系列－陳金樑教授 CUHK 'Class Acts' Online Talk Series - Prof. Alan K.L. Chan</t>
  </si>
  <si>
    <t>請瀏覽中大視野觀看更多精彩短片 
Please watch more videos from CUTV http://www.cpr.cuhk.edu.hk/cutv/index
這是一個人人都在網上學習的時代。為了讓中大的知識財富推至所有人，中大最新推出的「博文在線」講座系列，邀請到來自各學院的9位傑出學者開講，人人都可以參加。
「博文在線」第一場將由中大常務副校長陳金樑教授主講，題目為「大學之道4.0」。對全球高等教育界有廣泛了解和經驗的陳教授開發的網上教學課程，在Coursera平台吸引近萬人修讀。想聽聽他的課堂？想知道甚麼是「大學之道4.0」？立即登記第一場「博文在線」講座吧！
第一場「博文在線」網上講座
日期：3月20日（星期五）
時間：下午4時
講者：中大常務副校長陳金樑教授
講題：大學之道4.0
語言：英文
網上報名：https://againstcovid19.cuhk.edu.hk/class-acts-online-talk/
另外，8位來自文學、工商管理、教育、工程、法律、醫學、理學、社會科學8個學院的傑出學者亦將就專長領域分享，主題涵蓋人工智能、重力波、機械人應用於特殊教育、水底尋寶相關法規等議題，詳情可參考以上連結。
It is an era of online learning. To let more people reach CUHK's treasure chest of knowledge, CUHK has launched a new online talk series 'Class Acts'. Nine distinguished scholars of different faculties will be our speakers. All are welcome.
The 'Class Acts' will commence with CUHK Provost Professor Chan Kam-leung, Alan speaking on the topic 'Higher Learning in the Era of Industry 4.0'. Having a broad understanding and experience of the higher education sector in a global context, Professor Chan's online course has drawn close to 10,000 learners on Coursera. If you want to join his class, or learn what higher learning in the era of industry 4.0 is like, register for the first 'Class Acts' online talk.
First of 'Class Acts' Online Talk Series
Date: 20 March (Friday)
Time: 4:00pm
Speaker: CUHK Provost Professor Chan Kam-leung, Alan
Topic: Higher Learning in the Era of Industry 4.0
Language: English
Online registration：https://againstcovid19.cuhk.edu.hk/class-acts-online-talk/
Eight other outstanding scholars from eight faculties, namely Arts, Business Administration, Education, Engineering, Law, Medicine, Science and Social Science, will also give their views on their respective areas of expertise. The topics cover artificial intelligence (AI), gravitational waves, the application of robots in education for Special Educational Needs students, and the law of treasure hunting, amongst others. Details could be found at the link above.</t>
  </si>
  <si>
    <t>中大搓手液 ‧ 一人一分力 Keeping It Clean CUHK Style!</t>
  </si>
  <si>
    <t>請瀏覽中大視野觀看更多精彩短片 
Please watch more videos from CUTV http://www.cpr.cuhk.edu.hk/cutv/index
中大搓手液，一共有多少人受惠？中大早於一月下旬開始製作三批酒精搓手液，共約1,900公升，分別派發予50個校內單位、宿舍及餐廳、夥拍36間社福機構，當中包括護老院、長者中心、特殊學校及兒童之家等，以及18間中學共同參與的外展計劃。中大學生、校友亦一同出力，協助分發至多個社區，贈予長者及弱勢社群，與香港人一起同心抗疫。由原料採購、製作，直至送到有需要人士手上，都可以見到中大師生校友的足跡，一人一分力。 
#中大人 #上下一心 #同心抗疫 #中大自家製 
How many people have benefited from the CUHK homemade alcohol based handrub? In late January, CUHK prepared to meet the challenge by producing 3 batches of alcohol based handrub to a total of almost 1,900 litres for distribution to 50 CUHK internal units, hostels and canteens. The University has collaborated in its distribution with 36 NGOs serving elderly homes, elderly centres, special schools and residential child care centres, as well as with 18 secondary schools for a school outreaching project. Some of handrub was distributed by our students and alumni directly to the elderly and the under-privileged in several communities. Many CUHK students, staff and alumni have participated in the purchase of raw materials and in making and distributing the alcohol based handrub to those in need, combating the disease together with all Hong Kongers. 
#CUHKers #WeUnite #combatthedisease #CUHKHomemade</t>
  </si>
  <si>
    <t>自製酒精搓手液‧配方 "Homemade" Alcohol-Based Handrub‧Formulation</t>
  </si>
  <si>
    <t>請瀏覽中大視野觀看更多精彩短片 
Please watch more videos from CUTV http://www.cpr.cuhk.edu.hk/cutv/index
自製酒精搓手液相當容易！只需依照以下簡單的步驟，在學校實驗室也可製作出合乎世衛標準的酒精搓手液。
#自製 #酒精搓手液 #通風環境下進行 #勤洗手 #搓手至少20秒 #直至乾透 
#不讓病菌散播
It’s easy to prepare an alcohol based handrub at school laboratories! Let’s follow the steps and prepare the handrub according to the WHO formula.
#Homemade #AlcoholBasedHandrub #PrepareInaVentilatedEnvironment
#RubForAtLeast20Seconds #UntilTheHandsAreDry #CombatingTheDisease</t>
  </si>
  <si>
    <t>鹽水電池自製漂白水 Making Bleach from Salt, Water and Batteries</t>
  </si>
  <si>
    <t>請瀏覽中大視野觀看更多精彩短片 
Please watch more videos from CUTV http://www.cpr.cuhk.edu.hk/cutv/index
鹽🧂、水🚰、碳電池🔋、電線⚡，有齊簡單材料，有安全的實驗室環境，有中大化學系楊英洋教授與吳振輝博士示範，自製漂白水實驗開始👨‍🔬👩‍🔬
安全注意：氯氣具腐蝕性，會損害人體，不宜家居自製
Salt, water, carbon batteries, wire... With these simple materials, Prof. YEUNG Ying Yeung and Dr. NG Chun Fai of CUHK Department of Chemistry have demonstrated to us how to make bleach under a safe laboratory environment. Let's get started with this experiment👩‍🔬👨‍🔬
Safety Note: Chlorine gas is corrosive and can harm human body. DIY at home is not recommended.</t>
  </si>
  <si>
    <t>中大人上線啦！</t>
  </si>
  <si>
    <t>請瀏覽中大視野觀看更多精彩短片 
Please watch more videos from CUTV http://www.cpr.cuhk.edu.hk/cutv/index
😈：「阿仔，咪再打機！出嚟食飯啦！」
😵：「我上緊堂啊......」
線上教學已經開始了個多星期，究竟在熒光幕與鏡頭前上課的感覺是怎樣？小編找來幾位中大老師及同學，一同聚首Zoom的會議室，細說自己在線教、學的經驗。
想必部分同學亦曾遇過片中提及的問題，✏️大學正收集各位師生對在線教學的意見，並會跟進相關事宜：bit.ly/32iDkB0
#中大人上線 #線上教學 #Zoom課堂 #意見收集 #學能提升研究中心
😈: "Stop playing video games! It's time to eat!"
😵: "No... I'm having a lesson now..."
Online teaching has been going for more than a week. How are these online classes running? We have invited teachers and students to meet via Zoom and talk about their teaching and learning experience.
Some of you may have also encountered the problems featured in the clip. ✏️The University is collecting feedback from teachers and students via an online survey and will follow up with assistance: bit.ly/32iDkB0
#CUHKersOnline #OnlineTeaching #ClassesViaZoom #FeedbackSurvey #CentreForLearningEnhancementAndResearch</t>
  </si>
  <si>
    <t>【中大・永不停步】【CUHK in Action】</t>
  </si>
  <si>
    <t>請瀏覽中大視野觀看更多精彩短片 
Please watch more videos from CUTV http://www.cpr.cuhk.edu.hk/cutv/index
新型冠狀病毒陰霾下，中大各部門上下一心，不分晝夜，齊心協力維持大學運作，推行在線教學，讓疫潮中的教育不止息、學習不受阻。我們，永不停步。
【CUHK in Action】
In the haze of the novel coronavirus, all departments and units of CUHK are united together to work around the clock to maintain the operation of the University, and launch online teaching. The epidemic cannot deter our teaching nor detain our learning.</t>
  </si>
  <si>
    <t>第八十七屆大會校長致辭 Speech of the Vice-Chancellor in 87th Congregation</t>
  </si>
  <si>
    <t>請瀏覽中大視野觀看更多精彩短片 
Please watch more videos from CUTV http://www.cpr.cuhk.edu.hk/cutv/index
中大舉行第八十七屆大會（頒授學士及碩士學位典禮），校長段崇智教授在典禮上向畢業生致辭。
CUHK held its 87th Congregation (Conferment of Bachelor’s and Master’s Degrees) on 7 November 2019. Prof. Rocky Tuan, CUHK Vice-Chancellor and President gave a speech to the graduates.</t>
  </si>
  <si>
    <t>準備・在線 CUHK Online!</t>
  </si>
  <si>
    <t>請瀏覽中大視野觀看更多精彩短片 
Please watch more videos from CUTV http://www.cpr.cuhk.edu.hk/cutv/index 
2月17日（星期一）就是網上教學的第一天。課要怎麼上？怎樣跟學生互動？實驗怎麼學？怎樣維持有效學習？對很多老師、同學都是新挑戰。
在有限時間及資源下，要適應這麼大的轉變，亦要保持教學質素，教職員與同學都很努力地作準備。1月30日至2月14日期間，資訊科技服務處（ITSC）一共舉行了22場網上工作坊，讓各學院的老師與學生率先試用，不停培訓，同時提升網絡、增加器材等。另一邊廂，老師們則要適應新教學方式、重新設計課堂、準備教材等。
面對全新的教學模式，希望中大人一起逐一解決未知的難題，學有所得。加油！
17 February (Monday) will be the first day of online teaching. How will the lectures be conducted? How will interaction with the students be achieved? How can lab classes be made to work? How can learning be kept effective? It is a new challenge to many teachers and students.
To ensure quality teaching and learning under the huge change and with limited time and resources, staff and students have put much effort into getting prepared. Our Information Technology Services Centre (ITSC) has organised 22 online workshops from 30 January to 14 February to train the teachers and students, so that they can explore e-learning beforehand. At the same time, ITSC have been busy improving the network, acquiring necessary equipment and more, and teachers have had to adapt to the new teaching mode, redesign the classes, and prepare teaching materials.
In facing the unknown challenges that will arise from this new form of teaching, we hope that CUHKers will solve them one by one, together. Wish you all a good harvest from the e-learning experience. Add oil!</t>
  </si>
  <si>
    <t>['CUHK', '中大', 'video', 'elearning', 'onlineteaching', 'zoom', '網上教學']</t>
  </si>
  <si>
    <t>許教授提提你—新春防疫篇</t>
  </si>
  <si>
    <t>請瀏覽中大視野觀看更多精彩短片Please watch more videos from CUTV http://www.cpr.cuhk.edu.hk/cutv/index
【許教授提提你—新春防疫篇】
農曆新年臨近，香港也出現武漢新型冠狀病毒確診個案，逛人多擠迫的花市時，有什麼要留意呢？新春期間與親友拜年有何注意事項？進食賀年糕點、油炸食物過後，我們該怎樣加強身體健康？中大醫學院內科及藥物治療學系系主任許樹昌教授為大家提供貼士。
#武漢肺炎 #新型冠狀病毒 #中大許樹昌教授 #農曆新年 #拜年 #日日運動身體好 #許教授提提你 #戴口罩 #勤洗手</t>
  </si>
  <si>
    <t>中大「自家製」酒精搓手液 CUHK "Homemade" Alcohol-Based Handrub</t>
  </si>
  <si>
    <t>請瀏覽中大視野觀看更多精彩短片 
Please watch more videos from CUTV http://www.cpr.cuhk.edu.hk/cutv/index
面對突如其來的疫情，中大上下皆嚴陣以待。為此，本身為化學系教授的中大副校長吳基培教授，率領化學系及大學安全事務處同事，特別製作逾200公升酒精搓手液。已製作完成的75%酒精搓手液，主要將會分發予需要留在學校的宿生，以及在此期間於校園執行必要服務的前線同事，共同抗疫。大學亦已聯絡與中大合作的慈善機構，贈送部分給相關的長者中心及院舍，為弱勢社群略盡綿力。校方更將會運用現有物資，盡量繼續製作酒精搓手液。
不妨細看副校長吳基培教授，以及大學安全事務處處長李繼業先生的講解，一睹這些酒精搓手液的生產過程！
#中大自家製 #酒精搓手液 #共同抗疫 #自家限量製作
#請注意 #酒精成分或致皮膚敏感 #未必適合所有人士使用
Faced with great concern over the disease outbreak, CUHK is prepared to meet the challenge. Prof. Dennis Ng, CUHK Pro-Vice-Chancellor and Professor of the Department of Chemistry, has led colleagues including the Department of Chemistry and the University Safety Office, to prepare over 200 litres of 75% alcohol-based handrub, which will be distributed to students staying in hostels and to frontline staff providing essential services. The alcohol-based handrub will also be distributed, for free, to the charities that have partnered with CUHK. By giving to elderly centres and homes, we will do our best to help the under-privileged in a bid to combat the disease together. CUHK will continue to use existing resources to prepare more alcohol-based handrub.
Let's watch the interview with Prof. Dennis Ng and Mr. Ralph Lee, Director of University Safety about the production of the alcohol-based handrub!
#CUHKHomemade #AlcoholBasedHandrub #CombatingTheDisease #LimitedStock
#AlcoholAllergyDisclaimer #AlcoholMayCauseAllergy #MayNotSuitEveryone</t>
  </si>
  <si>
    <t>【許教授提提你—武漢肺炎篇】</t>
  </si>
  <si>
    <t>請瀏覽中大視野觀看更多精彩短片 
Please watch more videos from CUTV http://www.cpr.cuhk.edu.hk/cutv/index
【許教授提提你—武漢肺炎篇】
武漢新型冠狀病毒疫情不斷擴散蔓延，校園師生應如何預防呢？農曆新年臨近，回內地探親或旅行應採取哪些防疫措施？回港後若出現發燒或呼吸道徵狀如何處理？一旦確診，又有什麼藥物治療呢？中大醫學院內科及藥物治療學系系主任許樹昌教授有以下建議提提大家。</t>
  </si>
  <si>
    <t>冠軍機械人實驗室 CUHK Robocon Lab Tour</t>
  </si>
  <si>
    <t>請瀏覽中大視野觀看更多精彩短片 
Please watch more videos from CUTV http://www.cpr.cuhk.edu.hk/cutv/index 
【冠軍機械人實驗室】
差不多每日每夜都在實驗室裏埋首的中大Robocon隊，這裏算是他們的「第二個家」了。
2019年8月贏得亞太冠軍的中大Robocon隊，現在已正默默為來年大賽作準備了。這時，隊長張錚傑想帶大家走進他們的「第二個家」，了解冠軍機械人是如何誕生，開開眼界。
【Winning Robot Lab】
The lab that the CUHK Robocon team has spent almost every day and night in is their ‘second home’.
The team, which has won the Asia-Pacific Robot Contest 2019, is working on the robot for the coming year. This time in the video, the student team leader Cheung Tsang Kit hosts a lab tour and guides us to learn how the winning robot was born.</t>
  </si>
  <si>
    <t>中大新一天 New Beginning At CUHK</t>
  </si>
  <si>
    <t>請瀏覽中大視野觀看更多精彩短片 
Please watch more videos from CUTV http://www.cpr.cuhk.edu.hk/cutv/index 
【中大家書】 
各位同學、同事及校友，中大的2019-2020年度第二學期已在本周開始了！校長段崇智敎授亦發出了一封公開信，歡迎各位莘莘學子回校，繼續學業和對真知的探求之旅。校長更表示，他會親自領導多項工作，以重建大學成員、夥伴及不同持份者之間的信任，向世界展示中大的傳統及精神。讓我們一起「細閱」這封「中大家書」吧。詳情：bit.ly/308cdr1 
#中大家書 #校長段崇智教授 #中大新一天 
【Letter to CUHK】 
Dear Students, Colleagues and Alumni, the second term of the 2019-2020 academic year has started this week. Professor Rocky Tuan, our Vice-Chancellor and President, issued an open letter to welcome all students back to the campus to continue their academic and intellectual pursuits. In his letter, Professor Tuan said he would personally spearhead many initiatives to rebuild confidence among our members, partners, and different stakeholders and to tell the world what CUHK stands for. Let us “peruse” this “Letter to CUHK”. Details: bit.ly/37Mn5xt 
#LettertoCUHK #ProfessorRockyTuan #NewBeginningAtCUHK</t>
  </si>
  <si>
    <t>校園安全 Campus Safety</t>
  </si>
  <si>
    <t>請瀏覽中大視野觀看更多精彩短片
Please watch more videos from CUTV
http://www.cpr.cuhk.edu.hk/cutv/index
衝突事件後，為了讓師生安全又安心，大學迅速委託了獨立認可的化驗所，檢測二號橋附近以至遠離衝突範圍的泥土、空氣和食水樣本。
結果發現受關注的化學物質水平對人體健康無顯著影響，校方隨即展開二號橋附近的修復及清潔工作，大學保健處亦密切跟進大學成員健康，為第二學期開學作好準備。檢測結果請瀏覽 bit.ly/38YQLZG
#辛苦各位中大同事 #願員生安心
After the confrontation, the University promptly appointed an independent accredited laboratory to test soil, air and water samples from the areas surrounding No. 2 Bridge and areas even further away from the spot.
Soon after receiving the test results and knowing that health hazards of the contaminants from samples are negligible, our colleagues started repair of roads and cleaning work near No. 2 Bridge. At the same time, the University Health Service is keeping an eye on health of the university members. The University is getting ready for the commencement of the Second Term. Details of test results: bit.ly/2Mfjujk
#ThankYouColleagues #TryOurBestToHeal</t>
  </si>
  <si>
    <t>Meet the CUHK Freshmen 2019 中大新生2019</t>
  </si>
  <si>
    <t>請瀏覽中大視野觀看更多精彩短片_x000D_
Please watch more videos from CUTV
http://www.cpr.cuhk.edu.hk/cutv/index
Do you know that more than 50 nationalities study at The Chinese University of Hong Kong? On our campus, you can see faces from different corners of the world anytime - just like Aditya, Adrian, Angelica, Aru, Marta and Timo - Click to meet our freshmen now!👋_x000D_
More information about CUHK International Admissions, please visit http://admission.cuhk.edu.hk/international_x000D_
你知道嗎？中大校內有來自50個不同國籍的學生，Aditya、Adrian、Angelica、Aru、Marta和Timo就是其中幾位2019年入學的新生，他們在片中用自己母語跟大家打招呼啊👋你哋好！_x000D_
國際生入學資訊👉http://admission.cuhk.edu.hk/international</t>
  </si>
  <si>
    <t>中大9位教授獲選「2019年全球最廣獲徵引研究人員」| Nine CUHK Professors Named “Highly Cited Researchers 2019”</t>
  </si>
  <si>
    <t>請瀏覽中大視野觀看更多精彩短片
Please watch more videos from CUTV
http://www.cpr.cuhk.edu.hk/cutv/index
🔎📚 有沒有想過學者們平日寫論文時，會在哪裏查找資料？
最近9位中大教授便獲科睿唯安（Clarivate Analytics）選為「2019年最廣獲徵引研究人員」（Highly Cited Researchers 2019），表彰他們的學術著作獲國際其他學者廣泛引用。本年僅得6,217名來自60個國家或地區的研究人員入選名單，約佔全球學者總數的0.1%，足證他們於學術界及其研究範疇的影響力舉足輕重。
9位中大教授分別為於「臨床醫學」類別獲譽的莫樹錦教授；「跨領域」類別的陳力元教授、沈祖堯教授、黃煒燊教授、關美寶教授、余濟美教授及汪正平教授；「經濟及商業」類別的區大衛教授；以及「精神科/心理學」類別的李誠教授。詳情：bit.ly/383n9tx
--------------------------------------
🔎📚 Have you ever wondered how academics cite references in their papers?
Nine CUHK professors have earned the honour of being included by Clarivate Analytics in the list of “Highly Cited Researchers 2019” for being among the world’s top researchers whose work has been highly cited by fellow academics, thereby making a significant impact in ongoing research in their respective fields of study. The 2019 list includes 6,217 highly cited researchers in various fields from nearly 60 countries and regions, representing 0.1% of all professors and researchers worldwide.
They are Prof. Tony MOK (Clinical Medicine); Prof. Henry CHAN Lik Yuen, Prof. Joseph SUNG, Prof. Vincent WONG Wai-Sun, Prof. KWAN Mei-Po, Prof. Jimmy YU and Prof. WONG Ching Ping (Cross-Field); Prof. David AHLSTROM (Economic &amp; Business); Prof. LEE Sing (Psychiatry/Psychology). Details: bit.ly/33MExiN</t>
  </si>
  <si>
    <t>「智慧的探索」公開講座 |  莫樹錦教授主講 | 抗癌漫長路</t>
  </si>
  <si>
    <t>請瀏覽中大視野觀看更多精彩短片
Please watch more videos from CUTV
http://www.cpr.cuhk.edu.hk/cutv/index
國際肺癌權威、中大醫學院腫瘤學系系主任莫樹錦教授多年來致力研究肺癌治療，率領全球將晚期肺癌治療個人化，開創標靶治療，研究免疫療法，與病人共同作戰。莫教授於公開講座上，分享他在癌症研究的漫漫長征，為病人創造希望的經歷。 
Considered “a legend in medical oncology”, Professor MOK has been standing by patients and researching lung cancer treatments for years and he is the first one to really put into practice personalised medicine in advanced lung cancer. He founded targeted therapy and studies on the application of immunotherapy. He told the audience in the lecture of his experience on the long and winding road to conquer cancer and about creating hope for patients.</t>
  </si>
  <si>
    <t>「大通」同學仔 圍埋傾吓偈 🤷♀️💭🙋♂️  Chit-Chat Among UGE Students</t>
  </si>
  <si>
    <t>請瀏覽中大視野觀看更多精彩短片
Please watch more videos from CUTV
http://www.cpr.cuhk.edu.hk/cutv/index
📣 想喺下學期報讀UGEC大學通識課程的同學，請留意！
大學將於下學期開設「21世紀全球公民的重大挑戰」通識課程，同一個課程內齊集不同學系的教授，與同學探討各個全球議題。想知道課程究竟是讀些甚麼？讀完又有甚麼得着？小編找來幾位上年修畢課程的師兄、師姐，交畀他們現身說法！
UGEC 2819：21世紀全球公民的重大挑戰
⏰ 時間：逢星期三下午4時半至6時15分
🏢 地點：利黃瑤璧樓（ELB）202室
#大學通識課程 #21世紀全球公民的重大挑戰 #全球議題
--------------------------------------
📣 Call for students who want to study Area C programme of University General Education course in next semester!
The University will launch the General Education course ‘Grand Challenges for Global Citizens in the 21st Century’. It is a precious chance to have professors from different departments talking about numerous key global issues in one particular course. Check out the video to learn about what senior fellow students think about this course.
UGEC 2819: Grand Challenges for Global Citizens in the 21st Century
⏰ Time: 4:30 p.m. -6:15 p.m., every Wednesday
🏢 Venue: Room 202, Esther Lee Building (ELB)
#UniversityGeneralEducationCourse #GrandChallengesForGlobalCitizensInThe21stCentury</t>
  </si>
  <si>
    <t>中大月曆 2020 CUHK 2020 Calendar</t>
  </si>
  <si>
    <t>請登陸中大視野觀看更多精彩短片
Please watch more videos from CUTV
http://www.cpr.cuhk.edu.hk/cutv/index
迎接新一年，中大以「 CUHK Innovations」 為主題製作2020月曆，展現大學開展的四大策略性研究領域及卓越學科領域。研究發揮深遠影響，造福社會。觀看短片，了解多些 CUHK Innovations！
中大2020月曆即日起於中大紀念品銷售處有售，定價港幣40元正，所有收益將撥捐中大I‧CARE博群計劃。
CUHK would like to present to you the 2020 Calendar of the University featuring “CUHK Innovations”. We are demonstrating the University’s four strategic areas of research and the areas of excellence. Our research will benefit humanity by addressing some of the most pressing global challenges. Check out the video to understand more about CUHK Innovations!
The desktop calendar is offered at HK$40 at the CUHK Souvenir Counter. Proceeds from the calendar sales will be donated to support CUHK I‧CARE Programme.</t>
  </si>
  <si>
    <t>University Education Award 2019 二零一九年博文教學獎</t>
  </si>
  <si>
    <t>請登陸中大視野觀看更多精彩短片
Please watch more videos from CUTV
http://www.cpr.cuhk.edu.hk/cutv/index
恭喜教育學院梁鳳蓮博士及其團隊、工程學院施義德教授和劉達銘教授，獲頒二零一九年博文教學獎，以表揚他們豐富學生學習體驗的貢獻及成就。請觀看短片，了解更多他們的教學心得。
Congratulations to Dr. Elean Leung and her team of the Faculty of Education, and Professor Sidharth Jaggi and Professor Darwin Lau of the Faculty of Engineering on being awarded the University Education Award 2019, in recognition of their dedication and achievements in enriching students’ learning experience. Check out the video to learn more about their teaching.</t>
  </si>
  <si>
    <t>一磚一瓦 重新出發 Restore and Restart</t>
  </si>
  <si>
    <t>請登陸中大視野觀看更多精彩短片
Please watch more videos from CUTV
http://www.cpr.cuhk.edu.hk/cutv/index
全賴一班前線同事群策群力的連番修復清理，中大校園經已大致恢復平靜。儘管如此，校方仍會進一步檢測並化驗校園環境，確保為同學及教職員們提供一個安全的學習及工作環境。
修復工作艱巨需時，同事們將繼續不懈投入善後工作。校方由衷感謝各中大成員不忘堅守崗位，一同跨過困難時刻。
Thanks to the concerted efforts of our dedicated front line colleagues in the campus restoration and cleanup, the CUHK campus is now generally safe and in order. The University has entrusted a laboratory to take samplings and conduct a chemical examination of the campus environment in a bid to provide a safe learning and working environment for our students and staff.
Our colleagues will continue to work tirelessly in the time it takes to complete restoration works. The University would like to extend gratitude to each of the CUHK members who have served the University with dedication and professionalism and overcome this challenging time together.</t>
  </si>
  <si>
    <t>二零一九年中大畢業生感言 Sharing by CUHK Graduates of 2019</t>
  </si>
  <si>
    <t>請登陸中大視野觀看更多精彩短片
Please watch more videos from CUTV
http://www.cpr.cuhk.edu.hk/cutv/index
畢業了，回憶在中大的日子，每位畢業生心中都有最想多謝的人。你們最想多謝的是誰呢？
他們有來見證這個屬於你的畢業典禮嗎？
#2019畢業生 #恭喜畢業了 #中大畢業禮2019
It's graduation day. Flashing back to their time at CUHK, every graduate has a special person to thank. For you, who is it?
Did they come to witness your graduation today?
#ClassOf2019 #CongratulationsOnYourGraduation #CUHKCongretaion2019</t>
  </si>
  <si>
    <t>高錕教授榮獲諾貝爾獎10周年 The 10th Anniversary of Professor Sir Charles Kao being awarded the Nobel Prize</t>
  </si>
  <si>
    <t>請瀏覽中大視野觀看更多精彩短片
Please watch more videos from CUTV
http://www.cpr.cuhk.edu.hk/cutv/index
🔗🌐🎖️ 高錕教授於2009年憑藉他在光纖通訊應用的貢獻，獲頒諾貝爾物理學獎。
今年正值高教授奪獎10周年，大學特意回顧這位「光纖之父」的非凡貢獻；更找來幾位歷屆「高錕獎學基金」得獎者，細味他們如何延續高教授的學術研究精神，在不同領域貢獻世界。
#高錕教授 #榮獲諾貝爾獎10周年 #光纖之父 #高錕獎學基金
--------------------------------------
🔗🌐🎖️ In 2009, Professor Sir Charles Kao was awarded the Nobel Prize in Physics for his accomplishment in the development of fibre optic technologies.
To celebrate the 10th anniversary of Professor Kao's award, the University is paying tribute to the remarkable achievements of this 'Father of Fibre Optics'. Three 'Charles K. Kao Scholarship Endowment Fund' awardees will give accounts of their studies and research and how they are passing on his spirit as eminent researchers to contribute to the world in different ways.
#ProfessorSirCharlesKao #FatherOfFibreOptics #CharlesKKaoScholarshipEndowmentFund</t>
  </si>
  <si>
    <t>兩代「工程女」Battle 💥 Battle of ‘Engineering Girls’ from Two Generations</t>
  </si>
  <si>
    <t>請瀏覽中大視野觀看更多精彩短片
Please watch more videos from CUTV
http://www.cpr.cuhk.edu.hk/cutv/index
「聽講 engine 嘅男女比例好誇張，一直好多謠言🚹🚹🚹🚹🚹🚺……」
究竟工程學是否傳聞中的「全男班」？小編找來中大系統工程與工程管理學系的首位女教授、系主任蒙美玲教授以及兩位女同學 fact check 一番。想知道幾位「工程女」為何鍾情工程學？工程學又是否男生專利？不妨細聽她們的聲音！
#工程學女將 #男女比例 #工程學院
--------------------------------------
“There were many rumnours that the ratio of male to female students of Engineering was exaggerated 🚹🚹🚹🚹🚹🚺…”
Wondering if the rumour is true? We have invited Professor Helen Meng, who is the first female professor and Chairman of CUHK Department of Systems Engineering and Engineering Management, and two female students to find out. Want to know why these girls are passionate about engineering and what their edge is in terms of gender? Let's watch the video clip.
#GirlsFromEngineering #GenderRatio #FacultyOfEngineering</t>
  </si>
  <si>
    <t>「智慧的探索」公開講座 | 趙志裕教授主講 | 心想事成：美滿人生心理學</t>
  </si>
  <si>
    <t>請瀏覽中大視野觀看更多精彩短片
Please watch more videos from CUTV
http://www.cpr.cuhk.edu.hk/cutv/index
緣份天注定？還是關係靠經營？❤️
「成長型心態」的人相信世上沒有一拍即合的關係，努力可使大家合拍；「固定型心態」的人相信若真有緣就一拍即合，要努力耕耘就是不合拍。
研究顯示，「成長型心態」的情侶關係會較為穩定長久。其實，心態不止影響愛情，還影響學業、事業、創意及世界觀。今天（9月23日），在第7場 #55周年校慶「智慧的探索」講座中，中大社會科學院院長、卓敏心理學講座教授趙志裕教授以研究結果說明，若我們相信凡事都可以通過努力而達成，即擁有「成長型心態」，在各方面表現都會較成功的💪💪💪詳情：bit.ly/2l0fnwZ
When it comes to love, do you believe in fate or do you think your efforts count in building a relationship?❤️
Those with a growth mindset believe a relationship needs to be built through the efforts of both. Those with a fixed mindset believe a bad relationship is destined to fail.
Studies show that a relationship stays stronger and lasts longer for couple with a growth mindset. Your mindset doesn't only affect your love, but also your academic performance, career, creativity and world vision. Today (23 September), Prof. Chiu Chi-yue, CUHK Dean of Social Science and Choh-Ming Li Professor of Psychology spoke in the 7th lecture in the CUHK 55th Anniversary 'The Pursuit of Wisdom’ Public Lecture Series. He illustrated with scientific evidence that a growth mindset, in which we believe our talents can be developed with effort, learning and dedication, brings us closer to success. 💪💪💪Details: bit.ly/2m74WI7</t>
  </si>
  <si>
    <t>第一次踏足中大 First Encounter with CUHK</t>
  </si>
  <si>
    <t>請登陸中大視野觀看更多精彩短片
Please watch more videos from CUTV
http://www.cpr.cuhk.edu.hk/cutv/index</t>
  </si>
  <si>
    <t>陳德霖校友山城之旅 Alumnus Norman Chan Visited CUHK</t>
  </si>
  <si>
    <t>請瀏覽中大視野觀看更多精彩短片
Please watch more videos from CUTV
http://www.cpr.cuhk.edu.hk/cutv/index
剛卸任香港金融管理局總裁的陳德霖校友日前重返母校，與一眾師弟妹及「中大人」碰面交流。
想知道陳校友重返宿舍主持夜話🗣🌙、於Fintech大師班及商業管理講座分享行業睿智💵📈、師生校友籃球友誼賽🏀⛹️‍♂️親身上陣的風采，馬上去片！
#傑出校友訪問計劃2019 #陳德霖校友
--------------------------------------
Alumnus Norman T.L. Chan, who has just retired from the position of Chief Executive of the Hong Kong Monetary Authority, returned to his alma mater for a series of activities to interact with students, staff and alumni of the University recently.
Want to know how he hosted the ‘night talk’ at the university hostel 🗣🌙 , what he said at FinTech Master Class and Business Lecture 💵📈, and how he performed in the basketball friendly match🏀⛹️♂️ with staff, students and alumni? Let’s watch the clip now!
#DistinguishedAlumniInResidenceProgramme2019
#AlumnusNormanChan</t>
  </si>
  <si>
    <t>「智慧的探索」公開講座 | 科大衛教授主講 | 孝道與產業：為甚麼「孝」有助商業發展？</t>
  </si>
  <si>
    <t>請瀏覽中大視野觀看更多精彩短片
Please watch more videos from CUTV
http://www.cpr.cuhk.edu.hk/cutv/index
若問一位商科教授如何做生意，他的答案很可能是洞悉市場；但歷史教授眼中的營商之道，卻變成一個「孝」字？
中大偉倫歷史學研究教授及中國研究中心主任科大衛教授（Prof. David Faure）於9月9日主講第6場55周年校慶「智慧的探索」公開講座系列，便與各位一同翻族譜、訪祠堂，細說明、清時代的華南宗族如何巧妙落實「法人」地位，讓他們在沒有公司法的背景下，仍得以有效管理財產。
--------------------------------------
中大55周年校慶「智慧的探索」公開講座系列講座報名：bit.ly/2QDoxsR
If you asked a business professor for tips on doing business, his answer would probably be demand and supply analysis. But why would the answer from a history professor be ‘filial piety’?
In the sixth lecture of the CUHK 55th Anniversary ‘The Pursuit of Wisdom’ Public Lecture Series on 9 Sept, Prof. David Faure, CUHK Wei Lun Research Professor of History and the Director of Centre for China Studies, talked about the relationship between filial piety and business through genealogies and ancestral halls. Prof. Faure also revealed that, remarkably, our ancestors in Southern China recognised the private ownership of capital through the traditional virtue of filial piety when China had no company law during the Ming and Qing dynasties.
--------------------------------------
Register for other CUHK 55th anniversary “The Pursuit of Wisdom” Public Lectures: bit.ly/2Rjxqx8</t>
  </si>
  <si>
    <t>與「崇基師兄」陳德霖的約會 Meeting with Chung Chi College Alumnus Norman Chan</t>
  </si>
  <si>
    <t>請登陸中大視野觀看更多精彩短片
Please watch more videos from CUTV
http://www.cpr.cuhk.edu.hk/cutv/index
不說不知，原來金管局總裁陳德霖在中大唸書時，凡是圓的東西都感興趣，為了它更不惜每朝早6點半起牀出門…… 馬上去片，看看這位「崇基師兄」究竟為甚麼如此着迷！
陳德霖校友將會參與「傑出校友訪問計劃2019」，於10月3至5日回校，與一眾「中大人」交流。歡迎同學、教職員及校友網上報名：bit.ly/2ll0chw
開幕典禮暨專題演講「人生交叉點」（語言：廣東話）
⏰ 10月3日（四）下午5時至6時30分
大師班「FinTech對金融產業的革新和挑戰」（語言：英語）
⏰ 10月4日（五）上午10時30分至11時30分
師生校友籃球友誼賽（語言：廣東話）
⏰ 10月4日（五）下午3時至4時
商業管理講座系列：“It Works for Me: Life Lessons from Norman Chan”（語言：英語）
⏰ 10月4日（五）下午6時30分至8時
專題演講「香港的國際金融中心角色和前瞻」暨閉幕禮（語言：廣東話）
⏰ 10月5日（六）上午11時至中午12時30分
#傑出校友訪問計劃 #陳德霖校友 #10月3至5日 #人生交叉點 #FinTech大師班 #師生校友籃球友誼賽 #商業管理講座系列 #香港的國際金融中心角色和前瞻
When our distinguished alumnus Norman T.L. Chan, the Chief Executive of the Hong Kong Monetary Authority (HKMA) was at the University, he was interested in everything that is round, an enthusiasm which even got him up at 6.30 a.m. every morning. Let’s watch his interview and find out what he was obsessed with.
Our alumnus Norman Chan will visit his alma mater from 3 to 5 October under the Distinguished Alumni-in-Residence Programme 2019 and interact with students and members of the CUHK family. Welcome all students, staff and alumni to register online: bit.ly/2ll0chw
Opening Ceremony cum Keynote Speech —“Crossroads in Life” (Language: Cantonese)
⏰ 3 Oct (Thu) 5:00pm－6:30pm
Master Class: "FinTech — the Innovation and Challenges on the Financial Sector" (Language: English)
⏰ 4 Oct (Fri) 10:30am－11:30am
Basketball Friendly Match with Staff, Students and Alumni (Language: Cantonese)
⏰ 4 Oct (Fri) 3:00pm－4:00pm
Business Lecture Series: “It Works for Me: Life Lessons from Norman Chan” (Language: English)
⏰ 4 Oct (Fri) 6:30pm－8:00pm
Keynote Speech —“Hong Kong: International Financial Centre and Future Prospects” cum Closing Ceremony (Language: Cantonese)
⏰ 5 Oct (Sat) 11:00am－12:30pm
#DARP #NormanChan #3to5October #CrossroadsInLife #FinTechMasterClass #BasketballFriendlyMatch #LifeLessonsFromNormanChan
#BusinessLectureSeries #HongKongInternationalFinancialCentreAndFutureProspects</t>
  </si>
  <si>
    <t>第五屆大中華區法律史研討會系列2019-20 5th Year Greater China Legal History Seminar Series 2019-20</t>
  </si>
  <si>
    <t>請登陸中大視野觀看更多精彩短片
Please watch more videos from CUTV
http://www.cpr.cuhk.edu.hk/cutv/index
研討會旨在提供平台討論大中華地區各種法律議題的歷史發展，並由來自各個領域的專家主講，歡迎有興趣的人士參加。
詳情及登記，請瀏覽：http://www.law.cuhk.edu.hk/en/events/greater-china-1920/
In 2019-20, CUHK Law continues to organise the 5th year Greater China Legal History Seminar Series which commences in September 2019.
For further details, please visit: 
http://www.law.cuhk.edu.hk/en/events/greater-china-1920/</t>
  </si>
  <si>
    <t>做一件好事💗能感染世界</t>
  </si>
  <si>
    <t>請登陸中大視野觀看更多精彩短片
Please watch more videos from CUTV
http://www.cpr.cuhk.edu.hk/cutv/index
「做一件好事💗能感染世界」絕對是有科學根據的說法🌎🔍
我們早前邀請中大同學Jackie與Winson做一些令人窩心的好事，希望接收好意的人會把善意擴散開去。研究指出，做好事會令你和對方體內荷爾蒙變化，大家心情轉好，對方會因此而延續善意，對更多人好。
隨機做好事（Random Act of Kindness）是中大通識課程「豐盛人生：正向心理學的理論與實踐」其中一課。課程推出至今，反應熱烈，由去年收生80人增加一倍至今個學期160人。（課程編號：UGED 1553）
#豐盛人生 #正向心理學 #日行一善 #感染世界</t>
  </si>
  <si>
    <t>['CUHK', '中大', 'video', '#正向心理學']</t>
  </si>
  <si>
    <t>Experiencing life at the United Nations: a student interpreter's perspective 學生譯員：在聯合國工作是一種怎樣的體驗</t>
  </si>
  <si>
    <t>請登陸中大視野觀看更多精彩短片
Please watch more videos from CUTV
http://www.cpr.cuhk.edu.hk/cutv/index
Want to know how UN interpreters work? Our MA students of the Department of Translation have experienced it firsthand on their recent study trip to the United Nations Office in Vienna. They are sharing their typical day with you in this short film!
想知道聯合國譯員們是如何工作的嗎？今年5月，應聯合國維也納辦事處邀請，5名翻譯系研究生親身體驗了聯合國的日常工作與生活，並將通過下面的短片與你分享此次修學之旅。</t>
  </si>
  <si>
    <t>分享．愛</t>
  </si>
  <si>
    <t>請登陸中大視野觀看更多精彩短片
Please watch more videos from CUTV
http://www.cpr.cuhk.edu.hk/cutv/index
中大愛心月餅正式接受預訂！每售出一盒，「中大．關懷」服務團便會與你攜手，送上一個「中大月餅」予沙田及大埔的獨居長者。趁著中秋佳節為家人朋友、獨居長者送一祝福，分享便是快樂。
訂購詳情：www.cpr.cuhk.edu.hk/mooncake
"CUHK Mooncake" is now available for charity sale! For each box sold, the CUHK．Care Service Team will deliver a free mooncake to the elderly living alone in Shatin or Tai Po. Join us to share your love to those in need at this festive season.
Purchase Details: www.cpr.cuhk.edu.hk/mooncake</t>
  </si>
  <si>
    <t>We are CUHK ROBOCON TEAM 全港大專生機械人大賽2019 - 中大隊</t>
  </si>
  <si>
    <t>請登陸中大視野觀看更多精彩短片
Please watch more videos from CUTV
http://www.cpr.cuhk.edu.hk/cutv/index
沒有生命的機械人，承載着一群中大人的熱血。
在「全港大專生Robocon機械人大賽」現場觀賽，感覺像看世界盃、或者NBA總決賽，熱血沸騰。「開心」這個詞並不足以形容中大Robocon隊贏出比賽的心情，他們絕對是「激動」，因為他們花的是很多個凌晨，經歷的是無數次失敗，才成就今天的冠軍。
今年，是中大計算機科學三年級生、Robocon隊員張錚傑參加比賽的第三年，聽他分享他與隊員背後的奮鬥，沾一下他們的熱血。
A robot with no heartbeat carries the passion of a group of CUHKers.
Watching the Robocon Hong Kong Competition was as exciting as watching the World Cup, or an NBA final. CUHK Robocon was pumped to win because they had worked through so many nights and so many failiures for it.
This is the third year Cheung Tsang Kit, a CUHK Computer Science Year 3 student, has taken part in the competition. Listen to him telling of the hard work of the team and you will be inspired.</t>
  </si>
  <si>
    <t>['CUHK', '中大', 'video', 'Robocon']</t>
  </si>
  <si>
    <t>環球義工之旅  Volunteer Services Journey Around the World</t>
  </si>
  <si>
    <t>請登陸中大視野觀看更多精彩短片
Please watch more videos from CUTV
http://www.cpr.cuhk.edu.hk/cutv/index
「我希望人生不單是為自己而活，更要為身邊人帶來影響。」
來自新聞與傳播學院的李天心同學，去年隻身一人環遊12個國家，參加世界各地的義工活動，探訪雲南偏遠村落的山區兒童、去丹麥大型草地音樂節執垃圾、在匈牙利的環保活動搬運木頭等等，短短4個半月完成這趟環球義工之旅。李同學更憑藉其關懷世界的心志，奪得「2018傑出學生獎 — 社會服務（社區）」獎項。
新一屆「傑出學生獎」現正接受同學自薦報名，歡迎各位在創意與發明、體育、藝術、社會服務或其他範疇有特別表現的同學於網上報名。自薦報名期將於7月15日截止，立即行動：bit.ly/2S8F5eK
"I hope my life will not only be for my own good but also to have an impact on people surrounding me."
Our student Lee Tin Sum from the School of Journalism and Communication travelled to 12 countries alone last summer and participated in different volunteer services. She joined a charity visit to children in rural areas of Yunnan, China, helped to be a voluntary scavenger at a music festival in Denmark, moved wood in an environmental protection campaign in Hungary and took part in other volunteer services in four and a half months. She received the ‘2018 Outstanding Students Awards – Social Service (for the Community)’ for her commitment to the world.
You are cordially invited to apply for the 2019 Outstanding Students Awards through self-nomination. The deadline of self-nomination will be 15 July. Please apply online now if you have notable achievements and made significant contributions which have had a continual and positive impact in the areas of Innovation and Invention, Sports, Arts, Social Service or Special Achievement: bit.ly/2S8F5eK</t>
  </si>
  <si>
    <t>['CUHK', '中大', '傑出學生獎', '關懷世界']</t>
  </si>
  <si>
    <t>「智慧的探索」公開講座 | 蒙美玲教授主講 | 懂聽懂說的人工智能如何改善人類的學習及生活</t>
  </si>
  <si>
    <t>請登陸中大視野觀看更多精彩短片
Please watch more videos from CUTV
http://www.cpr.cuhk.edu.hk/cutv/index
「人工智能會搶去人類工作嗎？」「答案是會的，因此我們更要積極裝備自己！」
中大工程學院蒙美玲教授2019年6月3日主講55周年校慶「智慧的探索」公開講座系列，主題為「懂聽懂說的人工智能如何改善人類的學習及生活」。蒙教授即席暢談她多年來研究人工智能技術的歷程，揭秘 A.I.技術是如何懂聽懂說，更是如何幫助中風、腦癱等病的患者。
--------------------------------------
中大55周年校慶「智慧的探索」公開講座系列講座報名：bit.ly/2QDoxsR
‘Could Artificial Intelligence make people lose their jobs?’ ‘Yes, that's why we need to re-skill ourselves.’
Prof. Helen Meng of CUHK Faculty of Engineering gave her lecture in ‘The Pursuit of Wisdom’ Public Lecture Series on the topic of “Artificial Intelligence in Speaking and Listening for Learning and Well-Being”  on 3 June 2019. She unfolded her years of experience in studying artificial intelligence and explained how A.I. managed to listen, talk and even help patients with strokes and cerebral palsy. The full video of Prof. Meng’s public lecture will be uploaded to the internet. 
--------------------------------------
Register for other CUHK 55th anniversary “The Pursuit of Wisdom” Public Lectures: bit.ly/2Rjxqx8</t>
  </si>
  <si>
    <t>飯堂廣東話  Learning Cantonese at the Canteen</t>
  </si>
  <si>
    <t>請登陸中大視野觀看更多精彩短片
Please watch more videos from CUTV
http://www.cpr.cuhk.edu.hk/cutv/index
一個人！廣東話？無問題…… 究竟廣東話是否真的如此困難？
來自英屬哥倫比亞大學的交換生Anne-Marie Dahms同學，便坦言在飯堂點餐亦絕非易事…… 不妨測試一下她的廣東話水平如何；平日「雞同鴨講」的她，更有貼士給予其他外國生及香港人！
Table for one please! Cantonese? No problem... Is it hard to learn Cantonese?
Our exchange student Anne-Marie Dahms from the University of British Columbia says honestly that ordering food at the canteen is not an easy task to start with. Let’s find out how proficient she is in Cantonese and hear her tips for foreign students and Honkongers!</t>
  </si>
  <si>
    <t>「智慧的探索」公開講座 | 朱明中教授主講 | 宇宙的美好缺憾</t>
  </si>
  <si>
    <t>請登陸中大視野觀看更多精彩短片
Please watch more videos from CUTV
http://www.cpr.cuhk.edu.hk/cutv/index
「原來恆星不永恆」
「壯麗的宇宙，看不見的遠超看得見的」
以上是朱明中教授心中「宇宙的美好缺憾」。在5月24日的「智慧的探索」公開講座中，朱教授以梵高畫作《星夜》形容宇宙，有看得見的星星，亦有看不見的暗物質，而星星又終有爆炸、熄滅的一天。但正因為有着這些遺憾，令一群「傻仔傻女」（朱教授笑言他的學生是傻仔傻女）醉心研究，尋找所有未知的答案。講座詳情：bit.ly/2JCQSRj
--------------------------------------
中大55周年校慶「智慧的探索」公開講座系列講座報名：bit.ly/2QDoxsR
【Beautiful Asymmetries in the Universe】
'Stars don't live forever.'
'In the magnificent universe, what we can't see is far more than what we can.'
In Prof. Chu Ming-chung's mind, these are the 'beautiful asymmetries in the universe'. In 'The Pursuit of Wisdom' Public Lecture on 24 May, Prof. Chu used Vincent van Gogh's art piece 'The Starry Night' to describe the universe, 'There are stars that we can find but, at the same time, dark matter that we can't find. Even if we can find the stars, they will one day explode and become black holes.' Wait, don't be too sad. These imperfections have attracted 'silly boys and silly girls' (Prof. Chu's way of calling his students) to immerse themselves in studying and reveal the unknowns. Details of the lecture: bit.ly/2MhbYH8
--------------------------------------
Register for other CUHK 55th anniversary “The Pursuit of Wisdom” Public Lectures: bit.ly/2Rjxqx8</t>
  </si>
  <si>
    <t>['CUHK', '中大', 'video', 'cosmology', 'astronomy']</t>
  </si>
  <si>
    <t>重溫「中大創業日2019」精華片段</t>
  </si>
  <si>
    <t>「中大創業日2019」早前於校園順利舉行！活動匯聚山城的創業力量，藉中大創業大賽、創業項目展覽、日內瓦國際發明展得獎項目巡禮、創業大師班、與校友投資者會面等多元化活動，激發一眾創業朋友的創新智慧，踏出做老闆的第一步。馬上重溫「中大創業日2019」的精華片段！🎞🎥
#有得揀做老闆 #中大創業日2019 #創業嘉年華 #來年再會
請登陸中大視野觀看更多精彩短片
Please watch more videos from CUTV
http://www.cpr.cuhk.edu.hk/cutv/index</t>
  </si>
  <si>
    <t>['CUHK', '中大', 'video', 'entrepreneur', '創業', '中文大學', 'boss', 'investors', 'thechineseuniversityofhongkong']</t>
  </si>
  <si>
    <t>永不轉會的「中大名宿」 CUHK Legends who Never Request a Transfer</t>
  </si>
  <si>
    <t>請登陸中大視野觀看更多精彩短片
Please watch more videos from CUTV
http://www.cpr.cuhk.edu.hk/cutv/index
不少「打工仔」動輒就會「密謀」轉工，有沒有想過在同一機構效力35年？
中大早前表揚逾250位長期服務大學的員工，當中4位獲得25年及35年長期服務獎的得主，皆「中大教職員足球會」隊員，90年代初已經一齊踢波。幾位「中大名宿」分別來自交通處、視聽製作部，亦有工程學院副院長以及新亞書院院長……究竟此組合如何擦出火花？他們又有否想過要入紙申請「轉會」？
Many of you may frequently hunt for new jobs. Could you ever imagine serving in the same organisation for 35 years?
The University presented the 2018 Long Service Awards last month to over 250 staff members. Among the 25 and 35 Years Long Service Award winners, 4 of them are the members of CUHK Staff Football Club and have been playing football together since the early 90s. Interestingly, the team are from the Transport Office, the Audio-Visual Division, the Associate Dean of the Faculty of Engineering and the Head of New Asia College. Let's find out how this combination works on the pitch and why they have served the University for such a long period.</t>
  </si>
  <si>
    <t>['中大教職員足球會', '長期服務獎', '中大名宿']</t>
  </si>
  <si>
    <t>正向員工服務獎 2018/19 Positive Workplace Service Award 2018/19</t>
  </si>
  <si>
    <t>請登陸中大視野觀看更多精彩短片
Please watch more videos from CUTV
http://www.cpr.cuhk.edu.hk/cutv/index
中大負起教育與學術研究的使命，需要所有員工同心協力，學校的教職員如何發揮最大力量？有「好同事」很重要！那何謂「好同事」呢？以下列舉7件「好同事」會做的事：
1. 盡心盡力做好本份
2. 耐心聆聽，願意花時間了解同事想法
3. 同事有需要但未開口，已主動幫忙
4. 協助新同事盡快適應工作
5. 欣賞同事的優點，不吝嗇讚賞
6. 提點同事不足，並請同事提點自己不足
7. 提醒同事照顧自己，「我們不需要做super human，只要做human就可以了」
老套也要說一句，彼此關懷尊重，互相信任，是「正向工作間」的核心元素，返工開心，做事亦事半功倍。小編也要趁這個機會多謝各位好同事！
中大「正向員工服務獎」得獎名單：bit.ly/2VpKzqB
#正向工作間 #在乎溝通與關懷 #多謝同事
A university serving academic research and education purposes needs all staff to work together. How can all of them give their best? Working with good colleagues is one of the major factors, but what defines a good colleague? Below are 7 things a good colleague will do:
1. Be fully committed to playing his or her part
2. Be patient in listening to and understanding colleagues' thoughts
3. Take the initiative to help colleagues even before they ask
4. Give a hand to new colleagues to quickly adapt to the working environment
5. Appreciate colleagues and always express it
6. Advise colleagues on how to improve on their weaknesses and ask them to do the same in return
7. Remind colleagues to take good care of themselves: We don't need to be 'super human', but to be 'human'
'Care and concern, mutual respect and trust are core elements of a positive workplace.' It sounds a cliche but it’s true. Happy work life can bring efficiency. Thank you, colleagues.
CUHK Positive Workplace Service Awardees: bit.ly/2VpKzqB
#PositiveWorkplace #Communication #Care #ThankYouColleagues</t>
  </si>
  <si>
    <t>研究機械人尾巴的工程師 The Engineer who Studies Tails for Robots</t>
  </si>
  <si>
    <t>請登陸中大視野觀看更多精彩短片
Please watch more videos from CUTV
http://www.cpr.cuhk.edu.hk/cutv/index
袋鼠會彈跳，豹會翻筋斗，全靠他們的尾巴。機械與自動化工程學系歐國威教授就從大自然取得靈感，研究給機械人加上尾巴，讓他們變得更加靈活。
Tails help kangaroos to jump and leopards to turn somersaults. Prof. Samuel Au from CUHK Department of Mechanical and Automation Engineering (MAE) was inspired by biology and nature to study giving robots a tail, so that they can be more flexible and versatile.</t>
  </si>
  <si>
    <t>['CUHK', '中大', 'video', 'robots']</t>
  </si>
  <si>
    <t>中大創業大賽2019 - 五強爭霸  CUHK Entrepreneurship Competition 2019 - Five Finalists do battle</t>
  </si>
  <si>
    <t>請登陸中大視野觀看更多精彩短片
Please watch more videos from CUTV
http://www.cpr.cuhk.edu.hk/cutv/index
晉身最後五強的初創公司如何得到評審團的青睞，贏得「中大創業大賽2019」冠軍？一同看看他們如何各展所長。
How do the 5 finalists win the judges’ hearts and take the championship of 'CUHK Entrepreneurship Competition 2019'? Let’s watch how they show their strengths.</t>
  </si>
  <si>
    <t>進學「喵星人」 The 'Meow' at Learning Garden</t>
  </si>
  <si>
    <t>請登陸中大視野觀看更多精彩短片
Please watch more videos from CUTV
http://www.cpr.cuhk.edu.hk/cutv/index
進學園早前出現「喵星人」🐱，說的是中大藝術系一年級生Kelly在白板上畫的貓，超逼真！後來，她又在圖書館另一幅牆上畫了一幅畫……
Kelly表示，畫畫是她減壓的方法，而白板貓引起的迴響亦讓她尋回自己的初衷，穿過瓶頸重新出發。臨近final，Kelly在圖書館入口處的牆上再畫了一幅畫，希望為考final的同學打氣，提醒大家記得錫住自己，找個方式為自己減壓！ 
A few weeks ago, a 'cat' at the Learning Garden grabbed a lot of attention. That was the lifelike cat drawn by Kelly, CUHK Fine Arts Year 1 student. Following that, she drew a new picture on another wall in the library.
'Drawing is a good way to relieve my stress,' said Kelly. The overwhelming response created by the cat drawing reminded her of her initial motivation. Now she has cleared her mental bottleneck. She would like to cheer up students preparing for exams and remind them to find ways to relieve their stress, which led to this work on the wall near the main library entrance.</t>
  </si>
  <si>
    <t>['CUHK', '中大', 'video', '中大有晴', 'Sunshine at CUHK']</t>
  </si>
  <si>
    <t>達文西機械臂外科系統 | da Vinci Medical Robot</t>
  </si>
  <si>
    <t>請登陸中大視野觀看更多精彩短片
Please watch more videos from CUTV
http://www.cpr.cuhk.edu.hk/cutv/index
機械與自動化工程學系歐國威教授參與研發的「達文西機械臂外科系統」，只需在病人身上開出一個小創口，即可將配件小至3.5毫米的超迷你機械臂及三維角度內窺鏡置入病人體內，讓外科醫生透過電腦控制台完成手術。系統適用於前列腺、子宮癌以至肝臟移植等手術，面世至今更已完成約400萬個手術！不妨看看歐國威教授對醫療機械人有何看法。
Please rest assured that da Vinci will be steady as a rock and handle with precision. This is the ‘da Vinci Surgical System’ co-invented by Prof. Samuel Au and his team from CUHK Department of Mechanical and Automation Engineering (MAE). The system only requires a single, small incision, through which the robotic arms with surgical instrument down to 3.5mm and a 3D endoscope to be placed inside the body. This allows the surgeon to control the computer console to carry out more complicated surgeries like prostatic and uterine cancer surgeries and even liver transplantation. A total of 4 million surgeries have been completed since its launch. Let’s learn more about ‘the man behind da Vinci’ and his views on the development of medical robot.</t>
  </si>
  <si>
    <t>「智慧的探索」公開講座 | 林漢明教授主講 | 大豆研究：一段從實驗室到農田科研之旅</t>
  </si>
  <si>
    <t>請登陸中大視野觀看更多精彩短片
Please watch more videos from CUTV
http://www.cpr.cuhk.edu.hk/cutv/index
如果你的另一半在30周年珍珠婚紀念為你送來一顆只得大豆的戒指，你會有甚麼感想？
這位「送粒豆」的勇敢丈夫便是「大豆專家」林漢明教授。林教授於4月1日主講第三場 #55周年校慶 「智慧的探索」公開講座系列，便率領參加者一同踏上他的「大豆研究：一段從實驗室到農田科研之旅」，細說他歷年的「大豆奇遇記」。
糧食危機堪稱當下全球公民面臨的挑戰之一，林教授多年來研究大豆基因，為各地農民培植能夠適應惡劣環境的大豆品種，以新技術提升糧食產量及質素。林教授領導的國際合作研究團隊，最近更完成全球首個野生大豆的參考基因組，為全球的大豆基因研究提供重要基礎。有關研究成果日前於國際著名學術期刊《自然·通訊》發表。詳情：bit.ly/2HVhkEY
--------------------------------------------
中大55周年校慶「智慧的探索」公開講座系列講座報名：bit.ly/2QDoxsR
How would you feel if your spouse presented you with a ring made of soybean as your 30th wedding anniversary gift?
Our 'Soybean Expert' Prof. Lam Hon-ming prepared just such a gift for his wife. Prof. Lam gave the third lecture in ‘The Pursuit of Wisdom’ Public Lecture Series on the topic of 'Soybean Research: A Journey from Laboratory to Field' on 1 April and shared his research which has taken him to landscapes and agriculture all over the world.
Hunger is one of the challenges facing people globally nowadays. Prof. Lam is a pioneer in improving the genetic make-up of soybean to help alleviate the looming problems in world food supply and security. He believes that scientists are responsible for developing new technologies to increase crop yield and quality, and to achieve the aim of sustainable agriculture. An international collaborative research team led by Prof. Lam completed the world’s first reference-grade wild soybean genome which provides an important tool for soybean genetic research. The research findings have been published in the internationally renowned academic journal Nature Communications recently. Details: bit.ly/2TRAQnb
--------------------------------------
Register for other CUHK 55th anniversary “The Pursuit of Wisdom” Public Lectures: bit.ly/2Rjxqx8</t>
  </si>
  <si>
    <t>['CUHK', '中大', 'video', 'The Pursuit of Wisdom', '智慧的探索']</t>
  </si>
  <si>
    <t>大潭道水壩智能交通燈設計師 |  Developer of the Smart Traffic Light at Tai Tam Road (Dam Section)</t>
  </si>
  <si>
    <t>請登陸中大視野觀看更多精彩短片
Please watch more videos from CUTV
http://www.cpr.cuhk.edu.hk/cutv/index
要數2018年度最觸目交通燈，非大潭道水壩路段的智能交通燈莫屬。今天，設計師現身說法！
他是中大系統工程與工程管理學系前副教授、中大校友鄭進雄博士，他研發的智能交通燈一次過解決存在已久的對頭車爭路與塞車問題🚚🚙鄭博士謙虛表示，研究最終能貢獻社會，是他最大的喜悅。
No one can doubt that the smart traffic lights at Tai Tam Road (Dam Section) are the most striking traffic lights of 2018. Now, let's meet the developer.
He is Dr. Cheng Chun-hung, the former Associate Professor, CUHK Department of Systems Engineering and Engineering Management, who is also an alumnus of CUHK. The smart traffic light he developed has solved the long-standing traffic deadlock and traffic jam in one go. Dr. Cheng says modestly, 'It is the greatest pleasure to have our research contributing to society.'</t>
  </si>
  <si>
    <t>「智慧的探索」公開講座 | 盧煜明教授主講 | 科研的挑戰與樂趣</t>
  </si>
  <si>
    <t>請登陸中大視野觀看更多精彩短片
Please watch more videos from CUTV
http://www.cpr.cuhk.edu.hk/cutv/index
遠在天邊，近在眼前。「無創產檢之父」盧煜明教授大學時就大膽假設孕婦血液有胎兒DNA，但在求證過程中，曾有8年時間一直忽略了手上的研究重點——媽媽的血漿。直到一天他靈機一閃把焦點放在血漿，成就了「無創產前檢查」，更延展至鼻咽癌篩查研究，造福社會。
盧教授於2019年2月15日的「科研的挑戰與樂趣」公開講座分享了他科研路上的靈感來源。詳情：bit.ly/2tmJE9F
--------------------------------------
中大55周年校慶「智慧的探索」公開講座系列講座報名：bit.ly/2QDoxsR
So near and yet so far. “Father of the Non-Invasive Prenatal Test” Prof. Dennis Lo had made the bold assumption of the presence of fetal DNA in maternal blood from the days of his university studies. However, for 8 years he'd been missing the key to the research, which is the plasma, until the idea of it came to him. Now, not only is he the "Father of Non-Invasive Prenatal Test”, he has also developed the “Plasma DNA Screening Study of Nasopharyngeal Cancer”.
Prof. Lo shared his interesting research experiences at the Public Lecture on 'The Joys and Challenges of Scientific Research' today (15 February). Details: bit.ly/2EcOigQ
--------------------------------------
Register for other CUHK 55th anniversary “The Pursuit of Wisdom” Public Lectures: bit.ly/2Rjxqx8</t>
  </si>
  <si>
    <t>《摯愛》舞台劇花絮 My Love Drama Making Of</t>
  </si>
  <si>
    <t>請登陸中大視野觀看更多精彩短片
Please watch more videos from CUTV
http://www.cpr.cuhk.edu.hk/cutv/index
必睇短片！校長、前任校長齊齊「開金口」！
由中大校友會聯會主辦的《摯愛》(My Love) 舞台劇，以中大為背景，講述一段纏綿悱惻的愛情及幾經風浪的香港金融故事，道出香港及「中大人」永不言倦的奮鬥精神，各位同學、校友絕對不能錯過！
《摯愛》台前幕後均為「中大人」，稍後他們更會作環球巡迴演出，將中大故事搬上世界舞台。校長段崇智教授及前任校長沈祖堯教授日前更率先錄製主題曲《博文約禮》，為舞台劇打響頭炮。</t>
  </si>
  <si>
    <t>《摯愛》舞台劇 | 北京、深圳站巡迴演出宣傳片 My Love Drama in Beijing and Shenzhen Promo Video</t>
  </si>
  <si>
    <t>溫哥華校友祝賀中大55周年校慶 Alumni in Vancouver Congratulate on CUHK's 55th Anniversary</t>
  </si>
  <si>
    <t>農曆新年小遊戲 | 猜猜豬年賀詞</t>
  </si>
  <si>
    <t>請登陸中大視野觀看更多精彩短片
Please watch more videos from CUTV
http://www.cpr.cuhk.edu.hk/cutv/index
段崇智校長跟大家拜年！
新一年，祝各位中大人🐷🍓✉👅⛓⛓☑🐟🍊⭐🍰💡🦒☁💤🌈！你到底睇咗啲乜？估一估，片尾有答案~</t>
  </si>
  <si>
    <t>['CUHK', '中大', 'video', '豬年', 'emoji']</t>
  </si>
  <si>
    <t>渣馬戰記2019 | 高強度間歇訓練 - 針對長跑 Standard Chartered Marathon 2019 | HIIT for Long-distance Running</t>
  </si>
  <si>
    <t>請登陸中大視野觀看更多精彩短片
Please watch more videos from CUTV
http://www.cpr.cuhk.edu.hk/cutv/index
近年流行高強度間歇訓練（HIIT），中大馬拉松隊有福了，亞運壁球金牌選手李嘉兒及HIIT專家Eric親身示範針對長跑的6個HIIT動作，仲有練習小貼士。
High-Intensity Interval Training (HIIT) has been topping fitness trends in recent years. CUHK runners, pay attention here. Lee Ka-yi, Asian Games squash gold medalist, and Eric Poon, HIIT expert, have demonstrated the six HIIT exercises for long-distance running and given some tips too.</t>
  </si>
  <si>
    <t>['CUHK', '中大', 'video', 'HIIT', 'Fitness', 'Marathon training', 'Marathon']</t>
  </si>
  <si>
    <t>「智慧的探索」公開講座 | 段崇智教授主講 | 再生醫學的前途與挑戰</t>
  </si>
  <si>
    <t>請登陸中大視野觀看更多精彩短片
Please watch more videos from CUTV
http://www.cpr.cuhk.edu.hk/cutv/index
以再生醫學技術製作的人體軟骨，與粥麵檔必備的魚蛋有何關係？段校長於2019年1月11日的「再生醫學的前途與挑戰」講座中，向全場觀眾概述再生醫學的理念，更即席分享他多年來從事科研工作的心路歷程。
是次為中大55周年校慶「智慧的探索」公開講座系列的首場講座。有興趣從一眾中大學人探索更多智慧的朋友，歡迎參與其餘講座。網上報名：bit.ly/2QDoxsR
What are the similarities between tissue-engineered cartilage produced from regenerative medicine technologies and a fish ball? Prof. Rocky S. Tuan, Vice-Chancellor and President of CUHK gave his public lecture on 11 January to introduce the promises and challenges of regenerative medicine. He also told of his research experiences and achievements. 
This is the first lecture of the CUHK 55th anniversary “The Pursuit of Wisdom” Public Lecture Series. Come join the remaining lectures to pursue more wisdom from our experts. Online registration: bit.ly/2Rjxqx8</t>
  </si>
  <si>
    <t>渣馬戰記2019 | 中大戰衣 Standard Chartered Marathon 2019 | CUHK Team Uniform</t>
  </si>
  <si>
    <t>請登陸中大視野觀看更多精彩短片
Please watch more videos from CUTV
http://www.cpr.cuhk.edu.hk/cutv/index
穿上戰衣，代表中大征戰
穿上戰衣，聽中大人吶喊
穿上戰衣，因自己而驕傲 
今年的中大馬拉松隊戰衣已出爐，隊員領取日期時間地點如下：
⏳1月19日 12:00pm - 6:00pm
⏳1月20日 12:00pm - 5:00pm
📫中大專業進修學院中環教學中心102室
⏳1月21至23日 12:30pm - 8:00pm
📫中大富爾敦樓103D室
Wear it and run for CUHK.
Wear it and receive CUHKers' cheers.
Wear it and be proud of yourself. 
CUHK Marathon Team uniform is just out. Team members please collect yours during the below time slots:
⏳19 January 12:00pm - 6:00pm
⏳20 January 12:00pm - 5:00pm
📫Room 102, Central Learning Centre, School of Continuing and Professional Studies, CUHK
⏳21-23 January 12:30pm - 8:00pm
📫Room 103D, John Fulton Centre, CUHK Campus</t>
  </si>
  <si>
    <t>['CUHK', '中大', 'video', 'standard chartered marathon', 'marathon', '渣打馬拉松']</t>
  </si>
  <si>
    <t>渣馬戰記2019 | 輪椅上的起跑線 Standard Chartered Marathon 2019 | Wheelchair Race at the Starting Line</t>
  </si>
  <si>
    <t>請登陸中大視野觀看更多精彩短片
Please watch more videos from CUTV
http://www.cpr.cuhk.edu.hk/cutv/index
無論你是否跑者，總會有過馬拉松是自討苦吃的念頭。偏偏跑者會在吃苦過後，為自己額外添加一條法則：「痛是難免的，苦卻是甘願的。」
李豪飛校友自幼因病不良於行，卻無阻他好動的性格。他憶述小時候在特殊學校的陸運會中，第一次感受到「風馳電掣」的快感；迄至渣馬宣布舉辦輪椅賽，便決心以參賽為目標。輪椅上的馬拉松殊不容易，不妨細看這位輪椅賽冠軍的故事，為自己打打氣！
No matter whether you are a runner or not, a marathon seems to be choosing to ask for trouble. However, there is a famous quote for those who keep running: “Pain is inevitable; suffering is optional.”
Our alumnus Lee Ho Fei has been disabled since childhood, due to an illness. He recalled his first encounter with the thrill of speed at an athletic meet at his special school. When Standard Chartered Hong Kong Marathon announced the inclusion of a wheelchair marathon as an event, he set the newly launched race as his goal. Let’s watch and get inspired by his story of wheelchair racing championship.</t>
  </si>
  <si>
    <t>['CUHK', '中大', 'video', 'wheelchair marathon', 'marathon', 'standard chartered marathon', '渣馬', '輪椅馬拉松']</t>
  </si>
  <si>
    <t>中大再生醫學專家段崇智教授・你問我答——斯路手斷重生有可能？</t>
  </si>
  <si>
    <t>請登陸中大視野觀看更多精彩短片
Please watch more videos from CUTV
http://www.cpr.cuhk.edu.hk/cutv/index
中大的再生醫學專家與網民大玩「你問我答」！
想知道健吾、郭志仁、徐緣及伍家謙4位「重量級喱民」有甚麼問題？專家又有甚麼「神回覆」？馬上去片！
#智慧的探索公開講座 #再生醫學的前途與挑戰
#1月11日下午5時 #門票已經換罄 #多謝支持
We have recently invited a regenerative medicine expert from CUHK to run a ‘Q&amp;A Session’ with netizens!
Want to know what questions our ‘heavyweight VIPs’ Kengo Ip, Ken Kwok, Vincent Tsui and Vince Ng raised from a layman’s perspective and how our expert answered them wittily? Let's watch the video now!
#ThePursuitOfWisdomPublicLecture #RegenerativeMedicinePromisesAndChallenges 
#5pm11January #AllSeatsAreTaken #ThanksForYourSupport</t>
  </si>
  <si>
    <t>['CUHK', '中大', 'video', 'Regenerative Medicine', '再生醫學']</t>
  </si>
  <si>
    <t>你上一次哭是…… The Last Time You Cried...</t>
  </si>
  <si>
    <t>請登陸中大視野觀看更多精彩短片
Please watch more videos from CUTV
http://www.cpr.cuhk.edu.hk/cutv/index
學業、家庭、朋友、愛情……大學生要煩的事實在很多，有時難免流淚。中大uBuddies與你分享心路歷程，哭不是醜事，淚水有助釋放壓力、紓緩情緒。
遇到煩惱時，踏出一步主動傾訴，總有人伴你同行。
☀認識我們的uBuddies：bit.ly/2So66tQ
☀心理健康及輔導中心最新活動消息：bit.ly/2KGnuHB
☀「中大有晴」網頁：bit.ly/2BDbRya
Study, family, friendship, love… There are so many things university students have to face. There are times we cry. It is not shameful to cry, but a crucial way to release stress and emotions.
Step out and talk to your family and friends when you feel worried. They are always there for you.
☀Learn about our uBuddies bit.ly/2QvBwkt
☀Latest News about Wellness and Counselling Centre’s activities bit.ly/2ra8FE0
☀'Sunshine@CUHK' Website: bit.ly/2SgVCwg</t>
  </si>
  <si>
    <t>中大2019月曆 CUHK 2019 Calendar</t>
  </si>
  <si>
    <t>請登陸中大視野觀看更多精彩短片
Please watch more videos from CUTV
http://www.cpr.cuhk.edu.hk/cutv/index
「傑出學生獎」的得獎同學不僅在藝術、創意與發明、社會服務或運動等範疇有卓越表現，更可能「隱藏」額外技能？
今年大學邀請12位首屆「中大傑出學生獎」的得獎同學，拍攝中大2019月曆。一班同學不僅在各個範疇有出色表現，面對鏡頭時同樣從容淡定，潛藏的演藝細胞絕不失禮！不妨看看他們早前拍攝中大2019月曆時的花絮片段。
中大2019月曆將於明日起（11月24日）率先登陸富爾敦樓地下的中大紀念品銷售處。月曆定價港幣40元正，所有收益將撥捐中大I‧CARE博群計劃。各位參加「中大校友日」的朋友，緊記將中大月曆帶回家！
The awardees of the ‘CUHK Outstanding Students Awards’ not only have outstanding achievements in arts, innovation and invention, social service, sports and more, they may also possess ‘hidden abilities’...
This year, the University invited 12 recipients of the awards to participate in the production of our 2019 calendar. They looked so confident in front of the camera and performed so professionally in the studio. Let’s have a look at their performing talents when shooting the CUHK 2019 calendar.
The desktop calendar will be offered at HK$40 starting from tomorrow (24 Nov) at the CUHK Souvenir Counter located at G/F, John Fulton Centre. Proceeds from the calendar sales will be donated to support CUHK I‧CARE Programme. Take it home, after you've come to the Alumni Homecoming Day!</t>
  </si>
  <si>
    <t>傑出校友訪問計劃——姚沈宛 Distinguished Alumni-in-Residence Programme - Dorothy Yuen</t>
  </si>
  <si>
    <t>請登陸中大視野觀看更多精彩短片
Please watch more videos from CUTV
http://www.cpr.cuhk.edu.hk/cutv/index
中大「傑出校友訪問計劃」頭炮完滿結束。有四十多年社工經驗的姚沈宛（Dorothy）校友親自到訪中大，在四天內見過同學、教職員及其他校友，真摯地分享她生命中的甜酸苦辣，談經驗、談人生、談生死，有笑有淚。
雖然畢業多年，Dorothy對母校的歸屬感仍然強烈，她期盼透過這次緊密的行程，把中大人文精神發揚光大。bit.ly/2B3w0x0
The inaugural visit of the Distinguished Alumni-in-Residence Programme has concluded successfully. CUHK alumna Dorothy Yuen, who has more than forty years of social work experience, met CUHK students, staff and alumni in her four-day visit here. She spoke with a passion about her sweet moments and bitter ones, about life and death, bringing laughter and tears.
Though it has been a long time since her graduation, the sense of belonging to CUHK has stayed intense. Dorothy came back to her alma mater with a true intention to foster the humanistic spirit.</t>
  </si>
  <si>
    <t>Sharing by Graduates of 2018 二零一八年畢業生感言</t>
  </si>
  <si>
    <t>請登陸中大視野觀看更多精彩短片
Please watch more videos from CUTV
http://www.cpr.cuhk.edu.hk/cutv/index
The Chinese University of Hong Kong held its 85rd Congregation for the Conferment of Degrees on 15 November 2018. Let's hear the sharing by fresh graduates through the video.
2018年11月15日，香港中文大學舉行第八十五屆大會（頒授學位典禮），讓我們一齊聆聽應屆畢業生的畢業感言。</t>
  </si>
  <si>
    <t>['CUHK', '中大', 'video', '畢業', 'Graduation']</t>
  </si>
  <si>
    <t>University Education Award 2018 二零一八年博文教學獎</t>
  </si>
  <si>
    <t>請登陸中大視野觀看更多精彩短片
Please watch more videos from CUTV
http://www.cpr.cuhk.edu.hk/cutv/index
The Chinese University of Hong Kong held its 85rd Congregation for the Conferment of Degrees on 15 November 2018. Awardees of the University Education Award this year, including Prof. Fan Tingting, Department of Marketing, Faculty of Business Administration; Dr. Lai Hon-weng, John, Department of Management, Faculty of Business Administration; and Dr. Yuen Kwan-yuk Jacqueline, Department of Medicine &amp; Therapeutics, Faculty of Medicine were invited to talk about their ideas on enhancing the student learning experience in the video.
2018年11月15日，中大舉行第八十五屆大會（頒授學位典禮）。大會邀請到博文教學獎得獎者，包括工商管理學院市場學系范亭亭教授、工商管理學院管理學系賴漢榮博士，以及醫學院內科及藥物治療學系阮君毓博士，拍攝短片分享推動優質教學的心得。</t>
  </si>
  <si>
    <t>中大55周年校慶標誌 CUHK 55th Anniversary Logo</t>
  </si>
  <si>
    <t>請登陸中大視野觀看更多精彩短片
Please watch more videos from CUTV
http://www.cpr.cuhk.edu.hk/cutv/index
1963年10月17日，香港中文大學正式成立，翌年訂立校訓「博文約禮」。
中大55周年校慶標誌正正由「博」、「文」、「約」、「禮」四字砌成，背後有甚麼意思？不如由設計師葉小卡先生親自解畫。
鳴謝：香港中文大學特別邀請校友兼香港設計師協會會長、伍宜孫書院、敬文書院及和聲書院院徽設計師葉小卡先生（2000新亞建築、2003研究院建築）義務設計55周年校慶標誌。
On 17 October, 1963, CUHK was founded. The motto of the University, Bo Wen Yue Li (Through learning and temperance to virtue), was adopted the following year.
The 55th Anniversary logo is derived from the motto's four Chinese characters. What is the meaning behind it? Let's listen to the logo designer Karr Yip.
Acknowledgment: CUHK has specially invited alumnus Mr. Karr Yip (2000 New Asia, Bachelor's in Architecture; 2003 Master of Architecture), who is the chairman of the Hong Kong Designers Association and designer of the emblems of Wu Yee Sun College, C.W. Chu College, and Lee Woo Sing College, to contribute a design for the 55th Anniversary logo.</t>
  </si>
  <si>
    <t>['CUHK', '中大', 'video', 'Anniversary', '校慶']</t>
  </si>
  <si>
    <t>Shun Hing Lecture 2018 - Dr. Victor Dzau (Full Veresion) 信興講座：曹文凱醫生主講（完整版）</t>
  </si>
  <si>
    <t>請登陸中大視野觀看更多精彩短片
Please watch more videos from CUTV
http://www.cpr.cuhk.edu.hk/cutv/index
Dr. Victor Joseph Dzau, a world renowned cardiologist and the President of the US National Academy of Medicine (NAM), came to The Chinese University of Hong Kong (CUHK) on 18 September 2018 to deliver a Shun Hing Lecture, co-organised by CUHK and the Shun Hing Group. Dr. Dzau spoke on the topic “Medical and Technological Breakthroughs Shaping the Future of Health and Medicine and Their Implications for Society”.
世界著名心臟病學家、美國國家醫學院院長曹文凱醫生於2018年9月18日蒞臨香港中文大學（中大）校園，為中大及信興集團合辦之「信興講座」擔任主講嘉賓，主題為「醫學及科技突破對未來衛生、醫療及社會的影響」。</t>
  </si>
  <si>
    <t>['CUHK', '中大', 'video', 'Victor Dzau', 'Medical Science']</t>
  </si>
  <si>
    <t>NIRS based traditional Chinese medicine herb identification system 中藥材近紅外光譜鑑定系統</t>
  </si>
  <si>
    <t>請登陸中大視野觀看更多精彩短片
Please watch more videos from CUTV
http://www.cpr.cuhk.edu.hk/cutv/index
Near infrared spectroscopy based traditional Chinese medicine (TCM) herb identification system, a process analytical technology (PAT) project led by the Hong Kong Institute of Biotechnology, is a custom-made project specially designed to meet the need of a well-known local TCM manufacturer with GMP certification.  This NIRS identification system has been incorporated into the routine quality control system of the company since 2015, setting it as a successful case on the application of modern technology in the manufacturing of TCM in Hong Kong.
由香港生物科技研究院主導的製程分析技術應用團隊，利用近紅外光譜技術、為本地一間歷史悠久的GMP中成藥製造商，開發原料快速鑑定系統。該系統自2015年投入該公司服務並沿用至今，實為應用現代科技在中藥製造的一個成功案例。</t>
  </si>
  <si>
    <t>['CUHK', '中大', 'video', 'Chinese Medicine', '中醫', '中藥', '中醫藥']</t>
  </si>
  <si>
    <t>中大中醫中藥研究所、藥用植物應用研究國家重點實驗室</t>
  </si>
  <si>
    <t>請登陸中大視野觀看更多精彩短片
Please watch more videos from CUTV
http://www.cpr.cuhk.edu.hk/cutv/index
【Institute of Chinese Medicine and State Key Laboratory of Research on Bioactivities and Clinical Applications of Medicinal Plants (The Chinese University of Hong Kong)】
The mission of Institute of Chinese Medicine is to establish evidence-based Chinese medicines by performing the multiple functions of authentication, quality control, safety assurance, clinical trials, drug development, information centre and public education, with a view to facilitating the cooperation between traditional and western medicines.
【香港中文大學中醫中藥研究所和藥用植物應用研究國家重點實驗室 (香港中文大學)】
中醫中藥研究所的使命是以實驗方法建立多方面的中藥研究，包括藥物開發，臨床試驗，鑑定質量控制，安全監察，中藥信息中心和公共教育等，以促進傳統中藥和西藥之間的協作。</t>
  </si>
  <si>
    <t>香港中文大學李達三葉耀珍中醫藥研究發展中心：中藥材分子鑑定和品質控制的研究和發展</t>
  </si>
  <si>
    <t>請登陸中大視野觀看更多精彩短片
Please watch more videos from CUTV
http://www.cpr.cuhk.edu.hk/cutv/index
【Research and Development in Molecular Authentication and Quality Control of Chinese Medicinal Material in Li Dak Sum Yip Yio Chin R&amp;D Centre for Chinese Medicine, CUHK】
To keep Hong Kong as an international trading and quality control hub for medicinal herbs, the Centre pioneers in rapid molecular techniques for onsite authentication. 
We are offering authentication and quality control services to the industry and the regulatory agencies. We anticipate this will also help to protect the right of consumers.
【香港中文大學李達三葉耀珍中醫藥研究發展中心在中藥材分子鑑定和品質控制的研究和發展】
為保持香港作為中藥材國際貿易及品質控制中心，我們率先採用快速分子技術進行中藥材現場鑑定， 並為行業和監管機構提供鑑定和品質控制服務。這些活動也有助於保障消費者的權益。
#CUHK #DNA #authentication #TCM #herbs #identification #molecular #quality
#分子鑒定 #中藥材 #中藥鑒定</t>
  </si>
  <si>
    <t>['CUHK', '中大', 'video', 'DNA', 'authentication', 'TCM', 'herbs', 'indentification', 'molecular', 'quality', '分子鑒定', '中藥材', '中藥鑒定', 'CUHK Chinese Medicine', '中大中醫', 'Chinese Medicine']</t>
  </si>
  <si>
    <t>請登陸中大視野觀看更多精彩短片
Please watch more videos from CUTV
http://www.cpr.cuhk.edu.hk/cutv/index
The research team in School of Chinese Medicine, CUHK has long-term commitment to the research on quality of Chinese herbal medicines to ensure that the herbal materials used in clinical treatment and research are authentic and with stable quality.  Thereby, good treatment effects and reliable research results can be achieved.
About the School of Chinese Medicine:
http://www.scm.cuhk.edu.hk/en-GB/
香港中文大學中醫學院好的研究團體，長期致力於中藥的品質研究工作，以確保真材實料及品質穩定的中藥材應用於中醫臨床治療和研究當中，從而獲得優良的療效及穩定、可靠的研究結果。
關於中醫學院：
http://www.scm.cuhk.edu.hk/zh-TW/</t>
  </si>
  <si>
    <t>['CUHK', '中大', 'video', 'Chinese Medicine', '中醫', '中醫學院', '中醫藥']</t>
  </si>
  <si>
    <t>香港中文大學中藥材鑑定和品質控制 Authentication and Quality Control of Chinese Medicinal Material in CUHK</t>
  </si>
  <si>
    <t>請登陸中大視野觀看更多精彩短片
Please watch more videos from CUTV
http://www.cpr.cuhk.edu.hk/cutv/index
In CUHK, there are four units providing authentication and quality control services:
1. Hong Kong Institute of Biotechnology (HKIB)
2. Institute of Chinese Medicine (ICM)
3. Li Dak Sum Yip Yio Chin R &amp; D Centre for Chinese Medicine (RDCCM)
4. School of Chinese Medicine (SCM)
香港中文大學有四個提供中藥材鑑定和品質控制的單位：
1. 香港生物科技研究院
2. 中醫中藥研究所
3. 李達三葉耀珍中醫藥研究發展中心
4. 中醫學院</t>
  </si>
  <si>
    <t>A different set of GPA introduced by Vice-Chancellor Prof. Rocky Tuan 段崇智校長：成績以外的另一個GPA</t>
  </si>
  <si>
    <t>請登陸中大視野觀看更多精彩短片
Please watch more videos from CUTV
http://www.cpr.cuhk.edu.hk/cutv/index
【中大人的另一個GPA】
新學年正式開始，相信同學都會十分在意成績表上的GPA，但在今日的本科生入學典禮上，段校長特別想各位新生留意成績以外的另一個GPA：
G 代表 Global perspective 世界視野
P 代表 Positive mindset 正向思維
A 代表 Appreciation of life's diversity, including cultures and differences 海納四方，存異共融
他歡迎新生成為中文大學的一分子。祝願各位在中大的日子精彩充實，好好享受這段人生旅程！段校長歡迎演講全文：bit.ly/2wzrEew
【The Other GPA for CUHK-ers】
Today marked the beginning of the new academic year. GPA, or Grade Point Average, will naturally be one of the very important things that the freshmen will want to keep an eye on. However, at the Inauguration Ceremony for Undergraduates, Vice-Chancellor Prof. Rocky Tuan introduced a different set of GPA to focus on.
‘G’ – Global perspective
‘P’ – Positive mindset
‘A’ – Appreciation of life’s diversity, including cultures and differences
He welcomed the new students and wished them a fantastic and rewarding time here at CUHK, 'Enjoy your journey!' Full welcoming speech of Prof. Tuan: bit.ly/2wyXsz2</t>
  </si>
  <si>
    <t>['CUHK', '中大', 'video', 'Inauguration Ceremony', 'GPA', 'Vice-Chancellor']</t>
  </si>
  <si>
    <t>甚麼是正向心理學？ What is Positive Psychology?</t>
  </si>
  <si>
    <t>請登陸中大視野觀看更多精彩短片
Please watch more videos from CUTV
http://www.cpr.cuhk.edu.hk/cutv/index
【正向心理學 = 凡事正面？】
新的通識課程「豐盛人生：正向心理學的理論與實踐」（UGED 1553A）是不是要同學凡事正面❓究竟甚麼是正向心理學❓❓正向心理學又如何讓同學活得更豐盛❓❓❓
滿腦子充滿問題的你，看這動畫吧！
想活出豐盛人生的你，報讀課程吧！
課程詳情
課程編號：UGED 1553A
時間：逢星期三 16:30 - 18:15
地點：康本國際學術園 LT8
授課語言：粵語
【Positive Psychology = Stay Positive Regardless?】
Does the new General Education course 'Live to Flourish: The Science and Practice of Positive Psychology' (UGED 1553A) ask students to think positively, regardless? What is positive psychology? How does positive psychology lead students to live more fully?
If your mind is full of question marks, watch this animation!
If you want to live an enriched life, register for the course!
Course Details
Course Code: UGED 1553A
Time: Wednesdays 16:30 - 18:15
Venue: YIA LT8
Medium of Instruction: Cantonese</t>
  </si>
  <si>
    <t>['CUHK', '中大', 'video', '正向心理學', '正向心理', 'Positive Psychology']</t>
  </si>
  <si>
    <t>21世紀全球公民的重大挑戰 Grand Challenges for Global Citizens in the 21st Century</t>
  </si>
  <si>
    <t>請登陸中大視野觀看更多精彩短片
Please watch more videos from CUTV
http://www.cpr.cuhk.edu.hk/cutv/index
重量級教授陣容！跨學科全球爭議性議題！
全新通識課程「21世紀全球公民的重大挑戰（UGEC 2819）」引來不少迴響，皆因課程破天荒雲集8位不同學系的星級教授，探討一個個當前全球議題，機會難逢！歡迎有興趣一起思考全球議題的同學修讀！
想知道課程詳情，1分鐘短片一眼睇晒！
Our heavyweight professors are lining up! Let’s explore the interdisciplinary key global issues!
Many of you may be discussing the new General Education course, ‘Grand Challenges for Global Citizens in the 21st Century (UGEC 2819)’, because it is a precious chance to have 8 CUHK star professors talking about numerous key global issues in one particular course. You are very welcome to join us if you are keen to explore these global issues, to make the world a better place!
For details, please watch our one-minute short video.</t>
  </si>
  <si>
    <t>['CUHK', '中大', 'video', 'General Education', 'Grand Challenge', 'Global Citizens', '21st Century', '21世紀', '全球公民']</t>
  </si>
  <si>
    <t>Four Master of Arts in Translation students went on a study trip to the United Nations Office in Vienna. They participated in meetings of committees under the umbrella of the Conference of the State Parties (COSP) of the UN Convention against Corruption. Students could use their interpreting skills on the spot to experience what an interpreter would do at work. Let’s watch the video to understand what the students think about the trip.</t>
  </si>
  <si>
    <t>中秋．傳情 Festival of Love</t>
  </si>
  <si>
    <t>請登陸中大視野觀看更多精彩短片
Please watch more videos from CUTV
http://www.cpr.cuhk.edu.hk/cutv/index
中秋本是團圓佳節，偏偏對於不少人而言，卻是一個人的節日。
中大愛心月餅正式接受預訂！每售出一盒，「中大．關懷」服務團便會與你攜手，送上一個「中大月餅」予沙田及大埔的獨居長者。不妨以月餅傳情，讓愛傳承。
訂購詳情：www.cpr.cuhk.edu.hk/mooncake
Mid-Autumn Festival is a reunion time for family and friends to stay together. Yet, not everyone is lucky enough to find a companion by their sides at this festive period.
"CUHK Mooncake" is now available for charity sale! For each box sold, the CUHK．Care Service Team will deliver a free mooncake to the elderly living alone in Shatin or Tai Po. Join us to express your love to those in need at this festive season.
Purchase Details: www.cpr.cuhk.edu.hk/mooncake</t>
  </si>
  <si>
    <t>['CUHK', '中大', 'video', '月餅', 'mooncake', 'Mid-Autumn Festival']</t>
  </si>
  <si>
    <t>The Book of a Lifetime: Daisy Wong's Pick 一生只讀一本書：王迪詩之選</t>
  </si>
  <si>
    <t>請登陸中大視野觀看更多精彩短片 
Please watch more videos from CUTV
http://www.cpr.cuhk.edu.hk/cutv/index
【王迪詩之選：孤獨的心靈寄託】
中大新聞與傳播學院校友王迪詩向大家推薦《The Heart is a Lonely Hunter》。作者Carson McCullers寫這本書時只有23歲，但她像看得透每個人的心，把不同性別、年齡和種族的角色、甚至聾啞主角的孤獨感都刻劃得很真實，而她也因為此書一炮而紅。 #趁暑假讀好書 #中大圖書館 #超過400萬本電子書 #我們都是愛書人
「那股澎湃的寂寞籠罩着他，令他惶恐不安……他會說話，但那些於清晨黑暗中自然而生的絮語，只會消散在大街上，甚或煙滅在他的房間裏。那些字說出了口，是一種解脫。」——The Heart is a Lonely Hunter（作者：Carson McCullers）
【Daisy Wong's Pick: Sustenance of Lonely Hearts】
Daisy Wong, CUHK School of Journalism and Communication alumna, recommends 'The Heart is a Lonely Hunter' to you all. The author Carson McCullers was only 23 when she wrote the book, but it seems that she could read everyone's mind. Her portrayal of the loneliness of the characters is so true to life, no matter their gender, age or race - even that of the main deaf-mute character. Carson McCullers became famous overnight because of this book. #SummerGoodRead #CUHKLibrary #OverFourMillionElectronicBooks #WeAreBookLovers
'The loneliness in him was so keen that he was filled with terror... He would talk, and the words created themselves from the dark mornings spent in the streets or in his room alone. The words were formed and spoken with relief.' — The Heart is a Lonely Hunter by Carson McCullers</t>
  </si>
  <si>
    <t>世界盃在中大 — World Cup Final in CUHK</t>
  </si>
  <si>
    <t>請登陸中大視野觀看更多精彩短片 
Please watch more videos from CUTV
http://www.cpr.cuhk.edu.hk/cutv/index
歡迎中大師生校友一同觀看決賽直播，感受世界盃熾熱氣氛。
日期：7月15日（星期日）
入場時間：10:00pm
開賽時間：11:00pm
地點： 香港中文大學嶺南運動場
精彩節目：樂隊表演、幸運抽獎及飲品小食供應
Come join the live broadcast of the World Cup Final and have fun! 
Date: 15 July 2018 (Sunday) 
Admission time: 10 pm 
Kick off time: 11 pm 
Venue: Lingnan Stadium, CUHK 
What’s more? 
- Refreshments 
- Live band performance
- Games and lucky draw</t>
  </si>
  <si>
    <t>一生只讀一本書：中大學生張雅欣之選 The Book of a Lifetime: Student's Pick</t>
  </si>
  <si>
    <t>請登陸中大視野觀看更多精彩短片 
Please watch more videos from CUTV
http://www.cpr.cuhk.edu.hk/cutv/index
【反映社會現實的魔幻小說】
#書展倒數12天 中大商學院四年級、2016-17「文學中大」徵文比賽公開組銀獎得主張雅欣推薦《愚木：短篇小說集》，作者陳苑珊堅持故事反映現實，卻又加了虛構、魔幻的情節，既陌生又熟悉，說起來有點像發夢💭🌜#到底我在現實還是在夢裏 #趁暑假讀好書 #中大圖書館 #入館人次超過二百萬 #我們都是愛書人
「由於員工長時間被困在大型滾球裏工作，導致全體職員患上石化症，終生僵硬坐在球裏。」——《愚木：短篇小說集》（作者：陳苑珊）
【A Magical Realism Read】
##12DaysCountdownToBookFair Joyce Cheung, CUHK Business School year 4 student and Silver Awardee of the 2016-17 'Literature CUHK' Writing Competition Open Section, recommends the book 'Fool the Wood: A Collection of Stories'. The author Chan Yuen-shan insists that the stories must be reflections of reality which, at the same time, set up imaginary and fantastical scenes. The stories sound strange yet familiar, like dreams.  💭 🌜 #AreWeDreaming ##SummerGoodRead #CUHKLibrary #OverTwoMillionVisits #WeAreBookLovers
'Trapped in a big rolling ball, working long hours, all the staff are turned to stone, sitting rigid in the ball for a lifetime.' —— Fool the Wood: A Collection of Stories by Chan Yuen-shan</t>
  </si>
  <si>
    <t>['CUHK', '中大', 'video', 'books', 'chinese books', 'magical realism']</t>
  </si>
  <si>
    <t>The Book of a Lifetime: Tony Mok's Pick 一生只讀一本書：莫樹錦之選</t>
  </si>
  <si>
    <t>請登陸中大視野觀看更多精彩短片 
Please watch more videos from CUTV
http://www.cpr.cuhk.edu.hk/cutv/index
【大眾都讀得明的科學書】
#書展倒數19天 中大醫學院莫樹錦教授給大家推介《The Gene: An Intimate History》，作者Siddhartha Mukherjee是美國哥倫比亞大學的癌症科醫生，他特意將複雜的基因故事用簡單、有趣的方法寫出來，讓大眾了解自身的過去與現在，並一起思考基因科學的未來。 #趁暑假讀好書 #中大圖書館 #藏書超過200萬冊 #我們都是愛書人
「基因為現代生物學提供了有組織的理論 – 它握着我們健康身體與美好命運的控制權，吊我們的胃口。」——The Gene: An Intimate History（作者：Siddhartha Mukherjee）
【A Science Book Accessible to Public】
#19DaysCountdownToBookFair Professor Tony Mok, CUHK Faculty of Medicine recommends the book 'The Gene: An Intimate History'. The author Siddhartha Mukherjee, who is a cancer doctor at the Columbia University, makes complicated gene history into easy and interesting stories. It lets the public learn more about their own past and present and reflect on the future of gene science. #SummerGoodRead #CUHKLibrary #OverTwoMillionVolumesOfBookHoldings #WeAreBookLovers
'The gene provides an organizing principle for modern biology - and it tantalizes us with the prospect of controlling our bodies and fates.' —— The Gene: An Intimate History by Siddhartha Mukherjee</t>
  </si>
  <si>
    <t>中大靚景幕後功臣 Backstage Hero of CUHK's Scenic Campus</t>
  </si>
  <si>
    <t>請登陸中大視野觀看更多精彩短片 
Please watch more videos from CUTV
http://www.cpr.cuhk.edu.hk/cutv/index
美麗動人的新亞櫻花、到處盛放的杜鵑、廣種藥用植物的中草藥園、翠綠的草地籬笆……校園綠意盎然，幕後功臣少不了他！
園藝組的盧家強先生默默為中大校園付出超過15年，多謝您！
The stunning cherry blossoms at New Asia College, the everywhere-blooming azaleas, the Herbal Garden housing a wide range of herbs, the green meadow and hedges and more... Behind the curtain of our green and beautiful campus, he must be one of the heroes.
Mr. Lo Ka-keung has contributed silently to our campus for over 15 years. Thank you!</t>
  </si>
  <si>
    <t>['CUHK', '中大', 'video', 'Campus', 'Landscaping']</t>
  </si>
  <si>
    <t>Coursera慕課：離散優化算法篇</t>
  </si>
  <si>
    <t>請登陸中大視野觀看更多精彩短片 
http://www.cpr.cuhk.edu.hk/cutv/index
你有沒有嘗試過在婚禮安排座位，安排輪班，或者完成一個數獨謎題？如果你有這樣的經歷，你其實已經在求解離散優化問題。這些問題在生活上和工作中都很常見，不過解決它們通常是很困難的。 
這個推廣視頻介紹了Coursera上一個大型網絡公開課系列的第三門課程：離散優化算法篇（https://bit.ly/2kx0LBd ）這門課程會幫助你學習如何簡單地求解這一類的問題。
這門課程採用了獨特的教學方法，在學習中包含了《山海經》，《封神演義》和《西遊記》中許多著名的中國經典故事。它是由香港中文大學和墨爾本大學合作出品，是離散優化建模系列四門課程的其中之一。請注意，這門課程有完整的英文版(https://bit.ly/2H21pQk )。</t>
  </si>
  <si>
    <t>Please watch more videos from CUTV
http://www.cpr.cuhk.edu.hk/cutv/index
Have you ever planned the seating for a wedding, organized a roster, or completed a Sudoku puzzle? If so, you have solved a discrete optimization problem. These problems are ubiquitous in business and our daily lives, but solving them well is often very challenging.  
This promotional video introduces the third course in a series of Massive Open Online Courses (MOOCs) now available on Coursera: Solving Algorithms for Discrete Optimization (https://www.coursera.org/learn/solving-algorithms-discrete-optimization) that will help you learn how to solve such problems with ease. The course uses a unique pedagogy where the learning is woven around famous Chinese fables, “The Book of Mountains and Seas” and The Investiture of the Gods” and “Journey to the West”. This course is also available wholly in Chinese (https://www.coursera.org/learn/lisan-youhua-suanfapian), and has been developed in a unique collaboration between The Chinese University of Hong Kong and The University of Melbourne, and will form part of a four course Specialization on Modeling for Discrete Optimization.</t>
  </si>
  <si>
    <t>回憶感動一刻 人鍊搬書運動　A Touching Moment: Human Book Chain</t>
  </si>
  <si>
    <t>請登陸中大視野觀看更多精彩短片 
Please watch more videos from CUTV
http://www.cpr.cuhk.edu.hk/cutv/index
【回憶感動一刻📚人鍊搬書運動】
1971年、2天時間、1個舊圖書館、1個新圖書館、900米路、12萬冊書、數以百計中大師生……到底崇基學院圖書館的人鍊搬書壯舉是怎樣誕生的？當年的參加者帶大家回到這感動的歷史一刻。
感謝這些中大人用青春的汗水，讓承載知識的書本，傳給愛書愛知識的每一位。
【Look Back to the Touching Moment 📚Human Chain Book Moving】
It is the year 1971; 2 days, 1 old library, 1 new library, a 900-metre road, 120,000 books, hundreds of CUHK students, teachers and staff... How did this big Chung Chi Library Human Chain Book Moving Event happen? The participants look back to the touching historical moment with us.
Thanks to all the CUHKers' effort, the books, the knowledge bearers, are transferred to everyone who loves them.</t>
  </si>
  <si>
    <t>['CUHK', '中大', 'video', '崇基學院', 'Chung Chi College', '圖書館', 'Library', 'History', '歷史']</t>
  </si>
  <si>
    <t>中大創業大賽 2018 — 致勝關鍵</t>
  </si>
  <si>
    <t>請登陸中大視野觀看更多精彩短片 
Please watch more videos from CUTV
http://www.cpr.cuhk.edu.hk/cutv/index
【創業必看！】
初創公司怎樣才可以得到投資者的青睞？相信沒有比投資者更清楚答案。開聲看看「中大創業大賽2018」評審提供的貼士！
【Entrepreneurs Must See！】
How can startups win investors' heart? No one knows the answer better than the investors themselves. Watch the tips given by the judges of 'CUHK Entrepreneur Competition 2018'!</t>
  </si>
  <si>
    <t>CUHK Entrepreneur Day Promo 中大創業日宣傳片</t>
  </si>
  <si>
    <t>請登陸中大視野觀看更多精彩短片 
Please watch more videos from CUTV
http://www.cpr.cuhk.edu.hk/cutv/index
【中大創業日 🔎發現未來】
📡5月11日，中大Facebook將直播「中大創業日」專題演講，「來自未來」的重量級演講嘉賓包括：
⭐港產A.I.「獨角獸」- 商湯集團聯合創始人及CEO徐立博士
⭐國際生物醫學權威 - 中大校長段崇智教授
還有更多中大師生校友分享創業成果，歡迎校友登記出席，也可携同親友参加。立即登記 👉🏻bit.ly/2KpfkTs
中大創業日
日期：5月11及12日（星期五及六）
時間：上午10時至下午6時
地點：中大康本國際學術園地下（大學站D或A出口）
詳情：www.alumni.cuhk.edu.hk/cuhkeday
主辦：香港中文大學校友傳承基金
香港中文大學校友事務處 CUHK Alumni Affairs Office
【CUHK Entrepreneur Day 🔎Discover the Future】
📡'CUHK Entrepreneur Day' Public Lecture will go LIVE on our Facebook page on 11 May. Heavyweight speakers 'From the Future' who include:
⭐Dr. Xu Li, co-founder and CEO of A.I. unicorn SenseTime Group Limited
⭐Prof. Rocky Tuan, international biomedical authority and CUHK Vice-Chancellor
More CUHK teachers, students and alumni will be sharing their entrepreneurial achievements. CUHK alumni and their friends are welcome. Register now 👉🏻bit.ly/2KpfkTs
CUHK Entrepreneur Day
Date: 11 and 12 May (Friday &amp; Saturday)
Time: 10am - 6pm
Venue: G/F, Yasumoto International Academic Park, CUHK (University Station Exit A/D)
Organizer: CUHK Alumni Torch Fund</t>
  </si>
  <si>
    <t>['CUHK', '中大', 'video', 'Entrepreneurship']</t>
  </si>
  <si>
    <t>Chill Out and Relax 放空自然放鬆</t>
  </si>
  <si>
    <t>請登陸中大視野觀看更多精彩短片 
Please watch more videos from CUTV
http://www.cpr.cuhk.edu.hk/cutv/index
BUDDHAISH DOESN'T MEAN GIVING UP
When you feel pressure, be laid back and relax. Then when your positive mood comes, you can do your best of your own free will.
佛系不代表放棄
有壓力時hea呆放鬆，是為了緣份到、心情好時，憑意志做最好的自己。</t>
  </si>
  <si>
    <t>The Journey Home For Professor Rocky Tuan 段崇智：歸家之旅</t>
  </si>
  <si>
    <t>請登陸中大視野觀看更多精彩短片 
Please watch more videos from CUTV
http://www.cpr.cuhk.edu.hk/cutv/index
CUHK installed Professor Rocky S. Tuan as its eighth Vice-Chancellor and President on 17 April. Dr. Norman N.P. Leung, Chairman of the Council, CUHK, presided over the ceremony. Over 800 CUHK faculty members, staff, students, alumni and members of the community were in attendance to witness this memorable moment.
At the ceremony, Professor Tuan delivered his installation address, “Standing here is indeed a wonderful journey home for me, and I am filled with a tremendous sense of belonging...I solemnly pledge to you that I shall, to the best of my knowledge and ability, cultivate, cherish, and pass on the legacy of this University,” Professor Tuan said.
中大於4月17日舉行第八任校長段崇智教授就職典禮，由大學校董會主席梁乃鵬博士主禮。逾800位中大教職員、學生、校友及來自社會各界的嘉賓友好出席典禮，見證此重要時刻。
在典禮上，段教授發表就職演說，形容加入中大有如「歸家之旅」：「今天可以站在這裡，對我來說是一個奇妙的旅程，是一種前所未有的歸屬感……我在此莊嚴承諾，定必竭盡所知所能，珍視、守護、延續及發揚大學寳貴的傳統。」</t>
  </si>
  <si>
    <t>5 Things to Know Before Blood Donation 捐血前五件小事</t>
  </si>
  <si>
    <t>請登陸中大視野觀看更多精彩短片 
Please watch more videos from CUTV
http://www.cpr.cuhk.edu.hk/cutv/index   
捐血前準備：
- 飲用充足水份
- 4小時內曾進食
- 充足休息
- 勿穿衣袖太緊衣服
- 請帶同香港身份證(如有)或有效旅行證件 
3月14日至4月6日「中大捐血運動2018」詳情：goo.gl/59JWX5
Preparation before blood donation: 
- Have sufficient sleep the night before 
- Consume food within 4 hours before donation 
- Drink sufficient water 
- Do not wear clothing with tight sleeves 
- HKID Card or valid travel document is required
CUHK Blood Donation Campaign 2018 (14 Mar to 6 Apr) details: goo.gl/sbAxKu</t>
  </si>
  <si>
    <t>Green Graduation Photo Book 綠色畢業相大全</t>
  </si>
  <si>
    <t>請登陸中大視野觀看更多精彩短片  
Please watch more videos from CUTV
http://www.cpr.cuhk.edu.hk/cutv/index
1. Upcycle your old doll and transform it into a new graduation doll. 
2. Make your own vegetable bouquet, which can become your nutrients.
3. Let different greens on campus be the background of your creative photos.
4. Graduation dolls and flower bouquets can be recycled, passing down your green spirit.
1. 為自家公仔穿袍戴帽，陪你畢業！
2. 自製菜束可化成營養，不致浪費！
3. 校園到處不同的綠，打卡更有新意。
4. 公仔和花束都可以回收，傳承環保精神。</t>
  </si>
  <si>
    <t>['CUHK', '中大', '香港中文大學', 'The Chinese University of Hong Kong', 'Green', 'photo day', 'graduates', 'recycle', 'upcycle']</t>
  </si>
  <si>
    <t>Fai Chun Writing to Celebrate Chinese New Year  狗年揮春迎新歲</t>
  </si>
  <si>
    <t>請登陸中大視野觀看更多精彩短片 
Please watch more videos from CUTV
http://www.cpr.cuhk.edu.hk/cutv/index   
如果自己寫揮春，你會寫什麼？ 中大師生校友於中大文物館齊齊寫揮春，表達新年願望！校長段崇智教授也送上恭賀說話，與大家一齊迎春接福。 
What are your wishes for the Year of the Dog? Here's what our students, staff and Prof. Rocky Tuan, CUHK Vice-Chancellor are wishing for the Lunar New Year.</t>
  </si>
  <si>
    <t>['CUHK', '中大', 'video', 'faichun', 'The Chinese University of Hong Kong', '香港中文大學']</t>
  </si>
  <si>
    <t>CUHK I·CARE Programme 香港中文大學博群計劃</t>
  </si>
  <si>
    <t>請登陸中大視野觀看更多精彩短片 
Please watch more videos from CUTV
http://www.cpr.cuhk.edu.hk/cutv/index   
Established in 2011, the I·CARE Programme's motto is "Aspiration through Reflection; Renewal through Civility". With a framework using five initials "I, C, A, R, E", representing different values, the Programme aims to nurture students to be moral and intellectual persons with introspection, ability and compassion to serve the community and care about the world. 
I - Integrity and Moral Development 
C - Creativity and Intellectual Development
A - Appreciation of Life and Aesthetics Development
R - Relationships and Social Development 
E - Energy and Wellness
I·CARE Programme website: http://www4.cuhk.edu.hk/icare/
博群計劃（I·CARE Programme）於 2011 年成立，以「博思明志，群育新民」為宗旨，目的是循着I、C、A、R、E五個英文字母所代表的不同範疇，去培養同學成爲德智兼備的公民，具備內省的能力且有外顧的抱負，懂得推己及人，服務社群及關心世界。   
I - 人格與德育 (Integrity and Moral Development) 
C - 創意與知性 (Creativity and Intellectual Development) 
A - 生活藝術與美學 (Appreciation of Life and Aesthetics Development) 
R -人際關係與群育 (Relationships and Social Development) 
E - 活力與身心健康 (Energy and Wellness)
博群計劃網頁：http://www4.cuhk.edu.hk/icare/</t>
  </si>
  <si>
    <t>['CUHK', '中大', 'video', 'I·CARE Programme', '博群計劃', '香港中文大學', 'The Chinese University of Hong Kong']</t>
  </si>
  <si>
    <t>請登陸中大視野觀看更多精彩短片 
Please watch more videos from CUTV 
http://www.cpr.cuhk.edu.hk/cutv/index   
A Chinese medicine course in English is now available at Coursera. Developed by the Faculty of Medicine, the online course aims to promote basic knowledge of traditional Chinese medicine, which is tailored to the needs of English speakers around the world. 
About the course: https://www.coursera.org/learn/everyday-chinese-medicine 
中大於網上大型學習課程平台Coursera設立首個英語中醫課程。
關於課程：https://www.coursera.org/learn/everyday-chinese-medicine</t>
  </si>
  <si>
    <t>['CUHK', '中大', 'video', 'chinese medicine']</t>
  </si>
  <si>
    <t>Master's Degree (2016-2017) Graduation Ceremony  二零一六至二零一七年度碩士學位課程畢業典禮</t>
  </si>
  <si>
    <t>請登陸中大視野觀看更多精彩短片
Please watch more videos from CUTV 
http://www.cpr.cuhk.edu.hk/cutv/index  
On 17 and 18 November, CUHK held Master's Degree Graduation Ceremony.
11月17及18日，中大舉辦碩士學位課程畢業典禮。</t>
  </si>
  <si>
    <t>CUHK Marathon Team 2018  香港中文大學馬拉松隊 2018</t>
  </si>
  <si>
    <t>請登陸中大視野觀看更多精彩短片
Please watch more videos from CUTV 
http://www.cpr.cuhk.edu.hk/cutv/index 
Let's relive the spectacular Hong Kong Marathon when CUHKers burst with vigour and enthusiasm!  
鬥志與熱誠爆發啦！一起重溫1月21日的渣馬盛況啦！
Photo album/相片集：
http://www.cpr.cuhk.edu.hk/marathon/photo-and-video?year=2018</t>
  </si>
  <si>
    <t>Special Trainings on Strength for Running 增強跑力特訓</t>
  </si>
  <si>
    <t>請登陸中大視野觀看更多精彩短片
Please watch more videos from CUTV
http://www.cpr.cuhk.edu.hk/cutv/index
Standard Chartered Hong Kong Marathon will begin in two weeks! Are you ready? 
CUHK lecturers Lee Chi Wo Daniel, Chi Ngan Chow Alison and Chan Chi Ming help you run faster by offering professional advice on staircase running, slope running and resistance running.
還有兩個星期就到渣馬比賽啦。中大跑神李致和，今次聯同另外兩位中大跑神周子雁、陳志明教大家階梯跑、坡道跑、阻力跑，助中大人跑得更快。</t>
  </si>
  <si>
    <t>第八十四屆大會（頒授學位典禮）(精華版)</t>
  </si>
  <si>
    <t>完整版/Full version: http://www.cpr.cuhk.edu.hk/cutv/detail/921
請登陸中大視野觀看更多精彩短片
Please watch more videos from CUTV
http://www.cpr.cuhk.edu.hk/cutv/index
CUHK held its 84th Congregation for the Conferment of Degrees on 30 November. Dr. Norman N.P. Leung, Chairman of the Council of CUHK, presided at the Congregation. Five distinguished persons were conferred honorary degrees in recognition of their outstanding contributions to their respective areas of achievement in cultural and educational progress, scientific research and the promotion of community welfare. They are: Dr. Chan Shuk-leung (alias PAK Suet-sin), Professor Arieh Warshel, Dr. Zhou Jianping, Mr. Chien Lee and Mrs. Lee Yick Hoi-lun Helen. 
中大11月30日舉行第八十四屆大會（頒授學位典禮），典禮由中大校董會主席梁乃鵬博士主持。五位傑出人士獲頒授榮譽博士學位，以表揚他們對促進文化藝術、科研發展、教育及增進人民福祉的傑出貢獻。分別為：陳淑良博士、Arieh WARSHEL教授、周建平博士、利乾先生及利易海倫女士。</t>
  </si>
  <si>
    <t>Get Trained for SC Marathon  備戰渣馬：跑神教路</t>
  </si>
  <si>
    <t>請登陸中大視野觀看更多精彩短片
Please watch more videos from CUTV
http://www.cpr.cuhk.edu.hk/cutv/index
To prepare for 2018 Standard Chartered Hong Kong Marathon, don’t miss the chance to learn from Lee Chi Wo Daniel, a leading runner in HK and CUHK. Build up your muscle, improve your balance and stability. GET READY FOR THE RACE! 
中大跑神李致和教路，幫各位中大馬拉松跑手迎戰2018渣馬比賽！今日先做肌力訓練，提升不同肌肉的力量、平衡與穩定性。</t>
  </si>
  <si>
    <t>83rd Congregation for the Conferment of Degrees 第八十三屆大會(頒授學位典禮)</t>
  </si>
  <si>
    <t>完整版/Full version: http://www.cpr.cuhk.edu.hk/cutv/detail/919
請登陸中大視野觀看更多精彩短片
Please watch more videos from CUTV
http://www.cpr.cuhk.edu.hk/cutv/index
CUHK held its 83rd Congregation for the Conferment of Degrees on16 November. Dr. Norman N.P. Leung, Chairman of the University Council, conferred first and master’s degrees at the Congregation. Prof. Joseph J.Y. Sung, Vice-Chancellor and President of CUHK, officiated at the Inauguration of the Choh-Ming Li Professorships and presented awards to outstanding teachers and researchers in recognition of their achievements. 
中大於11月16日舉行第八十三屆大會（頒授學位典禮），由大學校董會主席梁乃鵬博士主禮並頒授各科學士及碩士學位，並由校長沈祖堯教授主持卓敏教授席就職典禮，以及頒發傑出教學及研究獎予27名優秀的教研人員，嘉許他們的卓越成就。</t>
  </si>
  <si>
    <t>請登陸中大視野觀看更多精彩短片
Please watch more videos from CUTV
http://www.cpr.cuhk.edu.hk/cutv/index
The ‘School Bus Challenge’ was newly launched in the Alumni Homecoming Day this year. As many alumni as possible were invited to get onto what was colloquially known as the ‘hot dog’ bus, a classic CUHK school bus. Each participant who successfully got in the bus was sponsored with a donation of HK$500 by three generous alumni donors, in support of the CUHK Alumni Torch Fund. The challenge was divided into male and female groups. Ultimately a total of about 170 alumni and friends successfully squeezed onto the school bus in two rounds of challenges. And the alumni donors have generously raised the donation amount up to HK$150,000.
今年校友日首辦「迫巴士大挑戰活動」，邀請校友登上懷舊「熱狗」校巴，重溫中大人「迫校巴」的回憶。三位校友捐款人贊助成功登上校巴的參加者每人港幣500元，以支持「中大校友傳承基金」。挑戰分男、女子組進行，兩輪挑戰合共有約170人成功擠上校巴，獲校友捐款人合共捐出港幣15萬元。</t>
  </si>
  <si>
    <t>University Education Award 2017 二零一七年博文教學獎</t>
  </si>
  <si>
    <t>請登陸中大視野觀看更多精彩短片
Please watch more videos from CUTV
http://www.cpr.cuhk.edu.hk/cutv/index
The Chinese University of Hong Kong held its 83rd Congregation for the Conferment of Degrees on 16 November 2017. Awardees of the University Education Award this year, including Prof. Chan Ying-yang Emily, JC School of Public Health and Primary Care, Faculty of Medicine; Prof. So Ho-wai Suzanne, Department of Psychology, Faculty of Social Science; and Prof. Lee Ho-man Jimmy, Department of Computer Science and Engineering, Faculty of Engineering were invited to talk about their ideas on enhancing the student learning experience in the video.
2017年11月16日，中大舉行第八十三屆大會(頒授學位典禮)。大會邀請到博文教學獎得獎者，包括醫學院賽馬會公共衞生及基層醫療學院陳英凝教授、社會科學院心理學系蘇可蔚教授，以及工程學院計算機科學與工程學系李浩文教授，拍攝短片分享推動優質教學的心得。</t>
  </si>
  <si>
    <t>['The Chinese University of Hong Kong', '香港中文大學', 'Education Award', '教學獎', 'Public health', 'Psychology', 'Computer Science', 'Engineering', 'good teachers', '好老師', '心理學', '公共衞生', '救災', '計算機科學', '工程']</t>
  </si>
  <si>
    <t>Sharing by Graduates of 2017 二零一七年畢業生感言</t>
  </si>
  <si>
    <t>請登陸中大視野觀看更多精彩短片
Please watch more videos from CUTV
http://www.cpr.cuhk.edu.hk/cutv/index
The Chinese University of Hong Kong held its 83rd Congregation for the Conferment of Degrees on 16 November 2017. Let's hear the sharing by fresh graduates through the video.
2017年11月16日，香港中文大學舉行第八十三屆大會（頒授學位典禮），讓我們一齊聆聽應屆畢業生的畢業感言。</t>
  </si>
  <si>
    <t>['Congregation', 'Graduation', 'Graduates', 'The Chinese University of Hong Kong', '香港中文大學', '畢業典禮', '畢業生', '畢業']</t>
  </si>
  <si>
    <t>University Mall Turns Into a Golden Path in 1 Minute 百萬大道一分鐘變身</t>
  </si>
  <si>
    <t>請登陸中大視野觀看更多精彩短片 
Please watch more videos from CUTV
http://www.cpr.cuhk.edu.hk/cutv/index  
The University Mall is ready to welcome all fresh graduates for the upcoming graduation ceremony on 16 November. Graduates of 2017, are you ready for your big day?
搭架、起蓬、上漆、搬凳、擺花……轉眼間，百萬大道已經預備好迎接11月16日的畢業典禮。各位2017畢業生，你們準備好了嗎？</t>
  </si>
  <si>
    <t>CUHK 10K Night Challenge 中大10公里夜跑</t>
  </si>
  <si>
    <t>請登陸中大視野觀看更多精彩短片 
Please watch more videos from CUTV
http://www.cpr.cuhk.edu.hk/cutv/index  
Come and join the CUHK 10km Night Challenge on Nov 8 by CUHK Physical Education Unit. Register now: http://www.cuhk.edu.hk/peu/10Krun/
11月8日，中大體育部邀大家一齊參與10公里夜跑。立即報名：http://www.cuhk.edu.hk/peu/10Krun/</t>
  </si>
  <si>
    <t>['CUHK', '中大', 'video', 'jogging', 'The Chinese University of Hong Kong']</t>
  </si>
  <si>
    <t>CUHK Team Cheers on the Announcement of 2017 Physics Nobel Laureates 中大重力波團隊慶祝諾貝爾物理學獎公佈一刻</t>
  </si>
  <si>
    <t>請登陸中大視野觀看更多精彩短片 
Please watch more videos from CUTV
http://www.cpr.cuhk.edu.hk/cutv/index  
Kudos to American Scientists Rainer Weiss, Barry C. Barish and Kip S. Thorne for winning this year’s Nobel Prize in Physics for LIGO’s successful detection of gravitational waves! Being the only team from a HK institute involved in the detection work, Prof. Tjonnie G. F. LI of the Department of Physics at CUHK and the researchers he has been leading celebrate the good news together!
恭喜3位美國科學家Rainer Weiss、Barry C. Barish和Kip S. Thorne憑LIGO的重力波探測成果，奪得2017諾貝爾物理學獎！作為唯一參與研究的香港院校團隊，中大物理系黎冠峰教授與隊友一起等待結果公佈，知道LIGO獲獎的一刻，歡呼鼓掌！</t>
  </si>
  <si>
    <t>Girl Reading Braille with Lips Dream Comes True 唇讀少女夢想成真</t>
  </si>
  <si>
    <t>請登陸中大視野觀看更多精彩短片 
Please watch more videos from CUTV
http://www.cpr.cuhk.edu.hk/cutv/index  
Blindness, hearing loss and weak physical sensitivity did not impede Tsang Tsz-kwan's determination in chasing her dreams. Let's hear her story. 
雙眼失明、雙耳弱聽、觸覺微弱，多重身體殘障並沒有阻礙曾芷君追求夢想的腳步。讓我們一起聆聽她的逐夢心聲。</t>
  </si>
  <si>
    <t>['CUHK', '中大', 'video', 'tsang tsz-kwan', '曾芷君', '唇讀']</t>
  </si>
  <si>
    <t>請登陸中大視野觀看更多精彩短片 
Please watch more videos from CUTV
http://www.cpr.cuhk.edu.hk/cutv/index  
Many carbon-reduction behaviors produce health co-benefits. CCOUC of CUHK analyzed the practice of environmental friendly behaviours in Hong Kong, and encouraged more people to take action of these behaviors and lifestyle.</t>
  </si>
  <si>
    <t>['CUHK', '中大', 'video', 'climate change', 'The Chinese University of Hong Kong']</t>
  </si>
  <si>
    <t>請登陸中大視野觀看更多精彩短片 
Please watch more videos from CUTV
http://www.cpr.cuhk.edu.hk/cutv/index  
Extreme temperature events pose health impacts with varying degree of severity. Focusing on the cases of requesting assistance in the community, CCOUC of CUHK studied mild discomfort and symptoms due to extreme temperatures, and hopefully could contribute to establishing a more comprehensive weather warning system.</t>
  </si>
  <si>
    <t>請登陸中大視野觀看更多精彩短片 
Please watch more videos from CUTV
http://www.cpr.cuhk.edu.hk/cutv/index  
CCOUC of CUHK found that some diseases have much association with extreme weather events. These included asthma, Hand, Foot and Mouth Disease, stroke, acute myocardial infarction and heart failure. Medical personnel and other public service units should pay more attention and provide timely and adequate information for high risk groups.</t>
  </si>
  <si>
    <t>請登陸中大視野觀看更多精彩短片 
Please watch more videos from CUTV
http://www.cpr.cuhk.edu.hk/cutv/index  
In Hong Kong, a number of districts face the Urban Heat Island effect, in particular Wan Chai, Yau Tsim Mong and Tsueng Kwan O. The results from CCOUC's study suggested that Urban Heat Island effect exacerbate the negative health consequence of high temperature and low wind speeds.</t>
  </si>
  <si>
    <t>請登陸中大視野觀看更多精彩短片 
Please watch more videos from CUTV
http://www.cpr.cuhk.edu.hk/cutv/index  
With climate change, temperature in Hong Kong is becoming more extreme and its seasonal climate alters. CCOUC of CUHK analyzed the mortality under both hot and cold seasons in Hong Kong. The related vulnerable groups should be more alert.</t>
  </si>
  <si>
    <t>熱到爆凍到震健康系列：健康協同效益篇</t>
  </si>
  <si>
    <t>請登陸中大視野觀看更多精彩短片 
Please watch more videos from CUTV
http://www.cpr.cuhk.edu.hk/cutv/index  
減低碳排放的減緩氣候變化行為，可產生健康協同效益，香港中文大學CCOUC災害與人道救援研究所分析了香港市民日常的環保習慣，鼓勵更多人實踐這些行為及生活方式。</t>
  </si>
  <si>
    <t>熱到爆凍到震健康系列：求助篇</t>
  </si>
  <si>
    <t>請登陸中大視野觀看更多精彩短片 
Please watch more videos from CUTV
http://www.cpr.cuhk.edu.hk/cutv/index  
極端氣溫對健康有不同程度的影響，香港中文大學CCOUC災害與人道救援研究所針對社區的求助個案的資料，分析了因極端氣溫引起的不適及輕微症狀，期望協助政府制定一個更加完善的天氣警告系統。</t>
  </si>
  <si>
    <t>熱到爆凍到震健康系列：入院篇</t>
  </si>
  <si>
    <t>請登陸中大視野觀看更多精彩短片 
Please watch more videos from CUTV
http://www.cpr.cuhk.edu.hk/cutv/index  
香港中文大學CCOUC災害與人道救援研究所發現，一些疾病與極端天氣有莫大關聯，包括哮喘、手足口病、中風、急性心肌梗塞和心臟衰竭。醫療和相關服務單位需要多加留意和考慮為高危人士提供資訊及支援！</t>
  </si>
  <si>
    <t>熱到爆凍到震健康系列：熱島效應篇</t>
  </si>
  <si>
    <t>請登陸中大視野觀看更多精彩短片 
Please watch more videos from CUTV
http://www.cpr.cuhk.edu.hk/cutv/index  
香港多個地區都有出現熱島效應，其中灣仔、油尖旺和將軍澳都屬於較嚴重的地區。香港中文大學CCOUC災害與人道救援研究所的研究顯示，熱島效應會加劇高溫天氣和低風速對健康的不良影響。</t>
  </si>
  <si>
    <t>熱到爆凍到震健康系列: 死亡篇</t>
  </si>
  <si>
    <t>請登陸中大視野觀看更多精彩短片 
Please watch more videos from CUTV
http://www.cpr.cuhk.edu.hk/cutv/index  
氣候變化令氣溫變得極端，四季天氣反常。香港中文大學CCOUC災害與人道救援研究所分析了炎熱與寒冷季節下，香港死亡人數的變化，提醒高危群體提高警惕。</t>
  </si>
  <si>
    <t>請登陸中大視野觀看更多精彩短片 
Please watch more videos from CUTV
http://www.cpr.cuhk.edu.hk/cutv/index  
As a leading comprehensive research university in Hong Kong, The Chinese University of Hong Kong offers quality teaching and research through its 8 faculties and a Graduate School. As the only university to offer college experience in Hong Kong, CUHK also emphasises general education and the all-round development of the students.</t>
  </si>
  <si>
    <t>The liveliness and loneliness of Korean at Mid-Autumn Festival 韓國中秋佳節下的熱鬧與寂寞</t>
  </si>
  <si>
    <t>請登陸中大視野觀看更多精彩短片
Please watch more videos from CUTV
http://www.cpr.cuhk.edu.hk/cutv/index
Korean pop culture is appealing to a lot of audiences. However, the glamorous TV episodes are not equivalent to the everyday lives of Korean people – they have also experienced loneliness. Steve Chung, assistant lecturer of Global Studies of CUHK, will tell the story of loneliness and Mid-Autumn Festival among Korean people.
For full article, please check Steve Chung’s Facebook page: http://bit.ly/2wInnaa
To solve loneliness, we can start caring about our friends and families. This is the third year since the debut of CUHK Mooncake for Charity. For each box sold, the CUHK‧Care service team will deliver a free mooncake to the elderly living alone in Shatin or Taipo before Mid-Autumn Festival.
Action now: http://www.cpr.cuhk.edu.hk/mooncake
五光十色的韓流底下，夢幻的韓劇不等於韓國人的真實生活，他們同樣有著你我都體驗過的寂寞。中大全球研究課程助理講師鍾樂偉以聲音導航，講解韓國人的中秋與孤獨。
閲讀全文：http://bit.ly/2wInnaa
要解決人與人之間的寂寞，先從關懷身邊人開始。今年是中大第三年推出「中大愛心月餅」，是印有「中大CUHK」字樣的低糖雙黃白蓮蓉月餅，大家每買一盒與親友分享，中大 • 關懷服務團便會於中秋節前，為沙田/大埔獨居長者免費送上中大月餅一個。
立即訂購︰http://www.cpr.cuhk.edu.hk/mooncake/zh/</t>
  </si>
  <si>
    <t>Kelvin Ng: What doesn't kill you makes you stronger 吳翹充: 傷後更強</t>
  </si>
  <si>
    <t>請登陸中大視野觀看更多精彩短片
Please watch more videos from CUTV
http://www.cpr.cuhk.edu.hk/cutv/index
"What doesn't kill you makes you stronger" 
As a gymnast and a CUHK student, Kelvin Ng grew stronger out of his injuries. Now, he and another nine CUHK student athletes will participate in this year's Summer Universiade in Taipei.
兼顧訓練與學業的中大運動醫學碩士生吳翹充經歷傷患的磨煉，身心都更加堅強。這位香港「吊環王子」將與另外九位中大運動員參與2017臺北世界大學運動會。</t>
  </si>
  <si>
    <t>CUHK Water Sports Centre 中大水上活動中心</t>
  </si>
  <si>
    <t>請登陸中大視野觀看更多精彩短片
Please watch more videos from CUTV
http://www.cpr.cuhk.edu.hk/cutv/index
Canoeing, sailing, wind surfing… exciting water sports cool down the summer heat. CUHK Water Sports Centre not only offers its students, staff and alumni rental and storage services for sports gear, but also training courses for inexperienced newcomers. Tailor-made training courses for groups are also available upon request and by prior reservation.  
Details: https://www.peu.cuhk.edu.hk/en-gb/facilities/water-sports-centre/wsc-info/wsc-opening-hour
獨木舟、帆船、滑浪風帆等水上活動是炎炎夏日的消暑良方。中大水上活動中心不但為師生、校友提供滑浪風帆、獨木舟等器材的租借及儲存服務，更定期舉辦訓練課程，中大人也可自己組隊，向中心申請度身設計的團體訓練課程。
詳情: https://www.peu.cuhk.edu.hk/zh-tw/facilities/water-sports-centre/wsc-info/wsc-opening-hour</t>
  </si>
  <si>
    <t>Joseph Sung Talks on Loneliness 沈祖堯談寂寞</t>
  </si>
  <si>
    <t>請登陸中大視野觀看更多精彩短片
Please watch more videos from CUTV
http://www.cpr.cuhk.edu.hk/cutv/index
A reunion with loved ones at Mid-Autumn Festival could be beyond some people’s dreams.
Into the third year of CUHK Mooncake for Charity, Professor Sung and Ms Akina Fong joined in the production of mooncakes, and Prof Sung is going to share his views on loneliness.
"CUHK Mooncake for Charity" has been launched for a third year. For each box sold, the CUHK‧Care service team will deliver a free mooncake to the elderly in Shatin or Taipo. Order now!
http://www.cpr.cuhk.edu.hk/mooncake
每逢中秋節，總會聽到「人月兩團圓」這句祝福語，這從側面說明了，很多人在這個節日裏，或許本就難以團圓而滿足，反倒是在孤單寂寞中度過。
香港城市居所密集，住得這麼近，人卻那麼遠。中大在第三年推出「愛心月餅」，為獨居長者送暖賀中秋的同時，亦邀請了沈校長和方健儀參與製作，更分享了校長對於寂寞的一些看法。
#沈祖堯談寂寞#月圓容易團圓難
這是我們第三年推出「中大愛心月餅」，是印有「中大CUHK」字樣的低糖雙黃白蓮蓉月餅，每售出一盒，中大 • 關懷服務團便會於中秋節前，為沙田/大埔獨居長者送上一個中大月餅。
立即訂購︰http://www.cpr.cuhk.edu.hk/mooncake</t>
  </si>
  <si>
    <t>Research Project: Ancient Chinese Gold Techniques 中國古代黃金工藝研究</t>
  </si>
  <si>
    <t>請登陸中大視野觀看更多精彩短片
Please watch more videos from CUTV
http://www.cpr.cuhk.edu.hk/cutv/index
Among all kinds of ancient Chinese craftsmanship, goldworking techniques are less well-known. The research project "Ancient Chinese Gold Techniques" is a collaborative effort of Art Museum of the Chinese University of Hong Kong, Shaanxi Institute for Preservation of Cultural Heritage, the Conservation Office of the Leisure and Cultural Services Department of Hong Kong, and the Master Studio of Chow Tai Fook, for the first time to use interdisciplinary research methods to reconstruct several major ancient goldsmithing techniques and the history of the development.
在中國古代形形色色的傳統工藝中，黃金工藝是令人較感到陌生的一門。一方面史籍甚少記載，另一方面又容易因金匠們的口耳相傳而訛誤，失去歷史的原貌。「中國古代黃金工藝研究」專案是香港中文大學文物館、陝西省文物保護研究院、康文署文物修復辦事處及周大福大師工作室於2014年開始合作研究的一個項目，首次以跨學科的方法復原古代工藝，並釐清工藝發展的歷史脈絡。</t>
  </si>
  <si>
    <t>Entrepreneurship: The Boss' Secret 創業 ─ 老闆的秘密</t>
  </si>
  <si>
    <t>請登陸中大視野觀看更多精彩短片
Please watch more videos from CUTV
http://www.cpr.cuhk.edu.hk/cutv/index
Starting a business is not only about enjoying the prestige of being a boss, but also bearing the hardships. Two alumni, Xu Zinan and Kenneth Chow, who are the Champion and the 2nd Runner Up in the 2017 CUHK Entrepreneurship Competition, reveal to us the challenges to them as a boss, through the video.
創業做老闆，看似很威風，其實過程中的辛酸又有誰知道？中大校友徐子南以及周昌明在第一屆中大創業擂台分別贏得冠軍及季軍，並獲得兩位投資者即場簽署合作備忘錄。創業過程中他們遇到什麼挑戰？</t>
  </si>
  <si>
    <t>Entrepreneurship: Durian to start with 創業 ─ 從榴槤開始</t>
  </si>
  <si>
    <t>請登陸中大視野觀看更多精彩短片
Please watch more videos from CUTV
http://www.cpr.cuhk.edu.hk/cutv/index
Durian Coffee, Durian Milk Tea and Durian Egg Rolls are products from "Durian BB", 1st Runner Up of the 2017 CUHK Entrepreneurship Competition. Let's hear how alumnus KK Yuen develops his own brand based on durian.
榴槤咖啡、榴槤奶茶、榴槤蛋卷等都是「榴槤BB」的產品。中大校友袁家駒憑著對榴槤的熱愛，在第一屆中大創業擂台贏得亞軍，並獲得兩位投資者即場簽署合作備忘錄。他的創業心得是甚麼?</t>
  </si>
  <si>
    <t>Our Hands Speak 妙手可言</t>
  </si>
  <si>
    <t>請登陸中大視野觀看更多精彩短片
Please watch more videos from CUTV
http://www.cpr.cuhk.edu.hk/cutv/index
Professor Catherine So Wing-chee from the Department of Educational Psychology and her research team have been using social robots to help autistic children to integrate into society. She is nominated for the "Spirit of Hong Kong Awards" organised by SCMP this year. Let's vote and support her team in breaking down the barrier and helping the development of autistic children.
Online Voting: http://spiritofhk.scmp.com/vote
教育心理學系副教授蘇詠芝藉着社交機械人幫助自閉症兒童融入社會，令她今年被提名入南華早報舉辦的「香港精神獎」。希望大家於7月30日前投她一票，支持她的團隊繼續為自閉症兒童打破溝通隔膜。
網上投票：http://spiritofhk.scmp.com/zh-hant/vote</t>
  </si>
  <si>
    <t>The Myth of Calculus 微積分的神話</t>
  </si>
  <si>
    <t>請登陸中大視野觀看更多精彩短片
Please watch more videos from CUTV
http://www.cpr.cuhk.edu.hk/cutv/index
The game uses the CUHK campus as background and Dr. Chan hopes that the game can strengthen the motivation of students to learn mathematics. 
Game Beta version: https://goo.gl/akqMiW
遊戲由中大數學系講師陳啟良博士設計，過關必須回答微積分題，數學稍弱都不是對手。
自信的你，可以試玩測試版：https://goo.gl/akqMiW</t>
  </si>
  <si>
    <t>Golden Techniques: Art of the Chinese Goldsmiths 鑠古鑄今：中國古代黃金工藝與傳承</t>
  </si>
  <si>
    <t>請登陸中大視野觀看更多精彩短片
Please watch more videos from CUTV
http://www.cpr.cuhk.edu.hk/cutv/index
Golden Techniques: Art of the Chinese Goldsmiths features over 40 pieces (sets) of carefully-selected ancient Chinese gold and silver wares from private collections as well as the collection of Art Museum, and samples from reconstruction experiments as well as traditional goldsmith's tools, both from the Master Studio of Chow Tai Fook. The exhibition will bring the cutting-edge findings of ancient Chinese techniques used to make gold and silver objects.
「鑠古鑄今：中國古代黃金工藝與傳承」展出文物館館藏及私人收藏家借出的40餘件（套）中國古代金銀器、周大福大師工作室的復原實驗樣品及傳統金匠工具。透過具有代表性的古代文物、科學檢測結果以及還原實驗樣品等，將最前沿的黃金工藝學術研究成果呈現給觀眾。</t>
  </si>
  <si>
    <t>Taste @ CUHK  嚐．在中大</t>
  </si>
  <si>
    <t>請登陸中大視野觀看更多精彩短片
Please watch more videos from CUTV
http://www.cpr.cuhk.edu.hk/cutv/index
CUHK has more than 30 restaurants with many signature dishes and delicacies. Try them out for yourself on campus!
上海菜？拉花咖啡？檸檬批？中大校園有超過30間食肆，各式美食包羅萬有，何不相約師生校友來一起細味中大？</t>
  </si>
  <si>
    <t>History of Gold: Masterpiece from Shaanxi 錯彩鏤金：陝西珍藏中國古代金銀器</t>
  </si>
  <si>
    <t>請登陸中大視野觀看更多精彩短片
Please watch more videos from CUTV
http://www.cpr.cuhk.edu.hk/cutv/index
Gold has long been considered the most desirable of precious metals with time-tested tradition. However, the ancient Chinese goldworking techniques are less well-known. Shaanxi is internationally famous for her massive and important findings of gold and silver. The exhibition features 60 pieces (sets) of carefully-selected ancient Chinese gold and silver works from 22 institutions of Shaanxi province, dating from 1000BC to 19th century. Exhibition period is : 2017.6.24 – 9.24 at Art Museum. Through illustrating the development of goldworking techniques in ancient China, the exhibition will reveal the historical and cultural significances behind.
黃金，自古以來便是十分珍貴的材質，其工藝古老，是最早被古人認識並加以開發利用的金屬之一。可惜由於這種技藝在史籍中甚少記載，只是通過師徒間口耳相傳來流傳，難免令這門工藝失去歷史的原貌。陝西素以出土大量的重要金銀器聞名，文物館將於2017年6月24日至9月24日展出來自陝西省內22間文博機構共60件（套）展品，從晚商至清代，以歷史為主軸，為你揭開中國古代黃金工藝的神秘面紗……</t>
  </si>
  <si>
    <t>Swifts Go Home 燕子．愛回家</t>
  </si>
  <si>
    <t>請登陸中大視野觀看更多精彩短片
Please watch more videos from CUTV
http://www.cpr.cuhk.edu.hk/cutv/index
In 2009, due to the expansion work on the Main Library, the University installed 25 artificial nest boxes in the eaves of the southern facade of the library as a measure to help the house swifts affected to relocate their nests. The University Library is still home to the largest house swift colony in Hong Kong.
中大數年前在圖書館北面加建新翼大樓，為了協助受擴建工程影響的小白腰雨燕遷新居，大學在南面簷口安裝了二十五個人工鳥巢。之後，亦花不少心思於選料及做玻璃幕牆測試以防鳥撞，現在中大依舊是全港最大的雨燕聚居點。</t>
  </si>
  <si>
    <t>Sixteenth Honorary Fellowship Conferment Ceremony 第十六屆榮譽院士頒授典禮</t>
  </si>
  <si>
    <t>請登陸中大視野觀看更多精彩短片
Please watch more videos from CUTV
http://www.cpr.cuhk.edu.hk/cutv/index
The Chinese University of Hong Kong held its Sixteenth Honorary Fellowship Conferment Ceremony on 22 May. Six distinguished persons had conferred upon them honorary fellowships in recognition of their remarkable contributions to the University and the community.
香港中文大學於五月二十二日在校園舉行第十六屆榮譽院士頒授典禮，頒授榮譽院士銜予六位傑出人士，表揚他們對大學及社會的卓越貢獻。</t>
  </si>
  <si>
    <t>Cheers for CUHK Dragon Boat Teams 中大龍舟賀端午</t>
  </si>
  <si>
    <t>請登陸中大視野觀看更多精彩短片
Please watch more videos from CUTV
http://www.cpr.cuhk.edu.hk/cutv/index
CUHK Dragon Boat Teams will join the races at Aberdeen and Central to celebrate the Dragon Boat Festival in 2017. Let's join the crowd and cheer them on!
中大龍將參與2017年赤柱及中環的龍舟比賽，共賀端午佳節。大家食糉之餘，請為中大隊加油！</t>
  </si>
  <si>
    <t>Experience Sharing by Recipients of Positive Workplace Service Award(2016/17) 正向員工服務獎(2016/17)得獎者感受</t>
  </si>
  <si>
    <t>請登陸中大視野觀看更多精彩短片
Please watch more videos from CUTV
http://www.cpr.cuhk.edu.hk/cutv/index
Positive Workplace and Staff Development is an initiative of the University to promote learning and development, as well as positive communication, professional relationship and mutual trust in the workplace. Let’s hear the stories from the awardees of the Positive Workplace Service Award on how they build up a positive workplace culture in the university.
正向員工服務獎主力倡議及促進員工學習與發展，以及在工作間建立正向溝通和專業互信。讓我們透過短片，聽一聽第一屆正向員工服務獎的得主如何於工作間發揮出正能量，感染身邊的人。</t>
  </si>
  <si>
    <t>gearSPORTSup 施我裝備 運動傳承</t>
  </si>
  <si>
    <t>請登陸中大視野觀看更多精彩短片
Please watch more videos from CUTV
http://www.cpr.cuhk.edu.hk/cutv/index 
Running shoes, sportswear...teachers and student athletes from CUHK are packing the sports gear for a reason...
港隊選手、學生和老師，抬住一大堆紙皮箱，竟然係去……
http://sasp.spe.cuhk.edu.hk/chi/gearSportsUp.asp</t>
  </si>
  <si>
    <t>Love@CUHK 愛 • 在中大</t>
  </si>
  <si>
    <t>請登陸中大視野觀看更多精彩短片
Please watch more videos from CUTV
http://www.cpr.cuhk.edu.hk/cutv/index 
From 20 May to 15 July,2017, our student ambassadors will show you the fascinating views of the University through campus tours every Saturday. Alumni and organisations are welcome to register. 
http://www.cpr.cuhk.edu.hk/en/ambassadors_campus_tour.php
懷念未圓湖的陽光與草地？難忘在合一亭眺望吐露港？ 2017年5月20日至7月15日逢星期六，學生大使帶你暢遊校園，歡迎校友或團體報名參加。
http://www.cpr.cuhk.edu.hk/tc/ambassadors_campus_tour.php</t>
  </si>
  <si>
    <t>['CUHK', '中大', 'video', 'Campus Tour']</t>
  </si>
  <si>
    <t>Rex Tso: It's Okay to Talk about It 曹星如：開心唔開心都可以Share</t>
  </si>
  <si>
    <t>請登陸中大視野觀看更多精彩短片
Please watch more videos from CUTV
http://www.cpr.cuhk.edu.hk/cutv/index 
Named as Hong Kong's "Wonder Kid", how does Rex Tso, a professional boxer handle pressure? Let's hear his story.
Sunshine at CUHK: http://www.sunshine.cuhk.edu.hk/?lang=en
「爆胎如」也可以成爲「神奇小子」，不敗拳王曹星如試過被打得毫無還擊之力，面對無比壓力，他會怎麼辦？
中大有晴：http://www.sunshine.cuhk.edu.hk/?lang=zh_tw</t>
  </si>
  <si>
    <t>Minor Programme in Entrepreneurship and Innovation 創業創新副修課程</t>
  </si>
  <si>
    <t>請登陸中大視野觀看更多精彩短片
Please watch more videos from CUTV
http://www.cpr.cuhk.edu.hk/cutv/index 
CUHK is introducing a pioneering, university-wide Minor Programme in Entrepreneurship and Innovation (EPIN) in the 2017-18 academic year. The first of its kind in Hong Kong, EPIN is open to all undergraduate students from different faculties and departments. Details: http://www.cpr.cuhk.edu.hk/en/press_detail.php?1=1&amp;1=1&amp;id=2488
中大將於2017-18學年推出全港首個創業創新副修課程，校内任何學系的本科生均可報讀。
詳情：http://www.cpr.cuhk.edu.hk/tc/press_detail.php?1=1&amp;1=1&amp;id=2488</t>
  </si>
  <si>
    <t>Sammy Leung: Love Yourself 森美：好好愛錫自己</t>
  </si>
  <si>
    <t>請登陸中大視野觀看更多精彩短片
Please watch more videos from CUTV
http://www.cpr.cuhk.edu.hk/cutv/index 
Feeling down and depressed? "Happiness can only be found by yourself". Let's hear the story of alumnus Sammy Leung about his pursuit of happiness. 
Sunshine at CUHK: http://www.sunshine.cuhk.edu.hk/?lang=en
有壓力？感到迷惘？「快樂是自己尋找的」。一齊來聽聽校友森美尋找快樂的故事。
中大有晴：http://www.sunshine.cuhk.edu.hk/?lang=zh_tw</t>
  </si>
  <si>
    <t>Pak Suet Sin Celebrates 90th Birthday 白雪仙中大慶九十</t>
  </si>
  <si>
    <t>請登陸中大視野觀看更多精彩短片
Please watch more videos from CUTV
http://www.cpr.cuhk.edu.hk/cutv/index
On 27 March, the University celebrated the 90th birthday of Dr. Pak Suet Sin, the renowned Cantonese opera star, at the opening ceremony of ‘Unveiling the Splendor of the Flower Princess: An Exhibition from CUHK Library’s Yam Pak Collection in Honour of Dr. Pak Suet Sin’s 90 Years’.
Details of the exhibition: https://goo.gl/jFoOMx
3月27日，多位戲曲及藝術界名人親臨校園，參與「九十風華帝女花—香港中文大學圖書館任白珍藏展」開幕典禮，並為白雪仙博士慶祝九十大壽。
展覽詳情：https://goo.gl/DsZoQL</t>
  </si>
  <si>
    <t>Veg Bouquet Brings Fresh Taste to Graduates 靚菜變花束 畢業添滋味</t>
  </si>
  <si>
    <t>請登陸中大視野觀看更多精彩短片
Please watch more videos from CUTV
http://www.cpr.cuhk.edu.hk/cutv/index
Every year at this time, College Photo Day takes place when final year students wear their graduation gowns and take photos with their classmates, friends and families on campus. Besides the usual beautiful flower bouquets, students from the Agricultural Development Group are offering another choice as a gift to the graduates: a vegetable bouquet. 
Let’s see how our daily greens are turned into a colourful veg bouquet through the video.</t>
  </si>
  <si>
    <t>請登陸中大視野觀看更多精彩短片
Please watch more videos from CUTV
http://www.cpr.cuhk.edu.hk/cutv/index
The Chinese University of Hong Kong is a comprehensive research-led university in Hong Kong delivering high-quality education on both undergraduate and postgraduate levels and serving the community with its cutting-edge research capability.</t>
  </si>
  <si>
    <t>Infrared Photography Reveals an Invisible Campus 紅外線攝出夢幻校園</t>
  </si>
  <si>
    <t>請登陸中大視野觀看更多精彩短片
Please watch more videos from CUTV
http://www.cpr.cuhk.edu.hk/cutv/index
The picturesque campus of CUHK is always a hot destination for local photographers. Recently, Steven Wu, an alumnus of Chung Chi College, presented a surreal view of campus with infrared photography.
中大校園風景如畫，向來都是攝影一族的攝影勝地。最近一位中大崇基校友胡思遠則運用紅外線攝影的方法，將人眼無法看見的校園美景呈現出來。</t>
  </si>
  <si>
    <t>請登陸中大視野觀看更多精彩短片
Please watch more videos from CUTV
http://www.cpr.cuhk.edu.hk/cutv/index
A total of over 3,100 runners joined the CUHK Marathon Team this year, making CUHK the second largest group in the Marathon. Prof. Joseph Sung, CUHK Vice-Chancellor also joined the 10km session of the race, in the hope of encouraging more students to accept the challenge.
今年中大馬拉松隊人數再創新高，總共有3100多名隊員參與渣馬，是今屆渣馬第二多人參賽的隊伍。校長沈祖堯教授也加入其中，首次參與渣馬10公里賽。</t>
  </si>
  <si>
    <t>Music for CM Li and You ─ The Lantern Festival Concert 李氏知音 ─ 元宵音樂會</t>
  </si>
  <si>
    <t>完整版/Full version: http://www.cpr.cuhk.edu.hk/cutv/detail/813
請登陸中大視野觀看更多精彩短片
Please watch more videos from CUTV
http://www.cpr.cuhk.edu.hk/cutv/index
To celebrate the Lantern Festival, “Yat Po Singers”, Hong Kong’s first professional a cappella choral theatre group was invited to perform at the Institute of Chinese Studies (ICS). 
元宵臨近， 本港首個專業無伴奏合唱劇團「一舖清唱」，在中國文化研究所清唱演繹爵士風樂曲及民謠，技驚四座。</t>
  </si>
  <si>
    <t>VC Cheers for CUHK Marathon Team 校長為中大馬拉松隊打氣</t>
  </si>
  <si>
    <t>請登陸中大視野觀看更多精彩短片
Please watch more videos from CUTV
http://www.cpr.cuhk.edu.hk/cutv/index
Prof. Joseph Sung cheers for CUHK runners in the upcoming marathon race!
渣打香港馬拉松即將開跑，沈校長為大家送上打氣短片。中大加油！</t>
  </si>
  <si>
    <t>['CUHK', '中大', 'video', 'marathon', 'cheer']</t>
  </si>
  <si>
    <t>Marathon Experts Share Hot Tips for CUHK Runners 專家教你備戰馬拉松</t>
  </si>
  <si>
    <t>請登陸中大視野觀看更多精彩短片
Please watch more videos from CUTV
http://www.cpr.cuhk.edu.hk/cutv/index
On 12 February 2017, over 3,100 runners of the CUHK Marathon Team will join the Standard Chartered Hong Kong Marathon. Mr. Daniel Lee from the Department of Sports Science and Physical Education and Mr. Chan Chi Ming from the Physical Education Unit introduced more tips and tactics for runners. 
2017年2月12日，中大馬拉松隊將有超過3,100名跑手出戰渣打香港馬拉松。體育運動科學系講師李致和與中大體育部講師陳志明透過錄像為中大跑手分享實用貼士。</t>
  </si>
  <si>
    <t>['CUHK', '中大', 'video', 'marathon', 'tips']</t>
  </si>
  <si>
    <t>Heralds of Spring: Celebrating the Year of the Rooster 百鳥迎春：雞年賀歲展</t>
  </si>
  <si>
    <t>請登陸中大視野觀看更多精彩短片
Please watch more videos from CUTV
http://www.cpr.cuhk.edu.hk/cutv/index
To welcome the Lunar New Year, the Art Museum of CUHK presents the exhibition ‘Heralds of Spring: Celebrating the Year of the Rooster’ from 13 January to 5 March 2017. The works come from the collection of the CUHK Art Museum as well as local private collections on the theme of auspicious birds. Members of the public are welcome to visit the exhibition. Admission is free. 
為迎接雞年來臨，中大文物館於2017年1月13日至3月5日舉辦「百鳥迎春：雞年賀歲展」，展出以百鳥為主題的中大文物館館藏及本港私人藏家收藏品，歡迎公眾參觀，費用全免。</t>
  </si>
  <si>
    <t>Hear it from Experts: Manage Your Pace in Marathon  備戰馬拉松：專家教你配速管理</t>
  </si>
  <si>
    <t>請登陸中大視野觀看更多精彩短片
Please watch more videos from CUTV
http://www.cpr.cuhk.edu.hk/cutv/index
On 12 February 2017, over 3,100 runners of the CUHK Marathon Team will join the Standard Chartered Hong Kong Marathon. Miss Alison Chow from the Physical Education Unit believes pacing management is vital for endurance running.
2017年2月12日，中大馬拉松隊將有超過3,100名跑手出戰渣打香港馬拉松。體育部助理講師周子雁認爲配速管理對馬拉松跑手來説至關重要。</t>
  </si>
  <si>
    <t>['CUHK', '中大', 'video', 'marathon']</t>
  </si>
  <si>
    <t>Foundation Stone Laying Ceremony of the Jockey Club Postgraduate Halls 2 &amp; 3 賽馬會研究生宿舍（二座及三座）奠基典禮</t>
  </si>
  <si>
    <t>請登陸中大視野觀看更多精彩短片
Please watch more videos from CUTV
http://www.cpr.cuhk.edu.hk/cutv/index
The foundation stone laying ceremony for the Jockey Club Postgraduate Halls 2 &amp; 3 at The Chinese University of Hong Kong was held on 9 December. The two new hostels, expected to come into service in 2018, will enrich students’ learning experience and foster communication among students of diverse backgrounds. 
中大於12月9日舉行賽馬會研究生宿舍（二座及三座）奠基典禮。兩座新宿舍預計於2018年啟用，豐富學生的學習生活，並促進來自不同背景學生之交流。</t>
  </si>
  <si>
    <t>Christmas Party with the Vice-Chancellor 2016 校長師生同賀聖誕 2016</t>
  </si>
  <si>
    <t>請登陸中大視野觀看更多精彩短片
Please watch more videos from CUTV
http://www.cpr.cuhk.edu.hk/cutv/index
Vice-Chancellor Prof. Joseph Sung has hosted a cheerful gathering for over 150 students, alumni and faculty members at the Vice-Chancellor's Lodge to celebrate Christmas and their achievements made in the past year.
聖誕將至，沈校長與150多位師生校友歡聚漢園，慶祝佳節之餘也恭賀他們在過去一年取得的驕人成績。</t>
  </si>
  <si>
    <t>Master's Degree (2015-2016) Graduation Ceremony 二零一五至二零一六年度碩士學位課程畢業典禮</t>
  </si>
  <si>
    <t>請登陸中大視野觀看更多精彩短片
Please watch more videos from CUTV
http://www.cpr.cuhk.edu.hk/cutv/index
On 18 and 19 November, CUHK held Master's Degree Graduation Ceremony.
11月18及19日，中大舉辦碩士學位課程畢業典禮。</t>
  </si>
  <si>
    <t>Ground Breaking Ceremony of The CUHK Medical Centre 香港中文大學醫院動土典禮</t>
  </si>
  <si>
    <t>請登陸中大視野觀看更多精彩短片
Please watch more videos from CUTV
http://www.cpr.cuhk.edu.hk/cutv/index
CUHK held the ground breaking ceremony of The CUHK Medical Centre on 8 December, symbolising the commencement of the Centre’s construction. 
中大於12月8日為香港中文大學醫院舉行動土典禮，標誌著中大醫院的建築工程已順利展開。</t>
  </si>
  <si>
    <t>Have you ever planned the seating for a wedding, organized a roster, or completed a Sudoku puzzle? If so, you have solved a discrete optimization problem. These problems are ubiquitous in business and our daily lives, but solving them well is often very challenging. 
This promotional video introduces two Massives Open Online Courses (MOOCs) now available on Coursera: Basic Modeling for Discrete Optimization (https://www.coursera.org/learn/basic-modeling ) and Advanced Modeling for Discrete Optimization (https://www.coursera.org/learn/advancedmodeling ) that will help you learn how to solve such problems with ease. They use a unique pedagogy where the learning is woven around a famous Chinese fable, “The Romance of the Three Kingdoms”. These courses, also available wholly in Chinese (Basic: https://www.coursera.org/learn/lisan-youhua-jianmo-jichupian , Advanced: https://www.coursera.org/learn/lisan-youhua-jianmo-gaojiepian ), have been developed in a unique collaboration between The Chinese University of Hong Kong and The University of Melbourne, and will form part of a four course Specialization on Modeling for Discrete Optimization. 
Please watch more videos from CUTV
http://www.cpr.cuhk.edu.hk/cutv/index</t>
  </si>
  <si>
    <t>['CUHK', '中大', 'video', 'MOOCs', 'Massive Open Online Courses', 'MiniZinc', 'Modeling Discrete Optimization', 'Fable based pedagogy']</t>
  </si>
  <si>
    <t>「離散優化建模」慕課專項課程</t>
  </si>
  <si>
    <t>您有沒有試過為婚禮做座次安排、編排值班表、或完成一個數獨問題？如果有的話，您已經有了解決離散優化問題的經驗。這些問題在我們的工作及日常生活中無所不在，如何好好解決這些問題頗具挑戰性。
這個宣傳視頻介紹了兩門能幫助您輕松解決這些問題的課程，它們是由香港中文大學開發，在Coursera平台發布的大規模開放在線課程（慕課）「離散優化建模基礎篇」（https://www.coursera.org/learn/lisan-youhua-jianmo-jichupian ）和「離散優化建模高階篇」（https://www.coursera.org/learn/lisan-youhua-jianmo-gaojiepian ）。課程導師運用獨特的教學方法，圍繞中國名著《三國演義》開展趣味十足的教學。此外還提供全英文的版本（基礎篇https://www.coursera.org/learn/basic-modeling  ，高階篇https://www.coursera.org/learn/advancedmodeling ），由香港中文大學與墨爾本大學合作開發，是四門專項課程「離散優化建模」的一部分。
請登陸中大視野觀看更多精彩短片
http://www.cpr.cuhk.edu.hk/cutv/index</t>
  </si>
  <si>
    <t>Distinguished Lecture and Demonstration by Professor Au Ho-nien 歐豪年教授主講:「從一根草說起」及書畫示範</t>
  </si>
  <si>
    <t>請登陸中大視野觀看更多精彩短片
Please watch more videos from CUTV
http://www.cpr.cuhk.edu.hk/cutv/index
On 1 December, Prof. Au Ho-nien, a master of the “Lingnan School” of painting and a 2016 Honorary Graduate of CUHK gave a talk followed by a demonstration of Chinese painting on campus.
12月1日，中國畫藝壇大師、二零一六年中大榮譽文學博士歐豪年教授蒞臨中大，為觀眾帶來了一場精彩的講座，更即場揮毫示範，一展大師風采。</t>
  </si>
  <si>
    <t>82nd Congregation for the Conferment of Degrees 第八十二屆大會(頒授學位典禮)</t>
  </si>
  <si>
    <t>請登陸中大視野觀看更多精彩短片
Please watch more videos from CUTV
http://www.cpr.cuhk.edu.hk/cutv/index
CUHK held its 82nd Congregation for the Conferment of Degrees on 1 December. Three distinguished persons were conferred honorary degrees, including the Honourable Chief Justice Ma Tao-li, Geoffrey, Prof. Au Ho-nien and the Venerable Master Hsing Yun. A total of 422 doctoral degrees were conferred at the Congregation.
中大於12月1日舉行第八十二屆大會（頒授學位典禮），由中大校董會主席梁乃鵬博士主持。大學向三位傑出人士頒授榮譽博士學位，表彰他們對社會、教育、文化藝術及增進人民福祉的傑出貢獻。三位榮譽博士分別為：馬道立首席法官、歐豪年教授及星雲大師。大會同時頒授422個博士學位。</t>
  </si>
  <si>
    <t>81st Congregation for the Conferment of Degrees 第八十一屆大會(頒授學位典禮)</t>
  </si>
  <si>
    <t>請登陸中大視野觀看更多精彩短片
Please watch more videos from CUTV
http://www.cpr.cuhk.edu.hk/cutv/index
CUHK held its 81st Congregation for the Conferment of Degrees on 17 November. Dr. Norman N.P. Leung, Chairman of the Council, conferred first and master’s degrees at the Congregation. Prof. Joseph J.Y. Sung, Vice-Chancellor and President, presented awards for teaching and research excellence. A total of 5,593 master’s degrees and 4,029 bachelor’s degrees were conferred at the Congregation. 
中大於11月17日舉行第八十一屆大會（頒授學位典禮），由大學校董會主席梁乃鵬博士主禮並頒授各科學士及碩士學位，並由校長沈祖堯教授頒發傑出教學及研究獎。大會頒授了5,593個碩士學位及4,029個學士學位。</t>
  </si>
  <si>
    <t>Happy 53rd Birthday to CUHK ! 中大53歲生日快樂！</t>
  </si>
  <si>
    <t>請登陸中大視野觀看更多精彩短片
Please watch more videos from CUTV
http://www.cpr.cuhk.edu.hk/cutv/index
October 17, 2016 is the 53rd anniversary for CUHK! For over half a century, generations of CUHK members have worked for the progress of the University, and the once barren hillside by the Tolo Harbour has been turned into a stunning campus covered in greenery. Let’s follow the camera and start a wonderful tour around the campus.
2016年10月17日，香港中文大學迎來五十三歲生日！半個多世紀以來，一代代中大師生校友蹈厲奮發，吐露港旁光禿禿的山頭逐漸變成了綠意盎然的著名學府。趁著校慶日，我們特別剪輯短片，展示大學最新風貌，帶大家一齊細味校園的一花一木、一磚一瓦。</t>
  </si>
  <si>
    <t>Vice-Chancellor's Speech in Inauguration Ceremony for Undergraduates 2016 本科生入學典禮校長講辭</t>
  </si>
  <si>
    <t>請登陸中大視野觀看更多精彩短片
Please watch more videos from CUTV
http://www.cpr.cuhk.edu.hk/cutv/index
At the Inauguration Ceremony, Prof. Joseph Sung, CUHK Vice-Chancellor, suggested that new students compile a list of what they want to achieve and encouraged them to learn three things: who you are, what this world actually needs, and how to work with others.
在開學典禮上，校長沈祖堯教授希望新生為大學生涯定下目標，並在未來數年學會認識自己，認識世界的需要，以及認識如何與人共事。</t>
  </si>
  <si>
    <t>「中大五十•人」中大划艇隊</t>
  </si>
  <si>
    <t>English subtitle: http://www.cpr.cuhk.edu.hk/cutv/detail/735?lang=en
請瀏覽中大視野收看其他「中大五十•人」錄像系列
Please go to CUTV to watch other series of "CU50•The People" 
http://www.cpr.cuhk.edu.hk/cutv/series/26
2016年，對中大划艇隊來説，別具意義。團隊不單成功取得大專賽十五連勝的驕人成績，也迎來三十周年紀念日。爲此，我們製作了一輯短片，作為「中大五十 • 人」錄像系列之一，與大家共同見證中大划艇隊成長的腳步。
The year 2016 is a meaningful one for the CUHK Rowing Team. It not only achieved the 15th consecutive victory in this year’s Hong Kong Universities Rowing Championships but also entered its 30th year. To celebrate this special occasion, a video of the team’s inspiring story was made as one of the ‘CU50 • The People’ video series.</t>
  </si>
  <si>
    <t>Campus Guardians during Typhoon 颱風中的守護者</t>
  </si>
  <si>
    <t>請登陸中大視野觀看更多精彩短片
Please watch more videos from CUTV
http://www.cpr.cuhk.edu.hk/cutv/index
Do you know that there is a team named the Typhoon and Black Storm Squad from our Estates Management Office? Let's see what they've done when Typhoon Nida hit Hong Kong in early August through the video.
本月頭，颱風妮妲吹襲香港。中大物業管理處的颱風及黑雨候命小組在打風前爭分奪秒做好防風準備，更連夜留守校園直至風球離開。
我們透過鏡頭記錄下物業管理處同事在颱風前後的工作，更拍攝到颱風吹襲校園的情景，精彩片段不容錯過！</t>
  </si>
  <si>
    <t>2016 CUHK Summer Institute 高中生暑期課程</t>
  </si>
  <si>
    <t>It has never been an easy proposition for secondary school students to decide which discipline to pursue if they are to enter university in the near future. To inspire them and give them some direction on their future studies, CUHK has, in recent years, been organizing the Summer Institute, a two-week summer programme designed for S.5 students (or the equivalent). 
對於中學畢業生來説，要從大學眾多專業中選擇適合自己的一個並非易事。爲了幫助中學生了解不同科目的特色、確定自己的志向，中大每年暑假都會舉辦高中生暑期課程，邀請就讀中五的學生到校園體驗大學生活的滋味。</t>
  </si>
  <si>
    <t>Thirty-five years with CUHK 三十五載情不移</t>
  </si>
  <si>
    <t>請登陸中大視野觀看更多精彩短片
Please watch more videos from CUTV
http://www.cpr.cuhk.edu.hk/cutv/index
CUHK presented the 2015 Long Service Awards to 136 staff members who have been working at the University for 25 and 35 years. Let’s hear their stories with CUHK shared by two awardees.
在2015年度長期服務獎頒授典禮上，大學向136位為中大服務25年及35年的員工頒授榮譽獎項，感謝他們多年來對大學的貢獻。讓我們透過短片，聽一聽兩位得獎員工的中大故事。</t>
  </si>
  <si>
    <t>80th Congregation for the Conferment of Degrees 第八十屆大會（頒授學位典禮）</t>
  </si>
  <si>
    <t>請登陸中大視野觀看更多精彩短片
Please watch more videos from CUTV
http://www.cpr.cuhk.edu.hk/cutv/index
完整版/Full version: http://www.cpr.cuhk.edu.hk/cutv/detail/723
CUHK held its 80th Congregation for the Conferment of Degrees on 26 May. Prof. Randy W. Schekman and Prof. Joseph E. Stiglitz, both of whom are Nobel Laureates, had honorary doctorates conferred on them at the Congregation. 
中大於5月26日在校園舉行第八十屆大會(頒授學位典禮)，頒授榮譽博士學位予兩位諾貝爾得獎者—2013年諾貝爾生理學或醫學獎得主蘭迪‧謝克曼教授(Professor Randy W. Schekman)，以及2001年諾貝爾經濟學獎得主約瑟夫‧斯蒂格利茨教授(Professor Joseph E. Stiglitz)，表彰他們對科研及社會的傑出貢獻。</t>
  </si>
  <si>
    <t>Please watch more videos from CUTV
http://www.cpr.cuhk.edu.hk/cutv/index
Chinese version: https://www.youtube.com/watch?v=4u5qGqs1F2s&amp;feature=youtu.be
Since 1998, Prof. Edwin Chan from CUHK School of Life Sciences has studied a group of rare neurological disorders and developed therapeutic interventions against these diseases. Prof. Chan’s team has discovered a drug candidate P3, a 13-amino acid peptide, which can neutralize toxic RNA and rescue neurodegeneration. A United States patent application protecting this technology has been allowed by the US Patent and Trademark Office.  P3 has the potential to be developed into therapeutic usage giving hope to individuals who suffer from rare neuronal diseases.</t>
  </si>
  <si>
    <t>中大跨學科研究團隊為罕見神經系統疾病研發新藥物</t>
  </si>
  <si>
    <t>請登陸中大視野觀看更多精彩短片
Please watch more videos from CUTV
http://www.cpr.cuhk.edu.hk/cutv/index
English version: https://www.youtube.com/watch?v=UlixLPEFJhM&amp;feature=youtu.be 
中大生命科學學院陳浩然教授及其團隊多年來一直致力研究與神經系統有關的罕見病之致病原因及治療方案，最近發明了一種名為P3的多肽分子（由蛋白質中13個氨基酸肽合成），能有效抑制神經細胞退化，並已取得美國專利及商標局的專利，可望成為新藥物，為罕見神經系統病患者帶來令人振奮的消息。</t>
  </si>
  <si>
    <t>Fifteenth Honorary Fellowship Conferment Ceremony 第十五屆榮譽院士頒授典禮</t>
  </si>
  <si>
    <t>請登陸中大視野觀看更多精彩短片
Please watch more videos from CUTV
http://www.cpr.cuhk.edu.hk/cutv/index
The Chinese University of Hong Kong held its Fifteenth Honorary Fellowship Conferment Ceremony on 16 May. Five distinguished persons had conferred upon them honorary fellowships in recognition of their remarkable contributions to the University and the community. 
香港中文大學於五月十六日在校園舉行第十五屆榮譽院士頒授典禮，頒授榮譽院士銜予五位傑出人士，表揚他們對大學及社會的卓越貢獻。</t>
  </si>
  <si>
    <t>CUHK Entrepreneur Day 2016 中大創業日2016</t>
  </si>
  <si>
    <t>請登陸中大視野觀看更多精彩短片
Please watch more videos from CUTV
http://www.cpr.cuhk.edu.hk/cutv/index
“CUHK Entrepreneur Day 2016”, a two-day event initiated by the CUHK Alumni Torch Fund was held on May 6 and 7, setting off a new wave of entrepreneurial enthusiasm throughout the campus with an exhibition, a series of seminars and consultancy services. 
5月6、7日，「中大校友傳承基金」舉辦的「中大創業日2016」在校園掀起一股創業熱潮。這個為期兩日的創業盛事展出了近60項中大校友師生的創業理念與成果，並舉辦十多場講座及個案分享，讓中大歷代創業者以及投資人共聚一堂，分享創業心得。</t>
  </si>
  <si>
    <t>Dancing Lines: An Encounter of East and West Calligraphy with Dance at CUHK 線舞: 中西書法與舞蹈的完美邂逅</t>
  </si>
  <si>
    <t>請登陸中大視野觀看更多精彩短片
Please watch more videos from CUTV
http://www.cpr.cuhk.edu.hk/cutv/index
完整版/Full version: http://www.cpr.cuhk.edu.hk/cutv/detail/706
On 16 April, three artists Ms Loi-Che Chan, Mr Mark van Praagh and Ms Sarah van Praagh staged on campus a unique performance, an interlocking inspiration of calligraphy, music and dance, as one of the events of the “Dutch Days in Hong Kong” festival.
4月16日，定居荷蘭逾30年的藝術家陳耐持校友聯同兩位藝術家Mark van Praagh 以及 Ms Sarah van Praagh在校園為大家帶來一場行為藝術舞蹈表演 —「線舞」，將中西書法與舞蹈的美感完美結合，別具一格。</t>
  </si>
  <si>
    <t>Pai Hsien-yung: From Literature to Kunqu 白先勇: 寂寞十七到絢爛七十</t>
  </si>
  <si>
    <t>請登陸中大視野觀看更多精彩短片
Please watch more videos from CUTV
http://www.cpr.cuhk.edu.hk/cutv/index
Prof. Pai Hsien-yung organized four talks on campus, between 14 and 19 March, in which he brought the audience into a glamourous world which merges Chinese Literature with various art presentations, including drama, movie and Kunqu. At the age of 78, Prof. Pai seems to have endless energy when talking about his life-long pursuit to an audience.
3月14至19日，在短短六日的時間，白先勇教授在中大校園一連舉辦了四場公開講座，透過舞台劇錄像、電影以及崑曲，帶領大家走入一個中國文學與藝術融會的絢爛世界，為中大人帶來多場難得的文化盛宴。</t>
  </si>
  <si>
    <t>CUHK Marathon Team Award Ceremony 2016 香港中文大學馬拉松隊頒獎典禮2016</t>
  </si>
  <si>
    <t>請登陸中大視野觀看更多精彩短片
Please watch more videos from CUTV
http://www.cpr.cuhk.edu.hk/cutv/index
On Mar 12, an award ceremony was held to honor outstanding CUHK runners, cheerers and supportive colleges, faculties and units of the University.
3月12日大學舉辦中大馬拉松隊頒獎典禮，嘉獎今年渣馬取得傑出成績的中大健兒，以及踴躍支持比賽的啦啦隊成員、書院、學院及部門。</t>
  </si>
  <si>
    <t>Prof. Tjonnie Li on "Einstein’s Messenger: A New Window on the Universe" 黎冠峰教授:「愛因斯坦的信使：探視宇宙的新窗戶」</t>
  </si>
  <si>
    <t>請登陸中大視野觀看更多精彩短片
Please watch more videos from CUTV
http://www.cpr.cuhk.edu.hk/cutv/index
完整版/Full version: http://www.cpr.cuhk.edu.hk/cutv/detail/693
On 11 February, the Laser Interferometer Gravitational-wave Observatory (LIGO) officially announced that the gravitational waves from colliding black holes 1.3 billion years ago have been detected by both of its twin detectors, opening up a new window on the study of the Universe. Prof. Tjonnie G. F. LI, Research Assistant Professor from the Department of Physics at CUHK, has been involved with the work of LIGO since 2009, and is currently the only scientist from a Hong Kong institution to be part of it. 
In the talk entitled ‘Einstein’s Messenger: A New Window on the Universe’, Prof. Li gave a detailed introduction on gravitational waves and the operation of LIGO.
今年2月11日，鐳射干涉儀重力波觀測站（LIGO）合作組正式宣布，成功探測到兩個黑洞在13億年前合併時所產生的重力波。這是人類第一次探測到重力波，為進一步揭開宇宙起源之謎奠下重要里程碑。中大物理系研究助理教授黎冠峰教授自2009年開始就參與LIGO的研究工作，是LIGO合作組中唯一來自香港院校的科學家。
在講座中，黎教授詳細介紹了重力波以及LIGO的運作。</t>
  </si>
  <si>
    <t>請登陸中大視野觀看更多精彩短片
Please watch more videos from CUTV
http://www.cpr.cuhk.edu.hk/cutv/index
It was a very rainy day for the Standard Chartered Hong Kong Marathon on 17 January. A strong and united team, comprising nearly 3,000 runners, 300 cheerers and the Sports Medicine Team from CUHK participated in the event regardless of the soaking weather.
1月17日，渣打香港馬拉松在大雨中進行。近3000名中大馬拉松隊跑手、300名啦啦隊成員及中大運動醫學團隊無懼惡劣天氣參與賽事，展現出中大人的拼搏和團結精神。</t>
  </si>
  <si>
    <t>Shaw College 30th Anniversary: Glass Bottle Recycling Challenge 香港中文大學逸夫書院三十周年 ─ 聚SHAW成磚環保路</t>
  </si>
  <si>
    <t>請登陸中大視野觀看更多精彩短片
Please watch more videos from CUTV
http://www.cpr.cuhk.edu.hk/cutv/index
On 10 January, Shaw College celebrated its 30th anniversary in an innovative and environmental-friendly way. With overwhelming support from CUHK members and the public, a total of 1,147 kilograms of glass bottles were collected within an hour, officially setting a first Guinness World Record for recycling glass bottles in one hour!
1月10日，中大逸夫書院以一個結合創意與環保的獨特方式慶祝成立三十周年。憑着師生校友的踴躍支持，書院在短短一小時回收了1147公斤的玻璃瓶，成功創造全球首個玻璃瓶回收的健力士世界紀錄！</t>
  </si>
  <si>
    <t>Vice-Chancellor's Christmas Party with Champion Teams 校長師生同賀聖誕</t>
  </si>
  <si>
    <t>請登陸中大視野觀看更多精彩短片
Please watch more videos from CUTV
http://www.cpr.cuhk.edu.hk/cutv/index
On 17 December, Vice-Chancellor Prof. Joseph Sung was host to a cheerful and uplifting gathering of 150 guests at the Vice-Chancellor's Lodge to celebrate Christmas. Students and alumni of CUHK who have made outstanding achievements in the past year in different fields, such as science, sports, social service, public speaking and debating joined the fun-filled festive party.
12月17日，校長沈祖堯教授於漢園舉辦聖誕派對，與150位中大師生校友共度一個愉快的夜晚，並向所有中大人送上節日的祝福。 
獲邀出席的同學校友於過去一年代表大學在不同領域包括科學、運動、社會服務以及演講辯論等取得驕人成績。 校長不僅準備了豐富美食，還與一眾與會者玩集體遊戲，打成一片。當晚崇基學院聖誕詩班到漢園報佳音，更添濃濃的聖誕氣氛。</t>
  </si>
  <si>
    <t>Hear it from Experts: Marathon Route Analysis 專家解析馬拉松賽道</t>
  </si>
  <si>
    <t>請登陸中大視野觀看更多精彩短片
Please watch more videos from CUTV
http://www.cpr.cuhk.edu.hk/cutv/index
Mr. Chan Chi-ming, lecturer from the Physical Education Unit, has been invited to analyze the 10km route of the race and suggest phase by phase strategies for runners in the video.
中大體育部陳志明講師透過錄像總括上屆中大跑手的成績，更詳細分析來年十公里賽道的特點，並分享每段賽道的應對策略，跑手們不要錯過。</t>
  </si>
  <si>
    <t>CU Runners, Get Set, Go! 中大人備戰馬拉松</t>
  </si>
  <si>
    <t>請登陸中大視野觀看更多精彩短片
Please watch more videos from CUTV
http://www.cpr.cuhk.edu.hk/cutv/index
To help the runners to achieve their best results in the races, Mr. Daniel Lee, lecturer from the Department of Sports Science and Physical Education gave useful advice, such as warming up exercises to do before the run, postures for running on slopes and how to deal with physical discomfort during the race. 
體育運動科學系講師李致和與大家分享起跑前的熱身運動，上下斜坡時的跑姿，以及如何應付賽跑時身體不適等實用資訊。</t>
  </si>
  <si>
    <t>79th Congregation for the Conferment of Degrees 第七十九屆大會(頒授學位典禮)</t>
  </si>
  <si>
    <t>Full version of the Congregation/典禮完整錄像: http://www.cpr.cuhk.edu.hk/cutv/detail/677 
請登陸中大視野觀看更多精彩短片
Please watch more videos from CUTV
http://www.cpr.cuhk.edu.hk/cutv/index
On 3 December, CUHK held its 79th Congregation for the Conferment of Degrees. Prof. Joseph Sung, Vice-Chancellor conferred five honorary doctorates and 372 doctoral degrees at the Congregation.
中大於12月3日舉行第七十九屆大會（頒授學位典禮），大學向五位傑出人士頒授榮譽博士學位。大會同時頒授372個博士學位。</t>
  </si>
  <si>
    <t>78th Congregation for the Conferment of Degrees 第七十八屆大會(頒授學位典禮)</t>
  </si>
  <si>
    <t>Full version of the Congregation/典禮完整版：http://www.cpr.cuhk.edu.hk/cutv/detail/668
請登陸中大視野觀看更多精彩短片
Please watch more videos from CUTV
http://www.cpr.cuhk.edu.hk/cutv/index
CUHK held its 78th Congregation for the Conferment of Degrees on 19 November. At the congregation, Prof. Joseph J.Y. Sung, CUHK Vice-Chancellor, conferred 6,167 Master’s and 3,732 Bachelor’s degrees. He also officiated at the Inauguration of the Choh-Ming Li Professorships and presented awards to 27 outstanding teachers and researchers.
11 月 19日，中大舉行第七十八屆大會（頒授學位典禮）。今屆大會共頒授了6,167個碩士學位及3,732個學士學位。同時，沈校長主持卓敏教授席就職典禮，並頒發傑出教學及研究獎予27名優秀教研人員。</t>
  </si>
  <si>
    <t>Vice-Chancellor's Address in 78th Congregation for the Conferment of Degrees 第七十八屆大會（頒授學位典禮）校長致辭</t>
  </si>
  <si>
    <t>請登陸中大視野觀看更多精彩短片
Please watch more videos from CUTV
http://www.cpr.cuhk.edu.hk/cutv/index
78th Congregation for the Conferment of Degrees/第七十八屆大會(頒授學位典禮): http://www.cpr.cuhk.edu.hk/cutv/detail/668
CUHK held its 78th Congregation for the Conferment of Degrees on 19 November. Prof. Joseph J.Y. Sung, CUHK Vice-Chancellor and President gave a speech, titled ‘The Young Are the Hope of Our Future’ to the graduates.</t>
  </si>
  <si>
    <t>Universities Join Hands to Promote Academic Chinese 兩岸四地齊推動學術中文</t>
  </si>
  <si>
    <t>請登陸中大視野觀看更多精彩短片
Please watch more videos from CUTV
http://www.cpr.cuhk.edu.hk/cutv/index
CUHK held a summit on 18 November on Assessment and Development of Academic Chinese as one of the initiating universities including Peking University, Nanjing University, Shanghai Jiao Tong University and Taiwan University. A total of 32 cross-strait universities from mainland China, Taiwan, Hong Kong and Macau signed a collaboration agreement to promote Chinese as an internationally recognized research language during this remarkable historic event across the four regions. 
11月18日，中大舉行「中文學術評鑑與發展高峰論壇」。論壇上，中大聯同北京大學、南京大學、上海交通大學及台灣大學五所發起院校，和海峽兩岸及港澳地區合共32所院校一同簽署「推動學術中文合作協議」，以提升中文研究成果在國際學術界的地位。活動為兩岸四地學術界的一項盛事。</t>
  </si>
  <si>
    <t>Master's Degree (2014-2015) Graduation Ceremony 二零一四至二零一五年度碩士學位課程畢業典禮</t>
  </si>
  <si>
    <t>請登陸中大視野觀看更多精彩短片
Please watch more videos from CUTV
http://www.cpr.cuhk.edu.hk/cutv/index
On 20 and 21 November, CUHK held Master's Degree (2014-2015) Graduation Ceremony.
11月20及21日，中大舉辦二零一四至二零一五年度碩士學位課程畢業典禮。</t>
  </si>
  <si>
    <t>School of Journalism and Communication Celebrates 50th Birthday 新聞與傳播學院成立50周年</t>
  </si>
  <si>
    <t>請登陸中大視野觀看更多精彩短片
Please watch more videos from CUTV
http://www.cpr.cuhk.edu.hk/cutv/index
On 31 October, the “50th Birthday Party” of the School of Journalism and Communication was held in New Asia College, drawing close to 1,000 alumni, staff, students and guests to attend. Packed with brilliant performances by alumni, students and teachers, the evening show was a heartwarming memory for all. 
今年是新聞與傳播學院成立50周年，學院不僅舉辦多場學術活動以及晚宴慶祝，更於10月31日在新亞書院舉辦了一場精彩熱鬧的慶祝活動 —「新傳五十‧張佬擺大壽」，吸引了近千名校友、教職員、學生及嘉賓共聚一堂。</t>
  </si>
  <si>
    <t>Professor Donna Chu on "On Mediated Love" 朱順慈教授主講「未得的愛」</t>
  </si>
  <si>
    <t>請登陸中大視野觀看更多精彩短片
Please watch more videos from CUTV
http://www.cpr.cuhk.edu.hk/cutv/index
完整版/Full version: http://www.cpr.cuhk.edu.hk/cutv/detail/651 
On November 5, Prof. Donna Chu from the School of Journalism and Communication gave a talk, titled “On Mediated Love”, as the third session of the talk series “Ten Theses on Freedom”. Facilitated by Dr. Lau Po-hei from CUHK’s General Education Foundation Programme, the talk drew a full house of nearly 200.
11月5日，新聞與傳播學院朱順慈教授以「未得的愛」為題舉辦通識沙龍講座，並由通識教育基礎課程的劉保禧博士擔當主持。講座吸引了近200位中大師生校友參與，全場座無虛席。</t>
  </si>
  <si>
    <t>Muhammad Yunus on ‘Small Loans for a Big Future’ 穆罕默德‧尤努斯主講「盆景樹下小錢莊」</t>
  </si>
  <si>
    <t>請登陸中大視野觀看更多精彩短片
Please watch more videos from CUTV
http://www.cpr.cuhk.edu.hk/cutv/index
完整版/Full version: http://www.cpr.cuhk.edu.hk/cutv/detail/644
On 14 October, Nobel Peace Prize winner Muhammad Yunus visited CUHK and gave a lecture on campus, titled “Small Loans for a Big Future”, to share his experience in social business.
10月14日，諾貝爾和平獎得主穆罕默德‧尤努斯來到中大，以「盆景樹下小錢莊」為題主持「博群大講堂」，與聽眾分享自己發展及推動社會企業的歷程。</t>
  </si>
  <si>
    <t>['CUHK', '中大', 'video', 'Muhammad Yunus (Organization Leader)']</t>
  </si>
  <si>
    <t>The Bei Shan Tang Legacy: Rubbings of Stone Engraving and Model Calligraphy「北山汲古─碑帖銘刻拓本」展覽</t>
  </si>
  <si>
    <t>請登陸中大視野觀看更多精彩短片
Please watch more videos from CUTV
http://www.cpr.cuhk.edu.hk/cutv/index
The Art Museum of CUHK has opened the exhibition ‘The Bei Shan Tang Legacy: Rubbings of Stone Engraving and Model Calligraphy’ to features, in two phases, 70 pieces of precious ink rubbing. 
To help the public better understand the art, a video has been produced to demonstrate the process of rubbing, and Dr. Ho Pik-ki, Associate Researcher of Art Museum will introduce the historical value of Chinese ancient rubbings.
中大文物館正舉辦「北山汲古─碑帖銘刻拓本」展覽，分兩期展出合共70件珍貴碑帖銘刻拓本。
為了更加生動介紹這一重要的中國書法文化，文物館特別邀請到拓碑專家拍攝製作拓本的步驟，並由文物館副研究員何碧琪博士為大家介紹拓本的歷史價值。</t>
  </si>
  <si>
    <t>['CUHK', '中大', 'video', 'Rubbing']</t>
  </si>
  <si>
    <t>CUHK Celebrates Her 52nd Anniversary 中大慶祝52周年</t>
  </si>
  <si>
    <t>請登陸中大視野觀看更多精彩短片
Please watch more videos from CUTV
http://www.cpr.cuhk.edu.hk/cutv/index
CUHK was inaugurated with three colleges, Chung Chi, New Asia and United on 17 October, 1963. Since then, the unique college system of CUHK has been kept and developed.
As the University is stepping into its 52nd anniversary, we have produced a special video to record the growth of the nine colleges and bring you to experience the different cultures of each college.
1963年10月17日，香港中文大學成立。五十多年來，中大一直延續本港大學獨一無二的書院制。
在大學慶祝成立52周年之際，我們特別製作短片見證九間書院的成長，並帶大家體驗各具特色的書院生活。</t>
  </si>
  <si>
    <t>['CUHK', '中大', 'video', 'Chinese University Of Hong Kong (College/University)']</t>
  </si>
  <si>
    <t>「中大五十•人」饒宗頤</t>
  </si>
  <si>
    <t>English subtitle: http://www.cpr.cuhk.edu.hk/cutv/detail/638?lang=en
請瀏覽中大視野收看其他「中大五十•人」錄像系列
Please go to CUTV to watch other series of "CU50•The People" 
http://www.cpr.cuhk.edu.hk/cutv/series/26
中大偉倫榮譽藝術講座教授大紫荊勳賢饒宗頤教授爲蜚聲國際的漢學家，集學者與藝術家於一身。我們特別製作一輯關於饒教授的短片，作為「中大五十 • 人」錄像系列之一，帶大家了解饒教授的生平、成就，感受這位國學泰斗永不倦怠的治學精神。
Prof. the Honourable Jao Tsung-I, GBM, Wei Lun Honorary Professor of Fine Arts at CUHK is a world-renowned sinologist. To record his life story and achievements, and appreciate his great perseverance on the pursuit of knowledge, a video of Prof. Jao was made as one of the “CU50 • The People” video series.</t>
  </si>
  <si>
    <t>Vice-Chancellor's Speech in Inauguration Ceremony for Undergraduates 2015 本科生入學典禮校長講辭</t>
  </si>
  <si>
    <t>請登陸中大視野觀看更多精彩短片
Please watch more videos from CUTV
http://www.cpr.cuhk.edu.hk/cutv/index
At the inauguration ceremony, Prof. Joseph Sung encouraged the new students with a quote from Confucius, “I set my heart on the way, base myself on virtue, lean upon benevolence for support and take my recreation in the arts.” Let's listen to his speech from the video.
校長沈祖堯教授於入學典禮上以孔子的話勉勵同學，希望他們「恪守正道，以德為本，心存仁道，游賞藝術」。</t>
  </si>
  <si>
    <t>Welcoming CUHK New Students 歡迎中大新鮮人</t>
  </si>
  <si>
    <t>請登陸中大視野觀看更多精彩短片
Please watch more videos from CUTV
http://www.cpr.cuhk.edu.hk/cutv/index
The University has recruited over 3,000 undergraduate students this year. To help the new students immerse themselves in university life, orientation activities have been organized by faculties and colleges. Let’s welcome the new members to CUHK family!
新學年，大學喜迎超過3,000位本科新生。爲了幫助他們了解大學生活，儘快融入中大的大家庭，各書院及學系學生組織舉辦了内容豐富的迎新活動。讓我們透過短片歡迎這班中大新鮮人。</t>
  </si>
  <si>
    <t>Visiting the Elderly with CUHK Mooncake 中大愛心月餅贈長者</t>
  </si>
  <si>
    <t>請登陸中大視野觀看更多精彩短片
Please watch more videos from CUTV
http://www.cpr.cuhk.edu.hk/cutv/index
To celebrate the upcoming Mid-Autumn Festival, CUHK co-organised the social service “Visiting the Elderly with CUHK Mooncake” with the Evangelical Lutheran Church of Hong Kong’s Ma On Shan District Elderly Community Centre and Strategic CSR Network.
9月5日，中大與基督教香港信義會馬鞍山長者地區中心及縱橫社會責任網絡合辦「中大愛心月餅慶中秋」活動。</t>
  </si>
  <si>
    <t>['CUHK', '中大', 'video', 'Mooncake (Dish)']</t>
  </si>
  <si>
    <t>Herbal Gardens at CUHK 中大藥園</t>
  </si>
  <si>
    <t>請登陸中大視野觀看更多精彩短片
Please watch more videos from CUTV
http://www.cpr.cuhk.edu.hk/cutv/index
The beautiful campus of CUHK is home to hundreds of Chinese medicinal herbs. These herbal gardens have become scenic spots on the campus and are also of great importance to research on herbs and our education in them.
中大校園不僅優美，亦是數百種天然中草藥材的寶庫。這些中草藥植物分佈於校内數個中藥園，除了供觀賞之用，同時推動中藥知識的普及與研究。</t>
  </si>
  <si>
    <t>Statues on CUHK Campus 中大校園群像</t>
  </si>
  <si>
    <t>請登陸中大視野觀看更多精彩短片
Please watch more videos from CUTV
http://www.cpr.cuhk.edu.hk/cutv/index
You may have seen them many times on campus. They are always there, watching over students in their pursuit of knowledge, seeing them graduate and witnessing the growth of the University. They are the guardians of the University, standing for the sources of wisdom and the models of achievement who inspire generations of CUHK members. 
Let's follow the camera and learn more about the stories behind them.
在中大校園，我們常常和他們擦身而過；他們默默站在一旁，陪伴大家學習，目送同學學成畢業，見證大學成長；他們是知識的創造者、大學的守護者，啟發每一代中大人，是我們的模範。
讓我們一起跟隨鏡頭，尋覓這些校園人像。</t>
  </si>
  <si>
    <t>Campus Gardeners 校園拓荒者</t>
  </si>
  <si>
    <t>請登陸中大視野觀看更多精彩短片
Please watch more videos from CUTV
http://www.cpr.cuhk.edu.hk/cutv/index
The campus of CUHK is indeed a botanical garden. Around 60% of the 137-hectare site is covered in greenery. You can hardly believe that when the University was built more than 50 years ago, this scenic place was just a barren hill side. 
中大校園佔地137公頃，約六成的面積都覆蓋着綠色植物，其中植物及花卉有300多種，樹木接近200種，堪稱本港綠色生態的縮影。但誰又能想像得到，50年前創校之時的校園只是一個光禿禿的山頭。</t>
  </si>
  <si>
    <t>「中大五十•人」謝婉雯</t>
  </si>
  <si>
    <t>請瀏覽中大視野收看其他「中大五十•人」錄像系列
Please go to CUTV to watch other series of "CU50•The People" 
http://www.cpr.cuhk.edu.hk/cutv/series/26
2003年6月23日，世界衛生組織正式將香港從沙士疫區中剔除。在這場對抗沙士病毒的戰役中，中大畢業生謝婉雯醫生因救治病人而殉職。時隔十二載，我們沒有忘記這位香港的女兒，特別製作短片記錄謝婉雯醫生的事蹟，作爲「中大五十 • 人」錄像系列之一，紀念她的醫者心。</t>
  </si>
  <si>
    <t>Awards for Green Buildings at CUHK 綠在建築</t>
  </si>
  <si>
    <t>Besides the natural greenery, CUHK has been putting a great effort into constructing green buildings for a sustainable campus. In GreenMAP's April issue published by the Hong Kong Green Building Council, CUHK was top of the list among local tertiary institutions for the distinctive achievements in buildings certified by the BEAM Society, Hong Kong’s first non-profit organization that provides Building Environmental Assessment services.
身處依山而建的中大校園，滿眼盡是綠意。不過，中大的「綠色校園」並不局限於自然環境的綠；在校園設計和設施方面，中大也努力建立一系列「綠色建築」。在香港綠色建築議會今年四月公佈的全港院校綠建版圖中，中大建築取得5白金、6金、2銅的環評獎項，數量遠超其他院校。
請登陸中大視野觀看其他精彩短片 
Please watch other videos from CUTV
http://www.cpr.cuhk.edu.hk/cutv</t>
  </si>
  <si>
    <t>['CUHK', '中大', 'video', 'Green Building (Industry)', 'Architecture (Industry)', 'Chinese University Of Hong Kong (College/University)']</t>
  </si>
  <si>
    <t>The Art of CUHK 2015 中大藝術</t>
  </si>
  <si>
    <t>The Art of CUHK 2015, organized by the students of the Department of Fine Arts, commenced on May 30 and presented a series of exhibitions on campus, including a BA Graduate Exhibition, an Undergraduate Exhibition and an Invitational and Postgraduate Exhibition.
今年中大藝術系學生籌劃的「中大藝術2015」已經開幕，内容包括本科畢業展、本科生展、邀請展以及7月份的研究生作品展。一連串的展覽，由策展、宣傳、贊助到場地佈置等均由同學負責。
請登陸中大視野觀看其他精彩短片 
Please watch other videos from CUTV
http://www.cpr.cuhk.edu.hk/cutv</t>
  </si>
  <si>
    <t>['CUHK', '中大', 'video', 'Chinese University Of Hong Kong (College/University)', 'Department of Fine Arts']</t>
  </si>
  <si>
    <t>Fourteenth Honorary Fellowship Conferment Ceremony 第十四屆榮譽院士頒授典禮</t>
  </si>
  <si>
    <t>The Chinese University of Hong Kong held its Fourteenth Honorary Fellowship Conferment Ceremony on 11 May. Five distinguished persons had conferred upon them honorary fellowships in recognition of their remarkable contributions to the University and the community.
香港中文大學於五月十一日在校園舉行第十四屆榮譽院士頒授典禮，頒授榮譽院士銜予五位傑出人士，表揚他們對大學及社會的卓越貢獻。
請登陸中大視野觀看其他精彩短片 
Please watch other videos from CUTV
http://www.cpr.cuhk.edu.hk/cutv</t>
  </si>
  <si>
    <t>「中大五十•人」胡秀英</t>
  </si>
  <si>
    <t>請瀏覽中大視野收看其他「中大五十•人」錄像系列
Please go to CUTV to watch other series of "CU50•The People" 
http://www.cpr.cuhk.edu.hk/cutv/series/26
胡教授生前是一位享譽國際的植物學家。她1968年來到中大，出任崇基學院生物系高級講師，課餘之暇，踏遍香江，收集香港特有標本，為大學成立了一間可供研究與教學兩用的植物標本館。多年來她著作不斷，採集植物標本超過三萬份，獲得「植物學活百科全書」之美譽。支持她研究的最大動力便是對自然的熱愛，她曾說「做研究的動力就是到自然，與自然合一。」
在胡教授逝世三周年之際，我們特別製作一輯記錄胡教授生平的短片，作爲「中大五十 • 人」錄像系列之一，以緬懷這位心如赤子的學者。</t>
  </si>
  <si>
    <t>['CUHK', '中大', 'video', '胡秀英']</t>
  </si>
  <si>
    <t>A Tribute to Long Service Staff 情繫中大</t>
  </si>
  <si>
    <t>CUHK presented the 2014 Long Service Awards to 105 staff members who have been working at the University for 25 and 35 years on April 22. Let’s hear their stories at CUHK shared by two awardees.  
中大於4月22日舉行2014年度長期服務獎頒授典禮，表揚105名任職滿25和35年的同事。讓我們透過短片，聽一聽兩位得獎同事的中大故事。
請登陸中大視野觀看其他精彩短片 
Please watch other videos from CUTV
http://www.cpr.cuhk.edu.hk/cutv</t>
  </si>
  <si>
    <t>['CUHK', '中大', 'video', 'Staff (Job Title)']</t>
  </si>
  <si>
    <t>Cocktail Reception with International, Mainland and Local Students 「文化之夜」聯歡晚會</t>
  </si>
  <si>
    <t>About 100 students from over 30 countries or regions and a number of Consuls-General were invited to savor Chinese culture at a “Cultural Night” party at the Art Museum on Apr 13.
4月13日，近100位來自30多個國家及地區的中大學生、多位駐港外國總領事和領事館代表，蒞臨中大文物館參加一個富濃厚中國文化色彩的「文化之夜」。
請登陸中大視野觀看其他精彩短片 
Please watch other videos from CUTV
http://www.cpr.cuhk.edu.hk/cutv</t>
  </si>
  <si>
    <t>I·CARE Floral Festival 博群花節2015</t>
  </si>
  <si>
    <t>Organized by I • CARE programme, I • CARE Floral Festival provided a chance for CUHK members to enjoy beautiful campus scenes and express themselves in different ways.
中大I‧CARE「博群花節」是校園一項文化盛會，2012年首辦獲得熱烈迴響，今年三月再度重臨校園。
請登陸中大視野觀看其他精彩短片 
Please watch other videos from CUTV
http://www.cpr.cuhk.edu.hk/cutv</t>
  </si>
  <si>
    <t>A Toy Library in Northern Myanmar 愛心玩具傳緬北</t>
  </si>
  <si>
    <t>請登陸中大視野觀看其他精彩短片 
Please watch other videos from CUTV
http://www.cpr.cuhk.edu.hk/cutv
In December of 2014, more than 10 students and alumni from the United College of CUHK visited the orphanages and schools in Lashio in Northern Myanmar. The service group helped to set up a toy library with toys collected in Hong Kong.
2014年12月，中大聯合書院十幾位學生及校友透過「愛心玩具傳緬北」活動，將玩具由香港帶給緬甸臘戌的孤兒和中學生，並設立玩具圖書館。</t>
  </si>
  <si>
    <t>['CUHK', '中大', 'video', 'Myanmar (Country)', 'Toy (Interest)']</t>
  </si>
  <si>
    <t>Professor Jao Tsung-I and CUHK 饒公·中大·情</t>
  </si>
  <si>
    <t>As a world-renowned sinologist, Professor the Honourable Jao Tsung-I, GBM is now Wei Lun Honorary Professor of Fine Arts at CUHK, Professor Emeritus in the Department of Chinese Language and Literature, as well as the Honorary Professor of the Institute of Chinese Studies. CUHK is honored to have had close ties with Professor Jao for more than 60 years.
大紫荊勳賢饒宗頤教授學貫中西，博古通今，是備受推崇的國學泰斗。他現任中大偉倫榮譽藝術講座教授、中國語言及文學榮休講座教授及中國文化研究所榮譽顧問，而他與中大結下的情緣也超過六十年。
請登陸中大視野觀看其他精彩短片 
Please watch other videos from CUTV
http://www.cpr.cuhk.edu.hk/cutv</t>
  </si>
  <si>
    <t>Green Mini Movies Competition 綠色微電影</t>
  </si>
  <si>
    <t>A special edited prelude of the entries from primary and secondary schools for the Green Mini Movies Competition hosted by the ‘Go Green Community – Jockey Club Carbon Reduction Partnership Scheme’ of CUHK Jockey Club Initiative Gaia. 
中大賽馬會地球保源行動「綠色社群——賽馬會減碳伙伴計劃」舉辦「綠色微電影比賽」。在此，我們特別準備一段精彩剪輯的預告片，讓大家一睹綠色小演員的風采。
請登陸中大視野觀看其他精彩短片 
Please watch other videos from CUTV
http://www.cpr.cuhk.edu.hk/cutv</t>
  </si>
  <si>
    <t>Writing Fai Chun with Vice-Chancellor 與校長一同寫揮春</t>
  </si>
  <si>
    <t>Vice-Chancellor Prof. Sung, wrote fai chun with students on 18 Feb to wish everyone a prosperous Year of the Ram.
2月18日(年三十)，沈祖堯校長與同學們在校園一同寫揮春，並祝大家新年進步，身體健康！
請登陸中大視野觀看其他精彩短片 
Please watch other videos from CUTV
http://www.cpr.cuhk.edu.hk/cutv</t>
  </si>
  <si>
    <t>Year of the Horse : Looking Back 馬年回顧</t>
  </si>
  <si>
    <t>情人節在敬文：與高錕教授伉儷茶聚</t>
  </si>
  <si>
    <t>香港中文大學前校長，諾貝爾物理學奬得主高錕教授偕夫人黃美芸女士在情人節當日來到敬文書院與同學分享他們的愛情故事。</t>
  </si>
  <si>
    <t>「喜氣洋洋──中國藝術與文化中的羊」展覽</t>
  </si>
  <si>
    <t>為迎接羊年來臨，中大文物館與藝術系、中國語言及文學系合作，於2月6日至4月26日聯合舉辦「喜氣洋洋──中國藝術與文化中的羊」展覽，展出文物館及本港私人藏家收藏的歷代羊文物。</t>
  </si>
  <si>
    <t>2015 CUHK Marathon Team 香港中文大學馬拉松隊</t>
  </si>
  <si>
    <t>每年一度的體壇盛事——渣打香港馬拉松於1月25日舉行。賽場上，衆多中大跑手及中大啦啦隊成員熱烈參與，發揚馬拉松堅毅的運動精神
By the time the Standard Chartered Hong Kong Marathon had run its course on 25 January 2015, our tenacious runners sporting their smart CUHK running shirts and all the supporting students, staff and alumni, who heartily cheered for them along the race route, were definitely highlights of the event.
活動相片/Event photo: http://www.cuhk.edu.hk/cpr/marathon/Photo.html
請登陸中大視野觀看其他精彩短片 
Please watch other videos from CUTV
http://www.cpr.cuhk.edu.hk/cutv</t>
  </si>
  <si>
    <t>['CUHK', '中大', 'video', 'Marathon (Sport)', 'Chinese University Of Hong Kong (College/University)']</t>
  </si>
  <si>
    <t>Prof. Yau Shing-tung on Science and Humanity 丘成桐教授主講「數理與人文」</t>
  </si>
  <si>
    <t>請登陸中大視野觀看講座完整版
Please watch the full version from CUTV
http://www.cpr.cuhk.edu.hk/cutv/detail/565
中大博文講座教授兼數學科學研究所所長丘成桐教授於1月9日蒞臨母校中大主持講座。他以「數理與人文」為題，憑藉獨特視角分析科學與人文的關係，講解人文訓練對於優秀科學家的重要意義。
Prof. Yau Shing-tung, Distinguished Professor-at-Large and Director of the Institute of Mathematical Sciences at CUHK gave a talk titled ‘Science and Humanity’ on campus. Prof. Yau shared his insights on the relationship between science and humanity and the importance of humanitarian qualities to excellent scientists.
Language: Cantonese</t>
  </si>
  <si>
    <t>['CUHK', '中大', 'video', 'Shing-Tung Yau (Academic)', 'Science (TV Genre)']</t>
  </si>
  <si>
    <t>請登陸中大視野觀看講座完整版
Please watch the full version from CUTV
http://www.cpr.cuhk.edu.hk/cutv/detail/562
Through the lecture, Prof. Wolff from the Faculty of Law offered insightful observations on Chinese Foreign Investment.</t>
  </si>
  <si>
    <t>['CUHK', '中大', 'video', 'Lecture (Type Of Public Presentation)']</t>
  </si>
  <si>
    <t>CUHK Alumni Homecoming 2014 中大校友日</t>
  </si>
  <si>
    <t>請登陸中大視野觀看其他精彩短片 
Please watch other videos from CUTV
http://www.cpr.cuhk.edu.hk/cutv
The 2014 Alumni Homecoming Day of CUHK was held on 29 November, drawing close to 5,000 alumni, together with their families and friends to the campus.</t>
  </si>
  <si>
    <t>Prof Andrew Ng on "Education without Limits" 吳恩達教授主講：「教育無邊界」</t>
  </si>
  <si>
    <t>On 27 December, Professor Andrew Ng, Co-founder of Coursera and Chief Scientist of Baidu gave a talk on campus for the Sir Run Run Shaw Distinguished Visiting Scholar Lecture, titled ‘Education without Limits’.
國際大型公開網上課程平台Coursera聯合創辦人及百度首席科學家吳恩達教授於12月27日來到中大，以｢教育無邊界」為題主持邵逸夫爵士傑出訪問學人講座。
請登陸中大視野觀看講座完整版
Please watch the full version from CUTV
http://www.cpr.cuhk.edu.hk/cutv/detail/556</t>
  </si>
  <si>
    <t>['CUHK', '中大', 'video', 'Andrew Ng (Computer Scientist)']</t>
  </si>
  <si>
    <t>Hot Tips for CUHK Runners 馬拉松備戰貼士</t>
  </si>
  <si>
    <t>To help CUHK Marathon Team runners better prepare for the marathon, sports professionals from the Department of Sports Science and Physical Education, and the Department of Orthopaedics &amp; Traumatology at CUHK have shared suggestions for the final stages in preparing for the marathon.
渣打香港馬拉松開賽在即，中大體育運動科學系以及矯形外科及創傷學系專家為跑手們送上專業全面的備戰貼士，助大家做好最後準備，跑出最佳成績。
請登陸中大視野觀看其他精彩短片 
Please watch other videos from CUTV
http://www.cpr.cuhk.edu.hk/cutv</t>
  </si>
  <si>
    <t>Christmas Party with the Vice-Chancellor 2014 校長師生同賀聖誕</t>
  </si>
  <si>
    <t>To celebrate Christmas, Prof. Joseph J.Y. Sung, the Vice-Chancellor held a party at the Vice-Chancellor's Lodge on 15 December. Over 100 students, professors and staff were invited to celebrate the holiday together.
校長沈祖堯教授於12月15日在漢園舉辦聖誕派對，和一班中大師生聚首一堂，共賀聖誕。</t>
  </si>
  <si>
    <t>['CUHK', '中大', 'video', 'Party (Literature Subject)', 'Christmas (Holiday)']</t>
  </si>
  <si>
    <t>請登陸中大視野觀看其他精彩短片 
Please watch other videos from CUTV
http://www.cpr.cuhk.edu.hk/cutv
CUHK held its 77th Congregation for the Conferment of Degrees on 4 December. Seven distinguished persons were conferred honorary doctorates.</t>
  </si>
  <si>
    <t>['CUHK', '中大', 'video', 'Congregation']</t>
  </si>
  <si>
    <t>Speech of Prof. Joseph Sung (English version): http://www.cpr.cuhk.edu.hk/resources/press/pdf/547695eacc678.pdf
沈祖堯校長講辭 (中文版): http://www.cpr.cuhk.edu.hk/resources/press/pdf/546dc9cc7bc2d.pdf
CUHK held its 76th Congregation for the Conferment of Degrees on 20 November. Prof. Joseph J.Y. Sung, CUHK Vice-Chancellor and President gave a speech, titled ‘Our Leaders of Tomorrow’ to the graduates.</t>
  </si>
  <si>
    <t>['CUHK', '中大', 'video', 'Congregation', 'Speech (Quotation Subject)']</t>
  </si>
  <si>
    <t>Master's Degree (2013-2014) Graduation Ceremony 二零一三至二零一四年度碩士學位課程畢業典禮</t>
  </si>
  <si>
    <t>請登陸中大視野觀看其他精彩短片 
Please watch other videos from CUTV
http://www.cpr.cuhk.edu.hk/cutv
On 21 and 22 November, 2014, CUHK held Master's Degree (2013-2014) Graduation Ceremony.</t>
  </si>
  <si>
    <t>['CUHK', '中大', 'video', 'Graduation (Field Of Study)', "Master's Degree (Degree)"]</t>
  </si>
  <si>
    <t>Joint University Mass Dance 2014 大專聯校巡迴舞蹈匯演2014</t>
  </si>
  <si>
    <t>請登陸中大視野觀看其他精彩短片 
Please watch other videos from CUTV
http://www.cpr.cuhk.edu.hk/cutv
The 21st Joint University Mass Dance made CUHK its second stop on 5 November. Dancing teams from 10 universities in Hong Kong gathered in front of the Beacon to let their feet go.</t>
  </si>
  <si>
    <t>Sylvia Chang on ‘Failure is the Nutrient of Success’ 張艾嘉主講「失敗是成功的牛奶」</t>
  </si>
  <si>
    <t>Ms. Sylvia Chang, a renowned actress, scriptwriter and director, visited CUHK on 31 October as the guest speaker for the Shun Hing Lecture Series in Arts and Humanities. In her lecture ‘Failure is the Nutrient of Success’, she shared her ups and downs through her success stories.
張艾嘉女士於10月31日的信興藝文講座上，以「失敗是成功的牛奶」為題，向觀衆分享成功事業背後的心路歷程。
請登陸中大視野觀看講座完整版
Please watch the full version from CUTV
http://www.cpr.cuhk.edu.hk/cutv/detail/538</t>
  </si>
  <si>
    <t>['CUHK', '中大', 'video', 'Sylvia Chang (Film Director)', 'Film (Media Genre)']</t>
  </si>
  <si>
    <t>I‧CARE University Lecture on Civility by Mr. Kris Yao 姚仁喜主講「結廬在人境」</t>
  </si>
  <si>
    <t>Mr. Kris Yao, a renowned architect from Taiwan, gave a lecture titled ‘Making A Thatched Cottage Amongst the Throng of Men’, for the I • CARE University Lecture on Civility on 7 November.
台灣著名建築師姚仁喜於11月7日在I‧CARE博群大講堂上，以「結廬在人境」為題，與中大師生分享如何透過建築展現生命、壯大心靈。
請登陸中大視野觀看講座完整版
Please watch the full version from CUTV
http://www.cpr.cuhk.edu.hk/cutv/detail/540</t>
  </si>
  <si>
    <t>A Humble Cottage at CUHK 結廬在中大</t>
  </si>
  <si>
    <t>請登陸中大視野觀看其他精彩短片 
Please watch other videos from CUTV
http://www.cpr.cuhk.edu.hk/cutv
A small thatched cottage was built by the lawn next to Lake Ad Excellentiam. The humble cottage perfectly matches the forest. It gives off a refreshing earthiness, like a fragrance, that clears your mind on the autumn breeze.</t>
  </si>
  <si>
    <t>請登陸中大視野觀看講座完整版
Please watch the full version from CUTV
http://www.cpr.cuhk.edu.hk/cutv/detail/531</t>
  </si>
  <si>
    <t>Prof Edward Ng on "The Right is to be Done" 吳恩融教授主講:「做必須做的事」</t>
  </si>
  <si>
    <t>請登陸中大視野觀看演講完整版
Please watch the full version from CUTV
http://www.cpr.cuhk.edu.hk/cutv/detail/534</t>
  </si>
  <si>
    <t>Innovations from CUHK 創新中大人</t>
  </si>
  <si>
    <t>請登陸中大視野觀看其他精彩短片 
Please watch other videos from CUTV
http://www.cpr.cuhk.edu.hk/cutv
InnoCarnival 2014 has taken place from 1 to 9 November at the Hong Kong Science Park. Eighteen innovative projects developed by CUHK researchers and students have been showcased to inspire youngsters’ interest towards science and technology.</t>
  </si>
  <si>
    <t>請登陸中大視野觀看其他精彩短片 
Please watch other videos from CUTV
http://www.cpr.cuhk.edu.hk/cutv
On October 17, 1963, The Chinese University of Hong Kong was founded. Today, the University takes pleasure in its 51st anniversary.</t>
  </si>
  <si>
    <t>Conversing About Xiao Hong  「都是自由的」──對談蕭紅</t>
  </si>
  <si>
    <t>請登陸中大視野觀看講座完整版
Please watch the full version from CUTV
http://www.cpr.cuhk.edu.hk/cutv/detail/521
著名導演許鞍華現身中大校園，與來自中大中文系的黃念欣教授及嶺南大學中文系的許子東教授共同參與「『都是自由的』──對談蕭紅」座談會，透過許鞍華導演的電影《黃金時代》，探討現代文學界一位傳奇女作家—蕭紅。</t>
  </si>
  <si>
    <t>['CUHK', '中大', 'video', 'Xiao Hong (Author)', 'Literature (Media Genre)']</t>
  </si>
  <si>
    <t>'New Asia College and Chinese Humanities Studies’ by Prof. Yu Ying-shih 余英時教授主講「新亞書院與中國人文研究」</t>
  </si>
  <si>
    <t>請登陸中大視野觀看講座完整版
Please watch the full version from CUTV
http://www.cpr.cuhk.edu.hk/cutv/detail/519</t>
  </si>
  <si>
    <t>['CUHK', '中大', 'video', 'Yu Ying-shih', 'New Asia College (Organization)', 'Humanities (Field Of Study)']</t>
  </si>
  <si>
    <t>Party Under the Full Moon 眾志迎月慶中秋</t>
  </si>
  <si>
    <t>Cambodia Service Trip  柬埔寨義工計劃</t>
  </si>
  <si>
    <t>Soaring Over CUHK 「飛」一般的中大</t>
  </si>
  <si>
    <t>請登陸中大視野觀看更多精彩短片
Please watch more videos from CUTV
http://www.cpr.cuhk.edu.hk/cutv/index
Have you ever wondered what a view you would get looking at the campus from above? Now, let’s go “flying” with the camera and enjoy the campus panorama from another angle.</t>
  </si>
  <si>
    <t>['CUHK', '中大', 'video', 'Teaching Hospital (Building Function)', 'Hospital (Hospital)']</t>
  </si>
  <si>
    <t>請登陸中大視野觀看更多精彩短片
Please watch more videos from CUTV
http://www.cpr.cuhk.edu.hk/cutv/index
CUHK receives HK$1.3 billion from The Hong Kong Jockey Club Charities Trust for the development of the territory’s first not-for-profit and self-financed teaching hospital. This is the largest single donation ever made by HKJC, and is also the greatest single donation ever received by CUHK.</t>
  </si>
  <si>
    <t>['CUHK', '中大', 'video', 'Hong Kong Jockey Club (Organization)', 'Teaching Hospital (Building Function)']</t>
  </si>
  <si>
    <t>CUHK Vice-Chancellor Joseph Sung Accepts Ice Bucket Challenge 沈校長接受「冰桶挑戰」 身體力行支持善舉</t>
  </si>
  <si>
    <t>['CUHK', '中大', 'video', 'Joseph Sung (Academic)', 'Ice Bucket Challenge']</t>
  </si>
  <si>
    <t>請登陸中大視野觀看更多精彩短片
Please watch more videos from CUTV
http://www.cpr.cuhk.edu.hk/cutv/index
CUHK set up the Strategic Recruitment Fund early this year to further support the worldwide search for outstanding faculty members.
Why is CUHK such an attractive place for scholars worldwide? Let’s hear it from our professors.</t>
  </si>
  <si>
    <t>['CUHK', '中大', 'video', 'Professor (Job Title)']</t>
  </si>
  <si>
    <t>['CUHK', '中大', 'video', 'Dennis Lo']</t>
  </si>
  <si>
    <t>In the early morning of July 14, the University Mall was bustling with the sounds of good cheer. Over 1,500 CUHK members came and sat on the ground to watch the World Cup Final in front of a giant screen set up under the Science Centre.
請登陸中大視野觀看更多精彩短片
Please watch more videos from CUTV
http://www.cpr.cuhk.edu.hk/cutv/index</t>
  </si>
  <si>
    <t>Canoeing, sailing, wind surfing… exciting water sports cool down the summer heat. CUHK Water Sports Centre offers its students, staff and alumni the chance to experience these fun-filled activities during the summer holiday.
請登陸中大視野觀看更多精彩短片
Please watch more videos from CUTV
http://www.cpr.cuhk.edu.hk/cutv/index</t>
  </si>
  <si>
    <t>李禮舜教授主講 「走在最前線 — 新發傳染病的挑戰」</t>
  </si>
  <si>
    <t>Connecting the Space and the Earth 太空地球連一線</t>
  </si>
  <si>
    <t>當發生水災，我們如何即時知道最新災情？
當山火熊熊來襲，我們如何準確知道林木燒毀的面積？
其實，答案就隱藏於校園內一個巨型白色球體內......</t>
  </si>
  <si>
    <t>Watch the World Cup Final at CUHK 中大人齊集百萬大道同看世盃決賽</t>
  </si>
  <si>
    <t>「中大人百萬大道齊看世盃決賽」特邀兩位口才非凡兼熱愛足球的中大老師——馬嶽教授及蔡子強先生擔任評述員，並由區家麟校友擔任大會主持。除了沈祖堯校長親身支持之外，中大男女子足球隊還會現場表演精湛球技。如此強大陣容及精彩節目中大人豈能錯過！</t>
  </si>
  <si>
    <t>「中大五十•人」中大如家</t>
  </si>
  <si>
    <t>請瀏覽中大視野收看其他「中大五十•人」錄像系列
Please go to CUTV to watch other series of "CU50•The People" 
http://www.cpr.cuhk.edu.hk/cutv/series/26
「我在這裡工作了這麽長時間 ，宿舍就像自己的家一樣 ，學生就似子女，和他們相處、聊天，覺得自己也年輕了。」
今集我們將繼續講述一些在平凡崗位上不平凡員工的故事。</t>
  </si>
  <si>
    <t>University Library: Inherit and Innovate 大學圖書館 : 保育·創新</t>
  </si>
  <si>
    <t>沒有鮮亮的色彩、雄偉的高度，大學圖書館屹立在大學廣場，簡樸而莊重，與周遭的自然環境融為一體，更成爲香港最多小白腰雨燕的安家之地。大學圖書館剛榮獲「香港建築師學會二○一三年年獎的主題建築獎 - 室內設計」，其創新的學習共享空間概念及對一磚一瓦的致力保育最為評審稱道。</t>
  </si>
  <si>
    <t>['CUHK', '中大', 'video', 'Library (Building Function)']</t>
  </si>
  <si>
    <t>「中大五十•人」教師背後</t>
  </si>
  <si>
    <t>請瀏覽中大視野收看其他「中大五十•人」錄像系列
Please go to CUTV to watch other series of "CU50•The People" 
http://www.cpr.cuhk.edu.hk/cutv/series/26
「服務中大可以用三個『心』來形容，第一個心是『將心比心』...... 第二個心是『放心』......第三個心就是『開心』。」 
自2001年起，學校人事處舉辦「員工優異服務獎」，嘉許表現傑出的員工。</t>
  </si>
  <si>
    <t>第十三屆榮譽院士頒授典禮</t>
  </si>
  <si>
    <t>卓越科研　傳承開創 (普通話）</t>
  </si>
  <si>
    <t>卓越科研  傳承開創 (廣東話)</t>
  </si>
  <si>
    <t xml:space="preserve">請登陸中大視野觀看更多精彩短片
Please watch more videos from CUTV
http://www.cpr.cuhk.edu.hk/cutv/index </t>
  </si>
  <si>
    <t>CUHK the Jockey Club Museum of Climate Change 香港中文大學賽馬會氣候變化博物館</t>
  </si>
  <si>
    <t>2014 CUHK Marathon Team Award Ceremony 2014 香港中文大學馬拉松隊頒獎典禮</t>
  </si>
  <si>
    <t>2014  CUHK Marathon Team 2014 中大馬拉松隊</t>
  </si>
  <si>
    <t>「北山汲古──中國書法」展覽</t>
  </si>
  <si>
    <t>沈祖堯校長談中國書法</t>
  </si>
  <si>
    <t>海内存知己 天涯若比鄰 — 2014 香港中文大學本地生與非本地生聯歡晚會</t>
  </si>
  <si>
    <t>CUHK Presents 2013 Long Service Awards 中大頒發2013年度長期服務獎</t>
  </si>
  <si>
    <t>['CUHK', '中大', 'video', 'Chinese University Of Hong Kong (Organization)']</t>
  </si>
  <si>
    <t>「中大五十•人」盧煜明</t>
  </si>
  <si>
    <t>請瀏覽中大視野收看其他「中大五十•人」錄像系列
Please go to CUTV to watch other series of "CU50•The People" 
http://www.cpr.cuhk.edu.hk/cutv/series/26
「我相信將來每個人的基因圖譜在他們一出生或還未出生前就已經做好了」，這並不是科幻片裏的台詞，而是盧煜明教授對自己研究成果的切實展望。2010 年，中大醫學院副院長(研究)盧教授帶領團隊成功透過孕婦的血液找出胎兒整個基因圖譜，革新了檢測遺傳病甚至癌症的方法。 
作爲醫生，盧教授憑藉堅韌的毅力和靈活的知識開創醫學新領域；作爲教授，他堅持在研究上精益求精，培養更多優秀的醫學研究人才，造福社會。</t>
  </si>
  <si>
    <t>The blooming campus 花開中大</t>
  </si>
  <si>
    <t>['CUHK', '中大', 'video', 'Campus']</t>
  </si>
  <si>
    <t>CW Chu College, CUHK 香港中文大學敬文書院</t>
  </si>
  <si>
    <t>['CUHK', '中大', 'video', 'CW Chu College']</t>
  </si>
  <si>
    <t>「中大五十•人」鄧慧蘭</t>
  </si>
  <si>
    <t>請瀏覽中大視野收看其他「中大五十•人」錄像系列
Please go to CUTV to watch other series of "CU50•The People" 
http://www.cpr.cuhk.edu.hk/cutv/series/26
以往聾的學生讀到中學畢業，很多時不會參加公開會考，這意味着大學之路及學習的機會對他們來講，一早就已經斷了。
鄧慧蘭教授自1993年開始聾人手語及口語雙語教育的研究工作，致力打破聾童語言學習的障礙。多年的工作令她於2013年獲頒授香港人道年獎。</t>
  </si>
  <si>
    <t>Prof. Tony Mok on 'Declaration of War Against Lung Cancer' 莫樹錦教授主講「向肺癌宣戰」</t>
  </si>
  <si>
    <t>請登陸中大視野觀看完整版
Please watch the full version from CUTV
http://www.cpr.cuhk.edu.hk/cutv/detail/458</t>
  </si>
  <si>
    <t>['CUHK', '中大', 'video', 'Lung Cancer (Disease Or Medical Condition)']</t>
  </si>
  <si>
    <t>CUHK Marathon Team (highlight version) 2014 年中大馬拉松隊(精華版)</t>
  </si>
  <si>
    <t>「中大五十•人」錢穆</t>
  </si>
  <si>
    <t>請瀏覽中大視野收看其他「中大五十•人」錄像系列
Please go to CUTV to watch other series of "CU50•The People" 
http://www.cpr.cuhk.edu.hk/cutv/series/26
「錢穆」是中大人耳熟能詳的名字，沒錯，他是新亞書院的創校校長。所謂「艱險我奮進，困乏我多情」如何支持、鞭策中大人從艱難的年代走到今天？爲何經歷歲月洗刷後，這種風骨氣節依然強勁有力、令人振奮？
現在，我們就透過「中大五十•人」短片，走入歷史，看看爲什麽他要來香港開辦新亞書院？在同學眼中，他是一位怎樣的老師？從中了解這位不平凡的人物。</t>
  </si>
  <si>
    <t>CUHK Vice-Chancellor's Chinese New Year Media Reception 香港中文大學傳媒新春茶敘</t>
  </si>
  <si>
    <t>請登陸中大視野，瀏覽其他影片
Please go to CUTV for more videos
http://www.cpr.cuhk.edu.hk/cutv/</t>
  </si>
  <si>
    <t>Please go to CUTV to view the full version of the video: 
請登陸中大視野，瀏覽完整版：
http://www.cpr.cuhk.edu.hk/cutv/detail/443</t>
  </si>
  <si>
    <t>香港中文大學五十周年校慶晚宴</t>
  </si>
  <si>
    <t>Please go to CUTV for the full version
請登陸中大視野觀看完整版
http://www.cpr.cuhk.edu.hk/cutv/detail/430</t>
  </si>
  <si>
    <t>幾米在中大</t>
  </si>
  <si>
    <t>香港中文大學信興藝文講座，幾米主講「我所熱愛的創作」
請登陸中大視野觀看完整版：http://www.cpr.cuhk.edu.hk/cutv/detail/435</t>
  </si>
  <si>
    <t>香港中文大學五十周年傑出學人講座 — 丘成桐教授</t>
  </si>
  <si>
    <t>Please go to CUTV to view the full version
請登陸中大視野，觀看完整版
http://www.cpr.cuhk.edu.hk/cutv/detail/428</t>
  </si>
  <si>
    <t>['CUHK', '中大', 'video', 'Shing-Tung Yau']</t>
  </si>
  <si>
    <t>第七十四屆大會(頒授學位典禮)</t>
  </si>
  <si>
    <t>請登陸中大視野觀看完整版
Please go to CUTV for the full version:
http://www.cpr.cuhk.edu.hk/cutv/detail/426</t>
  </si>
  <si>
    <t>香港中文大學五十周年校慶匯演：百萬零一夜</t>
  </si>
  <si>
    <t>請登陸中大視野觀看完整版
Please go to CUTV for the full version 
http://www.cpr.cuhk.edu.hk/cutv/detail/411</t>
  </si>
  <si>
    <t>香港中文大學第七十五屆大會(頒授學位典禮)</t>
  </si>
  <si>
    <t>Please go to CUTV for the full version of the lecture：http://www.cpr.cuhk.edu.hk/cutv/detail/421</t>
  </si>
  <si>
    <t>沈祖堯校長為香港中文大學五十周年校慶晚宴致辭</t>
  </si>
  <si>
    <t>歡迎於中大視野觀看其它影片
Please watch more videos from CUTV
http://www.cpr.cuhk.edu.hk/cutv/index</t>
  </si>
  <si>
    <t>「中大五十．人」走出校園，關懷世界</t>
  </si>
  <si>
    <t>請瀏覽中大視野收看其他「中大五十•人」錄像系列
Please go to CUTV to watch other series of "CU50•The People" 
http://www.cpr.cuhk.edu.hk/cutv/series/26
中大鼓勵同學走出校園，體會社會不同階層的生活面貌。逸夫書院的同學選擇將關愛帶給塔門島的長者；而音樂系的同學發起「MOTIVIC樂動視遊」，透過音樂讓視障人士感受世界，展現了以生命影響生命的信念。</t>
  </si>
  <si>
    <t>「中大五十．人」余光中</t>
  </si>
  <si>
    <t>請瀏覽中大視野收看其他「中大五十•人」錄像系列
Please go to CUTV to watch other series of "CU50•The People" 
http://www.cpr.cuhk.edu.hk/cutv/series/26
「鄉愁詩人」 余光中在中大度過的十一年，可以說是他文學生命中的香港時期。中大得天獨厚的環境令他感嘆, 就連大霧天氣下的中大校園在他的筆下也變得有趣起來。
他說一所大學如果不強調人文精神，就不能稱爲大學。中大的人文精神就在「博文約禮」這四個字。</t>
  </si>
  <si>
    <t>李歐梵教授主講：「全球化年代學者 / 知識分子的角色」</t>
  </si>
  <si>
    <t>「中大五十．人」楊振寧</t>
  </si>
  <si>
    <t>請瀏覽中大視野收看其他「中大五十•人」錄像系列
Please go to CUTV to watch other series of "CU50•The People" 
http://www.cpr.cuhk.edu.hk/cutv/series/26
「結合傳統與現代，融會中國與西方」，楊振寧教授與香港中文大學志同道合，結下了五十年的良緣。除了早於一九五七年取得諾貝爾物理學獎外，近年大熱的「上帝粒子」學說亦源於他的「楊米理論」。現時楊教授仍然為中大物理系同學講課，啟發了不少年青人。</t>
  </si>
  <si>
    <t>「認識你的時代，帶領你的時代 」第七十四屆大會（頒授學位典禮）校長致辭</t>
  </si>
  <si>
    <t>林品晶博士主講:「江動月移石」— 詩、畫、樂</t>
  </si>
  <si>
    <t>歡迎於中大視野觀看完整版
Please go to CUTV for the full version of the lecture
http://www.cpr.cuhk.edu.hk/cutv/detail/395</t>
  </si>
  <si>
    <t>Barry James Marshall教授主講「幽門螺旋桿菌：古代細菌的現代用法」</t>
  </si>
  <si>
    <t>歡迎於中大視野觀看完整版
Please go to CUTV for the full version of the lecture
http://www.cpr.cuhk.edu.hk/cutv/detail/390</t>
  </si>
  <si>
    <t>AXA安盛地理與資源管理學教授席成立儀式暨劉雅章教授就職演講(精華版)</t>
  </si>
  <si>
    <t>歡迎於中大視野觀看完整版
Please go to CUTV for the full version of the lecture
http://www.cpr.cuhk.edu.hk/cutv/detail/392</t>
  </si>
  <si>
    <t>信興藝文講座 — 吳為山教授主講: 我雕塑藝術中的文化觀 (精華版）</t>
  </si>
  <si>
    <t>歡迎於中大視野觀看完整版
Please go to CUTV for the full version of the lecture
http://www.cpr.cuhk.edu.hk/cutv/detail/374</t>
  </si>
  <si>
    <t>恭賀高錕教授八十大壽</t>
  </si>
  <si>
    <t>2013年11月4日是香港中文大學前校長高錕教授的八十嵗壽辰，大學三十多位敬愛高教授的好友及舊同事在校園為高教授舉行簡單的慶祝聚會，一同唱生日歌、並送上蛋糕、生日卡及禮物，表達對高教授的敬意及愛護。讓我們一起為高教授獻上生日祝福，祝願他身體健康，生活愉快。</t>
  </si>
  <si>
    <t>鍾南山院士:「從非典到H7N9禽流感 — 中國呼吸疾病感染控制」</t>
  </si>
  <si>
    <t>歡迎於中大視野觀看完整版
Please go to CUTV for the full version of the lecture
http://www.cpr.cuhk.edu.hk/cutv/detail/384</t>
  </si>
  <si>
    <t>馮海嵐教授:「如何裝備自己以迎接一個豐盛的老年?」</t>
  </si>
  <si>
    <t>歡迎於中大視野觀看完整版
Please go to CUTV for the full version of the lecture
http://www.cpr.cuhk.edu.hk/cutv/detail/377</t>
  </si>
  <si>
    <t>第七十三屆大會（頒授學位典禮）73rd Congregation for the Conferment of Degrees</t>
  </si>
  <si>
    <t>歡迎於中大視野觀看完整版
Please watch the full version from CUTV
http://www.cpr.cuhk.edu.hk/cutv/detail/379</t>
  </si>
  <si>
    <t>2014 年中大馬拉松宣傳短片</t>
  </si>
  <si>
    <t>國學大師饒宗頤教授榮任法蘭西學院銘文與美文學院外籍院士授職典禮</t>
  </si>
  <si>
    <t>歡迎於中大視野觀看完整版: http://www.cpr.cuhk.edu.hk/cutv/detail/369</t>
  </si>
  <si>
    <t>陳德恒先生，梁湘明教授，阮邦耀博士，麥陳淑賢教授:「從網海中振作: 問題與挑戰」</t>
  </si>
  <si>
    <t>歡迎於中大視野觀看完整版: http://www.cpr.cuhk.edu.hk/cutv/detail/373</t>
  </si>
  <si>
    <t>教職員迎新會 2013</t>
  </si>
  <si>
    <t>歡迎於中大視野觀看完整版: http://www.cpr.cuhk.edu.hk/cutv/detail/365</t>
  </si>
  <si>
    <t>沈校長與您迎中秋 2013</t>
  </si>
  <si>
    <t>歡迎於中大視野觀看完整版: http://www.cpr.cuhk.edu.hk/cutv/detail/363</t>
  </si>
  <si>
    <t>辛世文教授:「科海揚帆：香港植物科學家的夢」</t>
  </si>
  <si>
    <t>歡迎於中大視野觀看完整版: http://www.cpr.cuhk.edu.hk/cutv/detail/368</t>
  </si>
  <si>
    <t>「中大五十•人」辛世文</t>
  </si>
  <si>
    <t>請瀏覽中大視野收看其他「中大五十•人」錄像系列
Please go to CUTV to watch other series of "CU50•The People" 
http://www.cpr.cuhk.edu.hk/cutv/series/26
有「植物基因複製之父」美譽的辛世文教授不僅在研究基因改造水稻和大豆方面成就卓越，更透過書院工作以生命影響生命。書院最重要是要建立一個軟件，使學生有在家的感覺。</t>
  </si>
  <si>
    <t>「中大五十•人」陳英凝</t>
  </si>
  <si>
    <t>請瀏覽中大視野收看其他「中大五十•人」錄像系列
Please go to CUTV to watch other series of "CU50•The People" 
http://www.cpr.cuhk.edu.hk/cutv/series/26
陳英凝教授1998年加入無國界醫生，長期的救援工作為她帶來香港人道年獎。無論是留守前線或是退居幕後，她的目標就是令每個人的生存權利受到尊重。
她相信，只要將這粒種子埋在學生心中，終有一日他們可以學以致用，惠澤他人。</t>
  </si>
  <si>
    <t>2013年度本科生入學禮校長講辭 VC's Welcome Speech at the Inauguration Ceremony for Undergraduates 2013</t>
  </si>
  <si>
    <t>典禮上，校長沈祖堯教授勸勉新生入學後便要着手訓練及改變自己，學會過儉樸、謙卑和高尚的生活。
At the ceremony, Professor Joseph J.Y. Sung, Vice-Chancellor of CUHK, encouraged students to start living a simple, humble and noble life when they enter the university.</t>
  </si>
  <si>
    <t>朱明中教授:「幽靈粒子與宇宙演化」Prof. Chu Ming-chung on "Ghost particles and the evolution of the universe"</t>
  </si>
  <si>
    <t>歡迎於中大視野觀看完整版
Please go to CUTV for the full version of the lecture
http://www.cpr.cuhk.edu.hk/cutv/detail/314</t>
  </si>
  <si>
    <t>「中大五十•人」高錕</t>
  </si>
  <si>
    <t>請瀏覽中大視野收看其他「中大五十•人」錄像系列
Please go to CUTV to watch other series of "CU50•The People" 
http://www.cpr.cuhk.edu.hk/cutv/series/26
憑藉將光纖應用於通訊的研究，高教授於2009年獲頒諾貝爾物理學獎，但他並沒有為此申請專利，而是將技術開放，造福世界。
他二十年前為中大工程學院奠定的發展方向至今仍能配合大學、以至香港整體的發展。</t>
  </si>
  <si>
    <t>['CUHK', '中大', 'video', 'Charles K. Kao', 'Chinese University Of Hong Kong (Organization)']</t>
  </si>
  <si>
    <t>「中大五十•人」吳恩融</t>
  </si>
  <si>
    <t>請瀏覽中大視野收看其他「中大五十•人」錄像系列
Please go to CUTV to watch other series of "CU50•The People" 
http://www.cpr.cuhk.edu.hk/cutv/series/26
「可否找個方法幫助他們，讓他們不用每天冒着生命危險上學呢？」一個簡單的理由促成了無止橋這個理念。
做人只看到自己，是很辛苦的。關注他人的生命，就能活得更加快樂。</t>
  </si>
  <si>
    <t>陳志輝教授:「建立成功品牌之策略」</t>
  </si>
  <si>
    <t>歡迎於中大視野觀看完整版: http://www.cpr.cuhk.edu.hk/cutv/detail/346</t>
  </si>
  <si>
    <t>「中大五十•人」李卓敏</t>
  </si>
  <si>
    <t>請瀏覽中大視野收看其他「中大五十•人」錄像系列
Please go to CUTV to watch other series of "CU50•The People" 
http://www.cpr.cuhk.edu.hk/cutv/series/26
他敢於打破辦學傳統，堅信「沒有研究就不成大學」；他不懼政府壓力，為保存四年制大學課程「寧死不屈」；他就是中大創校校長—李卓敏，也是香港第一位華裔大學校長。</t>
  </si>
  <si>
    <t>「中大五十•人」小思</t>
  </si>
  <si>
    <t>請瀏覽中大視野收看其他「中大五十•人」錄像系列
Please go to CUTV to watch other series of "CU50•The People" 
http://www.cpr.cuhk.edu.hk/cutv/series/26
她自小一心追隨人文學者如錢穆、唐君毅、牟宗三，大學報名表上六個選擇全部都填新亞中文系，表示她堅定不移的決心。她一生以文學、教育為己任，卻說自己不是作家，甚至不是教授，她是一位老師，並以此為榮。</t>
  </si>
  <si>
    <t>綠色辦公室計劃(「綠識辦」)第二期啟動儀式暨「BYOC」茶會</t>
  </si>
  <si>
    <t>環保，由我做起！</t>
  </si>
  <si>
    <t>環保，由心出發！</t>
  </si>
  <si>
    <t>香港中文大學金禧無止橋</t>
  </si>
  <si>
    <t>中大五十 • 關懷 - 社區植樹日</t>
  </si>
  <si>
    <t>陳英凝教授:「以科學依據為基礎的健康與醫療干預: 如何在中國農村及少數民族地區開展工作?」</t>
  </si>
  <si>
    <t>歡迎於中大視野觀看完整版: http://www.cpr.cuhk.edu.hk/cutv/detail/314</t>
  </si>
  <si>
    <t>白先勇教授主講「崑曲新美學：傳統與現代」</t>
  </si>
  <si>
    <t>歡迎於中大視野觀看完整版: http://www.cpr.cuhk.edu.hk/cutv/detail/309</t>
  </si>
  <si>
    <t>中大金禧馬拉松隊頒獎典禮</t>
  </si>
  <si>
    <t>歡迎於中大視野觀看完整版: http://www.cpr.cuhk.edu.hk/cutv/detail/307</t>
  </si>
  <si>
    <t>星雲大師與沈祖堯校長及中大學生對話 ─ 主題: 「傳承。開創」 ─ 從中大創校五十年看大學生與人文關懷</t>
  </si>
  <si>
    <t>歡迎於中大視野觀看完整版: http://www.cpr.cuhk.edu.hk/cutv/detail/302</t>
  </si>
  <si>
    <t>杜維明教授主講: 文化中國具有意義的「我們」如何可能</t>
  </si>
  <si>
    <t>請到中大視野觀看完整版 : http://www.cpr.cuhk.edu.hk/cutv/detail/289</t>
  </si>
  <si>
    <t>李歐梵教授及關子尹教授:「大學教育的理念與現實」</t>
  </si>
  <si>
    <t>歡迎於中大視野觀看完整版: http://www.cpr.cuhk.edu.hk/cutv/detail/277</t>
  </si>
  <si>
    <t>中大金禧馬拉松隊出戰渣打香港馬拉松</t>
  </si>
  <si>
    <t>['CUHK', '中大', 'video', 'Golden Jubilee Marathon Team', 'Standard Chartered Marathon', 'SCHK Marathon', 'CUHK Marathon', '中大馬拉松']</t>
  </si>
  <si>
    <t>['CUHK', '中大', 'video', 'Philip Zimbardo']</t>
  </si>
  <si>
    <t>CUHK 50th Anniversary Kick-off Ceremony．Walkathon and Carnival (Highlight Version)</t>
  </si>
  <si>
    <t>['CUHK', '中大', 'video', '五十周年', '50th anniversary']</t>
  </si>
  <si>
    <t>['CUHK', '中大', 'video', 'Joseph Sung', '畢業典禮', '沈祖堯', '校長']</t>
  </si>
  <si>
    <t>香港中文大學邁向五十周年校慶短片「我們的中大歲月」</t>
  </si>
  <si>
    <t>來自三個不同年代的校友：六十年代的賴漢明校友、曹宏威校友及謝福源校友，八十年代的鄭志豪校友，以及千禧年代的郭寶琪校友，一同分享他們在中大的難忘歲月。</t>
  </si>
  <si>
    <t>['CUHK', '中大', 'video', 'economic']</t>
  </si>
  <si>
    <t>逸夫書院嘉賓講座李柱銘先生主講：「細說30年民主路」</t>
  </si>
  <si>
    <t>請到「中大視野」觀看原整版：http://www.cpr.cuhk.edu.hk/cutv/detail/241</t>
  </si>
  <si>
    <t>沈校長與您迎中秋2012</t>
  </si>
  <si>
    <t>['CUHK', '中大', 'video', 'Joseph Sung', 'Mid Autumn Festival']</t>
  </si>
  <si>
    <t>伍絜宜慈善基金支票頒贈儀式及「胡秀英植物標本館」鳴謝牌匾揭幕儀式</t>
  </si>
  <si>
    <t>「中大人，跑出中大精神」短片</t>
  </si>
  <si>
    <t>詳情可瀏覽: http://www.cuhk.edu.hk/cpr/marathon_x000D_
_x000D_
現呼籲各位響應中大醫學院院長霍泰輝教授、中大體育運動科學系副講師李致和先生、中大校友兼兩屆半馬拉松女子組冠軍姚潔貞小姐以及一眾中大學生的號召，一同參加明年2日24日(星期日)舉行的渣打香港馬拉松比賽並加入中大隊伍，與所有中大人同步起跑！</t>
  </si>
  <si>
    <t>['CUHK', '中大', 'video', 'marathon', '馬拉松']</t>
  </si>
  <si>
    <t>2012-2013年度新生迎新日</t>
  </si>
  <si>
    <t>神舟九號航天講座</t>
  </si>
  <si>
    <t>天宮一號與神舟九號載人交會對接任務代表團蒞臨香港中文大學，與本港八所高等院校約五百名學生舉行講座，成員包括代表團團長牛紅光、航天員景海鵬、劉旺和中國首位女航天員劉洋，以及負責這次載人航天工程的科學家。_x000D_
_x000D_
請到「中大視野」觀看原整版：http://www.cpr.cuhk.edu.hk/cutv/detail/208</t>
  </si>
  <si>
    <t>校長與教職員聯誼會新春茶敘</t>
  </si>
  <si>
    <t>閔建蜀教授：《從易經看領導力》</t>
  </si>
  <si>
    <t>以《易經》中特有的「陰陽」概念來解析社會經濟活動，並以此闡釋管理思維。_x000D_
_x000D_
請到「中大視野」觀看原整版：http://www.cpr.cuhk.edu.hk/cutv/detail/237</t>
  </si>
  <si>
    <t>兩岸三地綠色大學聯盟成立典禮</t>
  </si>
  <si>
    <t>沈校長與您迎中秋</t>
  </si>
  <si>
    <t>逸夫科學大樓</t>
  </si>
  <si>
    <t>博群大講堂 林懷民先生 「在水泥地上種花」</t>
  </si>
  <si>
    <t>請到「中大視野」觀看原整版：http://www.cpr.cuhk.edu.hk/cutv/detail/73_x000D_
_x000D_
I‧CARE博群計劃首場博群大講堂，邀得世界知名台灣雲門舞集創辦人林懷民先生以「在水泥地上種花」為題主講，與中大師生分享他的藝術人生和家國情懷。</t>
  </si>
  <si>
    <t>羅桂祥綜合生物醫學大樓介紹</t>
  </si>
  <si>
    <t>雕塑大師朱銘博士於中大主持公開講座 「藝術即修行」</t>
  </si>
  <si>
    <t>請到「中大視野」觀看原整版：http://www.cpr.cuhk.edu.hk/cutv/detail/72_x000D_
_x000D_
著名雕塑家朱銘博士應香港中文大學（中大）邀請，在大學校園主持公開講座，題目為「藝術即修行」。於講座上，朱銘博士分享其藝術之路及作品的幕後故事，並闡述其獨特的美學觀──「藝術即修行」。</t>
  </si>
  <si>
    <t>I‧CARE 博群論壇 － 新葉先勇：白先勇教授談「永遠的青春夢」</t>
  </si>
  <si>
    <t>請到「中大視野」觀看原整版：http://www.cpr.cuhk.edu.hk/cutv/detail/185_x000D_
_x000D_
香港中文大學舉行I‧CARE「博群花節」中第三回博群大講堂，邀得著名台灣旅美作家白先勇教授以「永遠的青春夢」為題，與中大師生分享貫穿他一生的青春夢二重奏──首部份是他年青時代創辦《現代文學》的青春夢，第二部份是晚年大力推動崑曲的青春夢。</t>
  </si>
  <si>
    <t>I‧CARE 博群論壇 － 「功成百煉」 許鞍華導演談成功背後的百般歷鍊</t>
  </si>
  <si>
    <t>請到「中大視野」觀看原整版：http://www.cpr.cuhk.edu.hk/cutv/detail/184_x000D_
_x000D_
香港中文大學舉行I‧CARE「博群花節」中第二回博群大講堂，邀得著名導演許鞍華女士以「功成百煉」為題，與中大師生分享其成功背後的百般歷練，期間回顧她不同時期的作品主題和風格，探討如何透過電影反映現實百態。一幕幕動人心弦的經典場面，由許導演親自作演繹，份外引人入勝。另外，大會特別邀請資深電影文化人黃愛玲擔任主持，她對電影發展素有研究，言論精闢，引領觀眾對許鞍華的電影世界有更深刻的體會。</t>
  </si>
  <si>
    <t>博群大講堂 「挫而彌堅」：李歐梵教授談挫敗造就謙厚人生</t>
  </si>
  <si>
    <t>請到「中大視野」觀看原整版：http://www.cpr.cuhk.edu.hk/cutv/detail/183_x000D_
_x000D_
香港中文大學舉行I‧CARE「博群花節」中第一回博群大講堂，邀得國際知名文化研究學者李歐梵教授以「挫而彌堅」為題主講，與中大師生一起回到他失意的日子，細味「失敗的高雅」。</t>
  </si>
  <si>
    <t>A Public lecture: The Higgs Boson and Yang—Mills Theory</t>
  </si>
  <si>
    <t>— A Tribute to Prof CN Yang on his 90th Birthday_x000D_
_x000D_
Please visit CUTV for full version : http://www.cpr.cuhk.edu.hk/cutv/detail/233</t>
  </si>
  <si>
    <t>香港中文大學邁向五十周年校慶短片「中大．情不變」</t>
  </si>
  <si>
    <t>任職中大三十八年的Tony 講述多年與師生校友的足球情、校巴司機羅金成解釋他的綽號「魯迅」的由來、醫學院餐廳Amy姐介紹多年大熱的招牌檸檬批等等，幾位跟中大有深厚感情的員工藉著中大的變遷分享他們對「中大．情不變」。</t>
  </si>
  <si>
    <t>['CUHK 50 anniversary', 'med can', 'amy 姐']</t>
  </si>
  <si>
    <t>香港中文大學邁向五十周年校慶短片「愛中大」(廣東話)</t>
  </si>
  <si>
    <t>校巴、草地、檸檬批......一班中大同學於50周年短片「愛中大」中與你分享他們校園生活點滴。</t>
  </si>
  <si>
    <t>['CUHK 50 anniversary', '檸檬批']</t>
  </si>
  <si>
    <t>CityU Jersey cows newly arrived! 城大娟珊牛登陸大學農場</t>
  </si>
  <si>
    <t>Jersey cows imported from Australia arrived safely at the University Farm operated by City University of Hong Kong (CityU) on 20 September. Mr Lester Garson Huang, Chairman of the CityU Council, and Professor Way Kuo, CityU President, were on hand to witness the cows reaching the University Farm at Lam Tsuen, Tai Po.
CityU is the first university in Hong Kong to introduce and practice the pioneering concept of One Health and, among all the universities in Asia, pays special attention to animal welfare. Since early 2008, President Way Kuo has been committed to developing veterinary medicine education in Hong Kong.
Please join us to share in this happy moment.
香港城市大學（城大）由澳洲入口的娟珊牛已於9月20日成功由澳洲航運抵港並安全運送至大學農場。城大校董會主席黃嘉純先生及校長郭位教授親臨位於大埔林村的大學農場見證這批牛隻抵達及進入農場的整個過程。
城大是香港首家引入並實踐「健康一體化」領先理念的本地大學，亦是特別重視動物福利的亞洲大學。早於2008年，郭位校長已矢志發展香港的動物醫學教育。
讓我們一同分享這個喜悅時刻。
#香港城市大學  #cityu #presidentwaykuo #郭位校長 #OneHealth #健康一體化 #animalwelfare #動物福利 #JockeyClubCollegeofVeterinaryMedicineandLifeSciences #賽馬會動物醫學及生命科學院 #BachelorofVeterinaryMedicine #獸醫學學士課程 #UniversityFarm #大學農場 #CornellUniversity #康奈爾大學 #大埔 #TaiPo #林村 #LamTsuen</t>
  </si>
  <si>
    <t>['#香港城市大學', '#城大', '#城大校長', '#郭位', '#郭位校長', '#郭位教授', '#waykuo', '#kuoway']</t>
  </si>
  <si>
    <t>Episode 6: The University of British Columbia in Canada 第六集：加拿大不列顛哥倫比亞大學</t>
  </si>
  <si>
    <t>Episode 6: The University of British Columbia in Canada - A Top Public University in North America
In this week’s episode, President Way Kuo of City University of Hong Kong will visit the University of British Columbia (UBC) in Canada. Founded in 1908, the university is the oldest university in British Columbia. It has developed into one of the world’s top public universities. With outstanding academic and research achievements, UBC has produced eight Nobel Prize laureates and 273 fellows of the Royal Society of Canada. Moreover, three Canadian prime ministers have been educated at UBC.
For more about the “Beyond Boundaries: Dialogue with Presidents of World’s Leading Educational Institutions” programme series, please refer to the website: www.cityu.edu.hk/beyond-boundaries 
#CityU #PresidentWayKuo #BeyondBoundaries #TheUniversityofBritishColumbia #UBC
第六集：加拿大不列顛哥倫比亞大學 — 北美洲頂尖的公立大學
本周節目，城大郭位校長會訪問加拿大不列顛哥倫比亞大學，大學於1908年創校，是卑詩省最古老的大學，現已發展為世界頂尖公立大學之一。這所大學有卓越的學術和科研成就，共有八位諾貝爾獎得者、273位加拿大皇家學會院士，此外，有三位加拿大總理也曾在這所大學求學。
更多關於《大問於市：與全球頂尖校長對話》系列節目的內容，請瀏覽節目專頁：www.cityu.edu.hk/beyond-boundaries 
#城大  #郭位校長  #大問於市  #加拿大不列顛哥倫比亞大學</t>
  </si>
  <si>
    <t>['#香港城市大學', '#城大', '#城大校長', '#郭位', '#郭位校長', '#郭位教授', '#presidentwaykuo', '#cityu']</t>
  </si>
  <si>
    <t>Episode 6: The University of British Columbia in Canada – Trailer 第六集：加拿大不列顛哥倫比亞大學—預告</t>
  </si>
  <si>
    <t>Episode 6: The University of British Columbia in Canada - A Top Public University in North America
In this week’s episode, President Way Kuo of City University of Hong Kong will visit the University of British Columbia (UBC) in Canada. Founded in 1908, the university is the oldest university in British Columbia. It has developed into one of the world’s top public universities. With outstanding academic and research achievements, UBC has produced eight Nobel Prize laureates and 273 fellows of the Royal Society of Canada. Moreover, three Canadian prime ministers have been educated at UBC.
For more about the “Beyond Boundaries: Dialogue with Presidents of World’s Leading Educational Institutions” programme series, please refer to the website: www.cityu.edu.hk/beyond-boundaries
#CityU #PresidentWayKuo #BeyondBoundaries #TheUniversityofBritishColumbia #UBC
第六集：加拿大不列顛哥倫比亞大學 — 北美洲頂尖的公立大學
本周節目，城大郭位校長會訪問加拿大不列顛哥倫比亞大學，大學於1908年創校，是卑詩省最古老的大學，現已發展為世界頂尖公立大學之一。這所大學有卓越的學術和科研成就，共有八位諾貝爾獎得者、273位加拿大皇家學會院士，此外，有三位加拿大總理也曾在這所大學求學。
更多關於《大問於市：與全球頂尖校長對話》系列節目的內容，請瀏覽節目專頁：www.cityu.edu.hk/beyond-boundaries
#城大  #郭位校長  #大問於市  #加拿大不列顛哥倫比亞大學</t>
  </si>
  <si>
    <t>Episode 5: Ludwig-Maximilians-Universität München 第五集：路德維希-馬克西米利安-慕尼黑大學</t>
  </si>
  <si>
    <t>Episode 5: Ludwig-Maximilians-Universität München - Germany's Top University
Ludwig-Maximilians-Universität München (LMU Munich) is one of Germany's top universities and one of the oldest universities in Europe. This 550-year-old university has produced a total of 28 Nobel Prize winners among its faculty members and alumni. In the 2022 Times Higher Education World University Rankings, LMU Munich was ranked 32nd, the first in Germany. The university values talent recruitment and training and provides an optimal teaching environment and research support to young scholars, enabling them to be the driving force for development of LMU Munich and society.  
For more about the “Beyond Boundaries: Dialogue with Presidents of World’s Leading Educational Institutions” programme series, please refer to the website: www.cityu.edu.hk/beyond-boundaries
#CityU #PresidentWayKuo #BeyondBoundaries #LMUMunich  
第五集：路德維希-馬克西米利安-慕尼黑大學—德國的頂尖大學 
慕尼黑大學是德國的頂尖大學，也是歐洲歷史最悠久的大學之一。這所550年歷史的大學至今共有28位教員和校友獲得諾貝爾奬。在2022年泰晤士高等教育世界大學排名中，慕尼黑大學位列第32名，德國排名第一。大學重視人才招聘和培訓，為年青學者提供理想教學環境和研究支援，讓他們成為慕尼黑大學和社會發展的重要驅動力。 
更多關於《大問於市：與全球頂尖校長對話》系列節目的內容，請瀏覽節目專頁：www.cityu.edu.hk/beyond-boundaries
#城大 #郭位校長 #大問於市 #慕尼黑大學</t>
  </si>
  <si>
    <t>Episode 5: Ludwig-Maximilians-Universität München - Trailer 第五集：路德維希-馬克西米利安-慕尼黑大學—預告</t>
  </si>
  <si>
    <t>Episode 5: Ludwig-Maximilians-Universität München - Germany's Top University
Ludwig-Maximilians-Universität München (LMU Munich) is one of Germany's top universities and one of the oldest universities in Europe. This 550-year-old university has produced a total of 28 Nobel Prize winners among its faculty members and alumni. In the 2022 Times Higher Education World University Rankings, LMU Munich was ranked 32nd, the first in Germany. The university values talent recruitment and training and provides an optimal teaching environment and research support to young scholars, enabling them to be the driving force for development of LMU Munich and society.  
For more about the “Beyond Boundaries: Dialogue with Presidents of World’s Leading Educational Institutions” programme series, please refer to the website: www.cityu.edu.hk/beyond-boundaries
#CityU #PresidentWayKuo #BeyondBoundaries #LMUMunich  
第五集：路德維希-馬克西米利安-慕尼黑大學—德國的頂尖大學 
慕尼黑大學是德國的頂尖大學，也是歐洲歷史最悠久的大學之一。這所550年歷史的大學至今共有28位教員和校友獲得諾貝爾獎。在2022年泰晤士高等教育世界大學排名中，慕尼黑大學位列第32名，德國排名第一。大學重視人才招聘和培訓，為年青學者提供理想教學環境和研究支援，讓他們成為慕尼黑大學和社會發展的重要驅動力。 
更多關於《大問於市：與全球頂尖校長對話》系列節目的內容，請瀏覽節目專頁：www.cityu.edu.hk/beyond-boundaries
#城大 #郭位校長 #大問於市 #慕尼黑大學</t>
  </si>
  <si>
    <t>Episode 4: KU Leuven 第四集：天主教魯汶大學</t>
  </si>
  <si>
    <t>Episode 4: KU Leuven - Europe's Most Innovative University
In this week’s episode, President Way Kuo of City University of Hong Kong will visit KU Leuven in Belgium. With nearly 600 years of history, it is the oldest extant Catholic university in the world. Since the publication of Europe's Most Innovative Universities in 2016 by Reuters, KU Leuven has been consecutively ranked 1st. KU Leuven is committed to applying scientific and technological research as well as knowledge transformation to society.
For more about the “Beyond Boundaries: Dialogue with Presidents of World’s Leading Educational Institutions” programme series, please refer to the website: www.cityu.edu.hk/beyond-boundaries
#CityU #PresidentWayKuo #BeyondBoundaries #KULeuven 
第四集：天主教魯汶大學 — 歐洲最具創新能力的大學
本周節目，城大郭位校長訪問比利時一所有近六百年歷史的天主教魯汶大學，這所大學是現存世界上最古老的天主教大學。在路透社2016年開始發佈的歐洲最具創新能力的大學排名中，天主教魯汶大學持續位列第一名，大學致力將科技研究，知識轉化應用於社會。
更多關於《大問於市：與全球頂尖校長對話》系列節目的內容，請瀏覽節目專頁：www.cityu.edu.hk/beyond-boundaries
#城大  #郭位校長  #大問於市  #天主教魯汶大學</t>
  </si>
  <si>
    <t>CityU Anthem Part 1 was launched last year with the theme “Beyond Boundaries”. Completing the picture, we are excited to debut University Anthem Part 2 with the same melody as Part 1 but with brand new lyrics, once again penned by President Way Kuo. Themed “Knowledge and Wisdom”, Part 2 encapsulates our aspirations to integrate teaching and research, and our determination to stay focused on education. The inspirational lyrics perfectly harmonies with the exceptional score composed by Mr Joe Lei. Both the first and second parts of the Anthem capture our central character and ethos, singing out our special features, expectations, and encouragement, and promoting the University’s vision and mission.
Part 2 of the CityU Anthem comes in Chinese and English. This is the English version of the music video.
To view the Chinese version of the music video, please click here: https://youtu.be/AzPPjtiZ8W8
CityU Anthem website: https://www.cityu.edu.hk/cpro/cityu-brand/cityu-anthem
香港城市大學（城大）繼2021年推出首章以「學研出塵」為主題的校歌，今年再下一城，推出大學校歌第二章「科創入世」，為城大樂章寫上完美句號。原創歌曲配上全新歌詞，傳遞大學致力推動教研合一、教育為本的決心。鏗鏘的歌詞再次出自校長郭位教授手筆，與首章彼此唱和，意境互相呼應，配上李峻一先生的原創音樂，莊嚴而激勵人心，完美演繹城大的特色和精神。 
城大校歌第二章擁有中、英版本。此為英文版本的音樂錄像。
請按此欣賞中文版本的音樂錄像︰https://youtu.be/AzPPjtiZ8W8
城大校歌網頁︰https://www.cityu.edu.hk/cpro/cityu-brand/cityu-anthem-chinese
#大學校歌 #城大 #校歌 #英文校歌 #城大校歌 #CityUAnthem #BeyondBoundaries #KnowledgeandWisdom #TheUniversityAnthem #TheAnthem #CityU</t>
  </si>
  <si>
    <t>['大學校歌', '城大校歌', '城大校長', '郭位', '郭位校長', '城大郭位', 'CityU', '城大', '城大樂章', 'CityU song', 'CityU anthem', 'Beyond Boundaries', '學研出塵', '科創入世', '城大新歌', '香港城市大學', 'HK top university', 'Asia Top university', 'President Way Kuo', '英文校歌', '校歌', '學術科研', 'University Anthem', 'The Anthem', 'academic research', '和而不同', 'Diversity', 'Harmony', 'international', '#KnowledgeandWisdom']</t>
  </si>
  <si>
    <t>Episode 4: KU Leuven – Trailer 第四集：天主教魯汶大學—預告</t>
  </si>
  <si>
    <t>Episode 3: Tel Aviv University in Israel (Part 2) 第三集：以色列特拉維夫大學（下集）</t>
  </si>
  <si>
    <t>Episode 3: Tel Aviv University in Israel – In Pursuit of the Unknown (Part 2)
In this week’s episode, President Way Kuo of City University of Hong Kong continues his dialogue with Professor Ariel Porat, President of Tel Aviv University. They will discuss how to cope with human morality and ethics in the face of scientific and technological progress and they will explore how a university can cooperate with industries to apply knowledge and skills to serve the society.    
For more about the “Beyond Boundaries: Dialogue with Presidents of World’s Leading Educational Institutions” programme series, please refer to the website: www.cityu.edu.hk/beyond-boundaries  
#CityU #PresidentWayKuo #BeyondBoundaries #TelAvivUniversityinIsrael
第三集：以色列特拉維夫大學 — 對未知的探尋（下集）
本周節目，香港城市大學校長郭位教授將繼續與特拉維夫大學校長波拉特教授對談，他們會探討在科技發展進程中，如何兼顧道德與倫理，以及大學如何與業界合作，將研究的知識和技術成果回饋社會。
更多關於《大問於市：與全球頂尖校長對話》系列節目的內容，請瀏覽節目專頁：www.cityu.edu.hk/beyond-boundaries
#城大 #郭位校長 #大問於市 #以色列特拉維夫大學</t>
  </si>
  <si>
    <t>Episode 3: Tel Aviv University in Israel (Part 2) – Trailer 第三集：以色列特拉維夫大學（下集）— 預告</t>
  </si>
  <si>
    <t>Episode 3: Tel Aviv University in Israel – In Pursuit of the Unknown (Part 2)
In this week’s episode, President Way Kuo of City University of Hong Kong continues his dialogue with Professor Ariel Porat, President of Tel Aviv University. They will discuss how to cope with human morality and ethics in the face of scientific and technological progress and they will explore how a university can cooperate with industries to apply knowledge and skills to serve the society.    
For more about the “Beyond Boundaries: Dialogue with Presidents of World’s Leading Educational Institutions” programme series, please refer to the website: www.cityu.edu.hk/beyond-boundaries 
#CityU #PresidentWayKuo #BeyondBoundaries #TelAvivUniversityinIsrael
第三集：以色列特拉維夫大學 — 對未知的探尋（下集）
本周節目，香港城市大學校長郭位教授將繼續與特拉維夫大學校長波拉特教授對談，他們會探討在科技發展進程中，如何兼顧道德與倫理，以及大學如何與業界合作，將研究的知識和技術成果回饋社會。
更多關於《大問於市：與全球頂尖校長對話》系列節目的內容，請瀏覽節目專頁：www.cityu.edu.hk/beyond-boundaries 
#城大 #郭位校長 #大問於市 #以色列特拉維夫大學</t>
  </si>
  <si>
    <t>城大與你一起迎接新學年  A new term and a fresh start at CityU!</t>
  </si>
  <si>
    <t>歡迎踏入2022/23新學年！香港城市大學（城大）大學吉祥物在校園亮相，歡迎來自世界各地的學生匯聚大學校園，一同追尋夢想。城大校長郭位教授亦鼓勵新生多結交朋友，祝願大家有一個美好的大學生活。
讓我們的咆哮傳遍世界。
Welcome to the new 2022/23 academic year! The University Mascot welcomes students from around the world to pursue their very own dreams. President Way Kuo of City University of Hong Kong encourages students to make more friends and wishes them a happy university life. 
Let the world hear our roar!
#cityuniversityofhongkong #cityu #presidentwaykuo #newsemester</t>
  </si>
  <si>
    <t>['#香港城市大學', '#城大', '#城大校長', '#郭位', '#郭位校長', '#郭位教授', '#waykuo', '#kuoway', '#presidentwaykuo', '#cityu']</t>
  </si>
  <si>
    <t>University Welcoming Ceremony 2022— The University Mascot appears live for the first time</t>
  </si>
  <si>
    <t>Episode 2: Tel Aviv University in Israel (Part 1) 第二集：以色列特拉維夫大學（上集）</t>
  </si>
  <si>
    <t>Episode 2: Tel Aviv University in Israel - In Pursuit of the Unknown (Part 1)
In this week’s episode, Professor Way Kuo, President of City University of Hong Kong, visits the largest university in Israel, Tel Aviv University (TAU). Established in 1956, TAU has cultivated a large number of talents for scientific research and many leaders for Israel. It actively nurtures start-ups on campus and has played a vital role in Israel’s overall development.      
For more about the “Beyond Boundaries: Dialogue with Presidents of World’s Leading Educational Institutions” programme series, please refer to the website: www.cityu.edu.hk/beyond-boundaries
#CityU #PresidentWayKuo #BeyondBoundaries #TelAvivUniversityinIsrael 
第二集：以色列特拉維夫大學—對未知的探尋（上集）
本周節目，香港城市大學校長郭位教授訪問了以色列最大的一所大學－特拉維夫大學。這所大學成立於1956年，為以色列培育了大量科研人才和領袖，並積極培育校內的初創企業，在以色列整體社會發展中擔當了重要的角色。   
更多關於《大問於市：與全球頂尖校長對話》系列節目的內容，請瀏覽節目專頁：www.cityu.edu.hk/beyond-boundaries
#城大 #郭位校長 #大問於市 #以色列特拉維夫大學</t>
  </si>
  <si>
    <t>Episode 2: Tel Aviv University in Israel (Part 1) – Trailer 第二集：以色列特拉維夫大學（上集）—預告</t>
  </si>
  <si>
    <t>Episode 2: Tel Aviv University in Israel - In Pursuit of the Unknown (Part 1)
In this week’s episode, Professor Way Kuo, President of City University of Hong Kong, visits the largest university in Israel, Tel Aviv University (TAU). Established in 1956, TAU has cultivated a large number of talents for scientific research and many leaders for Israel. It actively nurtures start-ups on campus and has played a vital role in Israel’s overall development.      
For more about the “Beyond Boundaries: Dialogue with Presidents of World’s Leading Educational Institutions” programme series, please refer to the website: www.cityu.edu.hk/beyond-boundaries
#CityU #PresidentWayKuo #BeyondBoundaries #TelAvivUniversityinIsrael 
第二集：以色列特拉維夫大學—對未知的探尋（上集）
本周節目，香港城市大學校長郭位教授訪問了以色列最大的一所大學－特拉維夫大學。這所大學成立於1956年，為以色列培育了大量科研人才和領袖，並積極培育校內的初創企業，在以色列整體社會發展中擔當了重要的角色。   
更多關於《大問於市：與全球頂尖校長對話》系列節目的內容，請瀏覽節目專頁：www.cityu.edu.hk/beyond-boundaries
#城大 #郭位校長 #大問於市 #以色列特拉維夫大學</t>
  </si>
  <si>
    <t>Episode 1: George Washington University 第一集：喬治．華盛頓大學</t>
  </si>
  <si>
    <t>Episode 1: A Tale of Two Universities - George Washington University and Washington University in St. Louis
Produced by City University of Hong Kong, the 3rd series of “Beyond Boundaries: Dialogue with Presidents of World’s Leading Educational Institutions” features President Way Kuo’s continuing explorations of global education development with the presidents and principals of top universities and high schools in the U.S., Israel, Belgium, Germany, Canada, France, and others.
In the 1st episode of the new series, President Kuo visits George Washington University, named after the 1st president of the U.S. Located near the White House and other government departments in Washington D.C., George Washington University has cultivated innumerable leaders, diplomatic and legal professionals for the United States and the world.
For more about the “Beyond Boundaries: Dialogue with Presidents of World’s Leading Educational Institutions” programme series, please refer to the website: www.cityu.edu.hk/beyond-boundaries
#CityU #PresidentWayKuo #BeyondBoundaries #GeorgeWashingtonUniversity #WashingtonUniversityinStLouis
第一集：雙校記—喬治．華盛頓大學 與 聖路易斯華盛頓大學
在香港城市大學製作的第三輯《大問於市：與全球頂尖校長對話》系列節目中，城大郭位校長將與美國、以色列、比利時、德國、加拿大、法國等多間頂尖大學和中學校長繼續對談，瞻望未來教育的發展方向。
在新一輯系列節目的第一集中，郭位校長訪問美國的喬治．華盛頓大學，一間以美國首任總統喬治．華盛頓命名的大學。這所位於華盛頓特區的學府，與白宮和眾多政府部門相鄰，為美國和全球培育了大量領袖以及外交和法律人才。
更多關於《大問於市：與全球頂尖校長對話》系列節目的內容，請瀏覽節目專頁：www.cityu.edu.hk/beyond-boundaries
#城大 #郭位校長 #大問於市 #喬治華盛頓大學 #聖路易斯華盛頓大學</t>
  </si>
  <si>
    <t>Episode 1: George Washington University - Trailer 第一集：喬治．華盛頓大學—預告</t>
  </si>
  <si>
    <t>Episode 8: University of Louvain 第八集：魯汶天主教大學</t>
  </si>
  <si>
    <t>Episode 8: University of Louvain – One of the Oldest Universities in Europe
In this week’s episode, Professor Way Kuo, President of City University of Hong Kong, will introduce the University of Louvain (French-speaking), Belgium, which was established nearly 600 years ago and is the oldest extant Catholic university in the world. Many well-known scholars taught there in the 16th century, including the famous Renaissance humanist Erasmus, the father of modern anatomy Vesalius, cartographer Mercator and many others.
For more about the “Beyond Boundaries: Dialogue with Presidents of World’s Leading Educational Institutions” programme series, please refer to the website: www.cityu.edu.hk/beyond-boundaries
#CityU #PresidentWayKuo #BeyondBoundaries #UniversityofLouvain 
第八集：魯汶天主教大學—歐洲最古老的大學之一
本周節目，香港城市大學郭位校長會介紹比利時的魯汶天主教大學（法語）。這是現存最古老的天主教大學，距今已有近六百年歷史。於16世紀，許多著名學者在這所天主教大學任教，包括文藝復興時期著名的人文學者伊拉斯謨，現代解剖學之父維塞利亞斯，以及地圖學家墨卡托等。  
更多關於《大問於市：與全球頂尖校長對話》系列節目的內容，請瀏覽節目專頁：www.cityu.edu.hk/beyond-boundaries
#城大 #郭位校長 #大問於市 #魯汶天主教大學</t>
  </si>
  <si>
    <t>Episode 8: University of Louvain - Trailer 第八集：魯汶天主教大學—預告</t>
  </si>
  <si>
    <t>Episode 6: Institut Polytechnique de Paris  第六集：巴黎綜合理工大學</t>
  </si>
  <si>
    <t>Episode 6: Institut Polytechnique de Paris – Top Higher Education in France 
In this week's episode, President Way Kuo of City University of Hong Kong will visit the Institut Polytechnique de Paris in France. It is a world-class institute of science and technology that brings together five prestigious French engineering schools, integrating the top five schools’ professional knowledge and research achievements over the past two centuries. The institute is an essential driving force for technological and social development in France, committed to excellence in research and education. 
For more about the “Beyond Boundaries: Dialogue with Presidents of World’s Leading Educational Institutions” programme series, please refer to the website: www.cityu.edu.hk/beyond-boundaries
#CityU #PresidentWayKuo #BeyondBoundaries #InstitutPolytechniquedeParis  
第六集：巴黎綜合理工大學 —法國菁英教育的巔峰 
本周節目，香港城市大學校長郭位教授會到訪巴黎綜合理工大學。它是一所世界級的科技大學，由五所著名的法國工程學院合併而成，匯集了這些頂尖學院在過去兩個世紀以來在專業知識和研究方面的成果，致力於教學和科研，是推動法國科技和社會發展的中堅力量。 
更多關於《大問於市：與全球頂尖校長對話》系列節目的內容，請瀏覽節目專頁：www.cityu.edu.hk/beyond-boundaries
#城大 #郭位校長 #大問於市 #巴黎綜合理工大學</t>
  </si>
  <si>
    <t>To provide a dynamic platform for examining innovative strategies and approaches to major challenges in science and technology, City University of Hong Kong (CityU) will host six forums in the HK Tech Forum series in the second half of 2022. A number of world-leading scholars, including numerous Nobel Laureates and Turing Award recipients, will take part in the forum and give speeches. The HK Tech Forum will be kicked off by the Forum on Data Science and AI, starting 26-27 July 2022.
Under the theme “Empowering society for a better future”, the HK Tech Forum series will focus on grand challenges that impact our world, including Data Science and AI, Reliability and Safety of Intelligent Systems, Advanced Matter and Materials, Carbon Neutrality and Sustainable Environment, Quantum Physics and Complex Systems, and Metabolism in Health and Disease, with plans to expand the forum into 2023 and beyond.
For more information about HK Tech Forum, please visit the website: https://www.cityu.edu.hk/hktechforum/.
為提供學術平台以積極探究創新的策略和方法應對重大科技難題，香港城市大學（城大）將於2022年舉行六場HK Tech Forum論壇，匯聚全球頂尖學者，包括多位諾貝爾獎及圖靈獎得主發表專題演講。HK Tech Forum將於2022年7月26至27日，由數據科學及人工智能論壇揭開序幕。
論壇以「Empowering society for a better future」為主題，聚焦探討影響全球的議題，包括數據科學和人工智能、智能系統安全及可靠度、先進功能和結構材料、碳中和與環境永續發展、量子物理及複雜系統，以及代謝─健康與疾病，並計劃於2023年及以後續辦論壇。
如欲了解更多HK Tech Forum詳情，請參閱網頁：https://www.cityu.edu.hk/hktechforum/
#cityuniversityofhongkong #cityu #presidentwaykuo #HKTechForum #EmpoweringSocietyforaBetterFuture</t>
  </si>
  <si>
    <t>Episode 7: National University of Singapore 第七集：新加坡國立大學</t>
  </si>
  <si>
    <t>Episode 7: National University of Singapore – Nurturing Top Talent
In this week’s episode, Professor Way Kuo, President of City University of Hong Kong, visits the National University of Singapore (NUS). NUS has not only cultivated a large number of leaders and executive talent for Singapore, but also made a significant contribution to the country's economic take-off. With its outstanding achievements in teaching and research, the university has become a top world-renowned university.
For more about the “Beyond Boundaries: Dialogue with Presidents of World’s Leading Educational Institutions” programme series, please refer to the website: www.cityu.edu.hk/beyond-boundaries
#CityU #PresidentWayKuo #BeyondBoundaries #NationalUniversityofSingapore 
第七集：新加坡國立大學—培育頂尖人才
本周節目，香港城市大學校長郭位教授會到訪新加坡國立大學。這大學不但為新加坡培育大量領袖和行政人才，也為該國經濟騰飛作出了重要貢獻。它在教學與科研方面都成就卓越，現已成為馳譽全球的頂尖大學。
更多關於《大問於市：與全球頂尖校長對話》系列節目的內容，請瀏覽節目專頁：www.cityu.edu.hk/beyond-boundaries
#城大 #郭位校長 #大問於市 #新加坡國立大學</t>
  </si>
  <si>
    <t>Episode 7: National University of Singapore - Trailer 第七集：新加坡國立大學—預告</t>
  </si>
  <si>
    <t>Episode 6: Institut Polytechnique de Paris - Trailer 第六集：巴黎綜合理工大學 —預告</t>
  </si>
  <si>
    <t>Episode 6: Institut Polytechnique de Paris – Top Higher Education in France 
In this week's episode, President Way Kuo of City University of Hong Kong will visit the Institut Polytechnique de Paris in France. It is a world-class institute of science and technology that brings together five prestigious French engineering schools, integrating the top five schools’ professional knowledge and research achievements over the past two centuries. The institute is an essential driving force for technological and social development in France, committed to excellence in research and education. 
For more about the “Beyond Boundaries: Dialogue with Presidents of World’s Leading Educational Institutions” programme series, please refer to the website: www.cityu.edu.hk/beyond-boundaries
#CityU #PresidentWayKuo #BeyondBoundaries #InstitutPolytechniquedeParis  
第六集：巴黎綜合理工大學 —法國菁英教育的巔峰 
本周節目，香港城市大學校長郭位教授會到訪巴黎綜合理工大學。它是一所世界級的科技大學，由五所著名的法國工程學院合併而成，匯集了這些頂尖學院在過去兩個世紀以來在專業知識和研究方面的成果，致力於教學和科研，是推動法國科技和社會發展的中堅力量。 
更多關於《大問於市：與全球頂尖校長對話》系列節目的內容，請瀏覽節目專頁：www.cityu.edu.hk/beyond-boundaries
#城大 #郭位校長 #大問於市 #巴黎綜合理工大學</t>
  </si>
  <si>
    <t>Episode 5: Taipei Municipal Jianguo High School 第五集：臺北市立建國高級中學</t>
  </si>
  <si>
    <t>Episode 5: Taipei Municipal Jianguo High School – A high school famous for nurturing talent
In this week’s episode, Professor Way Kuo, President of City University of Hong Kong, will take the audience to visit the Taipei Municipal Jianguo High School. Established over a hundred years ago, this renowned high school advocates the freedom to learn and focuses on training students to think independently and freely. Not only are its students known for outstanding academic performance, many of its alumni become well-accomplished celebrities in all walks of life.
For more about the “Beyond Boundaries: Dialogue with Presidents of World’s Leading Educational Institutions” programme series, please refer to the website: www.cityu.edu.hk/beyond-boundaries 
#CityU #PresidentWayKuo #BeyondBoundaries #TaipeiMunicipalJianguoHighSchool
第五集：臺北市立建國高級中學—人才輩出
本周節目中，香港城市大學校長郭位教授將帶領觀眾訪問一所超過一百年歷史的臺北市立建國高級中學。這所著名中學崇尚自由學習的風氣，重視訓練學生獨立和自由思考，不僅在校學生成績優秀，校友中更是名人輩出，成就斐然。
更多關於《大問於市：與全球頂尖校長對話》系列節目的內容，請瀏覽節目專頁：www.cityu.edu.hk/beyond-boundaries 
#城大 #郭位校長 #大問於市 #臺北市立建國高級中學</t>
  </si>
  <si>
    <t>Episode 5: Taipei Municipal Jianguo High School - Trailer 第五集：臺北市立建國高級中學—預告</t>
  </si>
  <si>
    <t>Episode 5: Taipei Municipal Jianguo High School – A high school famous for nurturing talent
In this week’s episode, Professor Way Kuo, President of City University of Hong Kong, will take the audience to visit the Taipei Municipal Jianguo High School. Established over a hundred years ago, this renowned high school advocates the freedom to learn and focuses on training students to think independently and freely. Not only are its students known for outstanding academic performance, many of its alumni become well-accomplished celebrities in all walks of life.
For more about the “Beyond Boundaries: Dialogue with Presidents of World’s Leading Educational Institutions” programme series, please refer to the website: www.cityu.edu.hk/beyond-boundaries
#CityU #PresidentWayKuo #BeyondBoundaries #TaipeiMunicipalJianguoHighSchool
第五集：臺北市立建國高級中學—人才輩出
本周節目中，香港城市大學校長郭位教授將帶領觀眾訪問一所超過一百年歷史的臺北市立建國高級中學。這所著名中學崇尚自由學習的風氣，重視訓練學生獨立和自由思考，不僅在校學生成績優秀，校友中更是名人輩出，成就斐然。
更多關於《大問於市：與全球頂尖校長對話》系列節目的內容，請瀏覽節目專頁：www.cityu.edu.hk/beyond-boundaries
#城大 #郭位校長 #大問於市 #臺北市立建國高級中學</t>
  </si>
  <si>
    <t>Episode 4: Simon Fraser University 第四集：西蒙菲莎大學</t>
  </si>
  <si>
    <t>Episode 4: Simon Fraser University – Young and Progressive 
In this week’s episode, Professor Way Kuo, President of City University of Hong Kong, visits Simon Fraser University (SFU) in Vancouver. SFU stresses community engagement and incorporates major social development issues into its research and education. In addition, SFU proactively pursues research into green technology, renewable energy, and sustainable development.      
For more about the “Beyond Boundaries: Dialogue with Presidents of World’s Leading Educational Institutions” programme series, please refer to the website: www.cityu.edu.hk/beyond-boundaries
#CityU #PresidentWayKuo #BeyondBoundaries #SimonFraserUniversity 
第四集：西蒙菲莎大學—年輕進取的大學 
本周節目，香港城市大學校長郭位教授會到訪溫哥華的西蒙菲莎大學，大學重視社區參與，將社會發展的需要融入研究與教學之中。大學更致力於綠色科技、再生能源和可持續發展的研究。  
更多關於《大問於市：與全球頂尖校長對話》系列節目的內容，請瀏覽節目專頁：www.cityu.edu.hk/beyond-boundaries
#城大 #郭位校長 #大問於市 #西蒙菲莎大學</t>
  </si>
  <si>
    <t>Episode 4: Simon Fraser University - Trailer 第四集：西蒙菲莎大學 — 預告</t>
  </si>
  <si>
    <t>Episode 4: Simon Fraser University – Young and Progressive 
In this week’s episode, Professor Way Kuo, President of City University of Hong Kong, visits Simon Fraser University (SFU) in Vancouver. SFU stresses community engagement and incorporates major social development issues into its research and education. In addition, SFU proactively pursues research into green technology, renewable energy, and sustainable development.      
For more about the “Beyond Boundaries: Dialogue with Presidents of World’s Leading Educational Institutions” programme series, please refer to the website: www.cityu.edu.hk/beyond-boundaries
#CityU #PresidentWayKuo #BeyondBoundaries #SimonFraserUniversity
第四集：西蒙菲莎大學—年輕進取的大學 
本周節目，香港城市大學校長郭位教授會到訪溫哥華的西蒙菲莎大學，大學重視社區參與，將社會發展的需要融入研究與教學之中。大學更致力於綠色科技、再生能源和可持續發展的研究。  
更多關於《大問於市：與全球頂尖校長對話》系列節目的內容，請瀏覽節目專頁：www.cityu.edu.hk/beyond-boundaries
#城大 #郭位校長 #大問於市 #西蒙菲莎大學</t>
  </si>
  <si>
    <t>Episode 3: Technion-Israel Institute of Technology  第三集：以色列理工學院</t>
  </si>
  <si>
    <t>Episode 3: Technion-Israel Institute of Technology – Technological Driving Engine of the Nation
Professor Way Kuo, President of City University of Hong Kong, takes viewers on a visit to the Technion-Israel Institute of Technology in this week's episode. Renowned for its excellence in science and technology, Technion has been invited by Cornell University in the US to collaborate on a new entrepreneurial campus in New York, combining teaching and entrepreneurship and directly incubating start-ups. Technion is playing a vital role in the overall development of Israel.
For more about the “Beyond Boundaries: Dialogue with Presidents of World’s Leading Educational Institutions” programme series, please refer to the website: www.cityu.edu.hk/beyond-boundaries
#CityU #PresidentWayKuo #BeyondBoundaries #TechnionIsraelInstituteofTechnology
第三集：以色列理工學院—國之科技重器
本周節目，香港城市大學校長郭位教授會與觀眾到訪以色列理工學院，一間以科技研究聞名的大學。學院被美國康奈爾大學（Cornell University）邀請合作，在紐約開辦創業新校區項目，將教學與創業結合在校園內，直接孵化創業公司。以色列理工學院在以色列的整體發展中擔當重要角色。
更多關於《大問於市：與全球頂尖校長對話》系列節目的內容，請瀏覽節目專頁：www.cityu.edu.hk/beyond-boundaries
#城大 #郭位校長 #大問於市 #以色列理工學院</t>
  </si>
  <si>
    <t>Episode 3: Technion-Israel Institute of Technology - Trailer 第三集：以色列理工學院—預告</t>
  </si>
  <si>
    <t>Episode 2: University of Vienna (Part 2) 第二集：維也納大學（下）</t>
  </si>
  <si>
    <t>Episode 2: University of Vienna – The oldest German-speaking University (Part 2) 
In this week’s episode, Professor Way Kuo, President of City University of Hong Kong, will continue the dialogue with Professor Heinz W. Engl, Rector of the University of Vienna, exploring the advantages and differences between European and North American systems of higher education and discussing how a university can promote sustainable development by strengthening cooperation with industry.    
For more about the “Beyond Boundaries: Dialogue with Presidents of World’s Leading Educational Institutions” programme series, please refer to the website: www.cityu.edu.hk/beyond-boundaries
#CityU #PresidentWayKuo #BeyondBoundaries #UniversityofVienna
第二集：維也納大學—現存最古老的德語大學（下）
本周節目，香港城市大學校長郭位教授會繼續與維也納大學校長漢茲·恩格教授對談，探討歐洲和美國高等教育的優點和分別，並討論大學如何加強與產業界合作，推動可持續發展。
更多關於《大問於市：與全球頂尖校長對話》系列節目的內容，請瀏覽節目專頁：www.cityu.edu.hk/beyond-boundaries
#城大 #郭位校長 #大問於市 #維也納大學</t>
  </si>
  <si>
    <t>Episode 2: University of Vienna (Part 2) - Trailer 第二集：維也納大學（下）— 預告</t>
  </si>
  <si>
    <t>Episode 2: University of Vienna – The oldest German-speaking University (Part 2) 
In this week’s episode, Professor Way Kuo, President of City University of Hong Kong, will continue the dialogue with Professor Heinz W. Engl, Rector of the University of Vienna, exploring the advantages and differences between European and North American systems of higher education and discussing how a university can promote sustainable development by strengthening cooperation with industry.    
For more about the “Beyond Boundaries: Dialogue with Presidents of World’s Leading Educational Institutions” programme series, please refer to the website: www.cityu.edu.hk/beyond-boundaries
#CityU #PresidentWayKuo #BeyondBoundaries #UniversityofVienna
第二集：維也納大學—現存最古老的德語大學（下）
本周節目，香港城市大學校長郭位教授會繼續與維也納大學校長漢茲·恩格教授對談，探討歐洲和美國高等教育的優點和分別，並討論大學如何加強與產業界合作，推動可持續發展。
更多關於《大問於市：與全球頂尖校長對話》系列節目的內容，請瀏覽節目專頁：www.cityu.edu.hk/beyond-boundaries
#城大 #郭位校長 #大問於市 #維也納大學</t>
  </si>
  <si>
    <t>President’s farewell message to retirees 2022 and lucky draw</t>
  </si>
  <si>
    <t>Episode 1: University of Vienna (Part 1) 第一集：維也納大學（上）</t>
  </si>
  <si>
    <t>Episode 1: University of Vienna – The oldest German-speaking University (Part 1)
In the second series of "Beyond Boundaries: Dialogue with Presidents of World’s Leading Educational Institutions", President Way Kuo of City University of Hong Kong discusses contemporary education issues and explores the future direction of education development from a global perspective with presidents of renowned universities in Austria, Canada, France, Israel, Singapore, and the head of a secondary school in Taiwan.
In the first episode, President Kuo takes audiences to Vienna, the music capital of Europe, to visit a university with over 600 years of history, the University of Vienna, where celebrated scholars such as Sigmund Freud, the founder of the psychoanalytic school of thought, the sociologist Max Weber, and the economist Frederick Hayek either taught or studied.
For more about the “Beyond Boundaries: Dialogue with Presidents of World’s Leading Educational Institutions” programme series, please refer to the website: www.cityu.edu.hk/beyond-boundaries
#CityU #PresidentWayKuo #BeyondBoundaries #UniversityofVienna
第一集：維也納大學—現存最古老的德語大學（上）
全新一輯《大問於市：與全球頂尖校長對話》系列節目，香港城市大學校長郭位教授會訪問奧地利、加拿大、法國、以色列、新加坡及台灣等多所頂尖學府，與世界各地知名大學校長及中學校長對談，從國際視野討論當代教育議題及前瞻未來教育的發展方向。
在第一集，郭位校長會帶觀眾去到歐洲音樂之都維也納，訪問有六百多年歷史的維也納大學。多位著名學者，如開創精神分析學派的佛洛伊德、著名社會學家馬克斯．韋伯、經濟學家弗里德里克．海耶克，都曾經在這所大學任教或接受教育。
更多關於《大問於市：與全球頂尖校長對話》系列節目的內容，請瀏覽節目專頁：www.cityu.edu.hk/beyond-boundaries
#城大 #郭位校長 #大問於市 #維也納大學</t>
  </si>
  <si>
    <t>Episode 1: University of Vienna (Part 1) - Trailer 第一集：維也納大學（上）— 預告</t>
  </si>
  <si>
    <t>President’s Address for CityU 2022 College/ School Commencement</t>
  </si>
  <si>
    <t>#香港城市大學  #cityu #presidentwaykuo #郭位校長 #Commencement #畢業典禮</t>
  </si>
  <si>
    <t>The highly prestigious science journal Nature and Nature journals for the first time joined hands with a local university, City University of Hong Kong, to hold an online international academic conference, held from 17 to 19 May, titled “Nature Conferences – Chemistry of 2D Materials”. Discussions focused on the syntheses of 2D materials as well as their chemical functionalisation. Leading scientists exchanged innovative views on establishing future research directions.
“This is the first time that a Nature Conference is being held with a university in Hong Kong and we are proud that the event is in partnership with CityU bringing together some of the best scholars in the field of the chemistry of 2D materials,” said President Way Kuo.
The event served as a pre-launch activity for HK Tech Forum, a major new CityU initiative. HK Tech Form is a bold new platform taking place through until December for examining strategies and approaches to major challenges in science and technology. It brings together award-winning scientists and will be an excellent vehicle for letting the world know more about CityU’s tremendously exciting research achievements.
Please stay tuned to the HK Tech Forum website for the latest information: https://www.cityu.edu.hk/hktechforum/
#cityuniversityofhongkong #cityu #presidentwaykuo #HKTechForum #NatureConferences #EmpoweringSocietyforaBetterFuture #ScienceJournalNature #Naturejournals</t>
  </si>
  <si>
    <t>城大與自然系列期刊合辦網上科技會議  郭位校長：掀開HK Tech Forum序幕</t>
  </si>
  <si>
    <t>著名科學期刊《自然》及自然系列期刊首次聯同本地大學—香港城市大學，於5月17至19日舉辦題為「自然學術會議：二維材料化學」的網上國際學術會議，匯聚頂尖的科學家，聚焦討論二維材料的合成及其化學功能，共同探索未來的研究方向。
郭位校長說：「這是自然學術會議首次與香港的大學合作舉行。城大能夠參與合辦，讓二維材料科學領域的卓越學者匯聚交流，實在令我們感到自豪和興奮。」
會議同時為城大一項重大舉措「HK Tech Forum」掀開序幕，這是一個持續至12月的嶄新獨特平台，屆時將有多位屢獲殊榮的科學家參與，讓全球更多人了解城大的卓越研究成果。
請緊貼城大HK Tech Forum專頁，留意最新資訊︰www.cityu.edu.hk/hktechforum/
#香港城市大學  #cityu #presidentwaykuo #郭位校長 #HKTechForum #自然學術會議 #NatureConferences #EmpoweringSocietyforaBetterFuture #ScienceJournalNature #Naturejournals</t>
  </si>
  <si>
    <t>Episode 8: Diocesan Girls' School 第八集：拔萃女書院</t>
  </si>
  <si>
    <t>Episode 8: Diocesan Girls' School – A school famous for balancing excellence in learning and sport
In this week’s episode, Professor Way Kuo, President of City University of Hong Kong, discusses how to nurture young people willing to serve others and contribute to society with Mrs Stella Lau Kun Lai-kuen, Headmistress of Diocesan Girls' School, which has nurtured countless outstanding women in Hong Kong over the past 100 years.
For more about the “Beyond Boundaries: Dialogue with Presidents of World’s Leading Educational Institutions” programme series, please refer to the website: www.cityu.edu.hk/beyond-boundaries 
#CityU #PresidentWayKuo #BeyondBoundaries #DiocesanGirlsSchool 
第八集：拔萃女書院─文武雙全的狀元書院 
今集節目，香港城市大學校長郭位教授到訪在過去百多年，為香港培育無數傑出女性的拔萃女書院。郭校長與拔萃女書院校長劉靳麗娟女士對談，探討如何培育樂於服務他人，回饋社會的年青人。
更多關於《大問於市：與全球頂尖校長對話》系列節目的內容，請瀏覽節目專頁：www.cityu.edu.hk/beyond-boundaries 
#城大 #郭位校長 #大問於市 #拔萃女書院</t>
  </si>
  <si>
    <t>Episode 8: Diocesan Girls' School - Trailer 第八集：拔萃女書院—預告</t>
  </si>
  <si>
    <t>Episode 8: Diocesan Girls' School – A school famous for balancing excellence in learning and sport
In this week’s episode, Professor Way Kuo, President of City University of Hong Kong, discusses how to nurture young people willing to serve others and contribute to society with Mrs Stella Lau Kun Lai-kuen, Headmistress of Diocesan Girls' School, which has nurtured countless outstanding women in Hong Kong over the past 100 years.
For more about the “Beyond Boundaries: Dialogue with Presidents of World’s Leading Educational Institutions” programme series, please refer to the website: www.cityu.edu.hk/beyond-boundaries
#CityU #PresidentWayKuo #BeyondBoundaries #DiocesanGirlsSchool 
第八集：拔萃女書院─文武雙全的狀元書院 
今集節目，香港城市大學校長郭位教授到訪在過去百多年，為香港培育無數傑出女性的拔萃女書院。郭校長與拔萃女書院校長劉靳麗娟女士對談，探討如何培育樂於服務他人，回饋社會的年青人。
更多關於《大問於市：與全球頂尖校長對話》系列節目的內容，請瀏覽節目專頁：www.cityu.edu.hk/beyond-boundaries
#城大 #郭位校長 #大問於市 #拔萃女書院</t>
  </si>
  <si>
    <t>Episode 7: Shanghai Jiao Tong University (Part 2)  第七集：上海交通大學（下）</t>
  </si>
  <si>
    <t>Episode 7: Shanghai Jiao Tong University – University of Gratitude and Responsibility (Part 2)
In this week’s episode, Professor Way Kuo, President of City University of Hong Kong, will continue his dialogue with Professor Zhang Jie, President of Shanghai Jiao Tong University (2006–2017). They will discuss the relationship between higher education and economic development, and how universities can cultivate talent in an era of rapid technological development.
For more about the “Beyond Boundaries: Dialogue with Presidents of World’s Leading Educational Institutions” programme series, please refer to the website: www.cityu.edu.hk/beyond-boundaries 
#CityU #PresidentWayKuo #BeyondBoundaries #ShanghaiJiaoTongUniversity 
第七集：上海交通大學 ─ 感恩與責任的大學（下）
今集節目，香港城市大學校長郭位教授會繼續與上海交通大學張杰校長（任期：2006-2017）對談，探討高等教育與經濟發展的相互關係，以及在這科技快速發展的年代，大學如何培育未來社會需要的人才。
更多關於《大問於市：與全球頂尖校長對話》系列節目的內容，請瀏覽節目專頁：www.cityu.edu.hk/beyond-boundaries 
#城大 #郭位校長 #大問於市 #上海交通大學</t>
  </si>
  <si>
    <t>['#香港城市大學 #城大 #城大校長 #郭位 #郭位校長 #郭位教授 #presidentwaykuo #cityu']</t>
  </si>
  <si>
    <t>Episode 7: Shanghai Jiao Tong University (Part 2) - Trailer 第七集：上海交通大學（下）—預告</t>
  </si>
  <si>
    <t>Episode 7: Shanghai Jiao Tong University – University of Gratitude and Responsibility (Part 2)
In this week’s episode, Professor Way Kuo, President of City University of Hong Kong, will continue his dialogue with Professor Zhang Jie, President of Shanghai Jiao Tong University (2006–2017). They will discuss the relationship between higher education and economic development, and how universities can cultivate talent in an era of rapid technological development.
For more about the “Beyond Boundaries: Dialogue with Presidents of World’s Leading Educational Institutions” programme series, please refer to the website: www.cityu.edu.hk/beyond-boundaries
#CityU #PresidentWayKuo #BeyondBoundaries #ShanghaiJiaoTongUniversity 
第七集：上海交通大學 ─ 感恩與責任的大學（下）
今集節目，香港城市大學校長郭位教授會繼續與上海交通大學張杰校長（任期：2006-2017）對談，探討高等教育與經濟發展的相互關係，以及在這科技快速發展的年代，大學如何培育未來社會需要的人才。
更多關於《大問於市：與全球頂尖校長對話》系列節目的內容，請瀏覽節目專頁：www.cityu.edu.hk/beyond-boundaries
#城大 #郭位校長 #大問於市 #上海交通大學</t>
  </si>
  <si>
    <t>城大HK Tech 300首頒天使基金予49家初創　總投放額逾4,600萬</t>
  </si>
  <si>
    <t>香港城市大學（城大）於4月26日舉行網上新聞發佈會，公佈首批獲得HK Tech 300天使基金投資的初創企業名單。49間初創公司各獲得最高達港幣100萬元的天使基金投資，總投放額逾港幣4,600萬元。
城大校董會主席黃嘉純先生指這些投資促進整個初創生態圈的發展。
城大校長郭位教授表示對這些初創公司順利發展及城大技術得到廣泛應用感到自豪。
欲知道更多詳情？馬上去片。</t>
  </si>
  <si>
    <t>['#香港城市大學', '#城大 #城大校長 #郭位 #郭位校長 #郭位教授 #cityu', '#cityuniversityofhongkong #hktech300 #初創 #start-ups #waykuo#presidentwaykuo #professorwaykuo']</t>
  </si>
  <si>
    <t>Episode 6: Shanghai Jiao Tong University (Part 1)  第六集：上海交通大學（上）</t>
  </si>
  <si>
    <t>Episode 6: Shanghai Jiao Tong University – University of Gratitude and Responsibility (Part 1)    
In this week’s episode, Professor Way Kuo, President of City University of Hong Kong, has a dialogue with Professor Zhang Jie, an outstanding expert in higher education, Fellow of the Chinese Academy of Sciences, and President of Shanghai Jiao Tong University (2006–2017). President Zhang will share his experience with President Kuo, and they will also discuss their vision and ambition for higher education.
For more about the “Beyond Boundaries: Dialogue with Presidents of World’s Leading Educational Institutions” programme series, please refer to the website: www.cityu.edu.hk/beyond-boundaries
#CityU #PresidentWayKuo #BeyondBoundaries #ShanghaiJiaoTongUniversity 
第六集：上海交通大學－感恩與責任的大學（上）
今集節目，香港城市大學校長郭位教授在節目中，與中國著名高等教育專家、中國科學院院士、上海交通大學校長（任期：2006-2017）張杰教授對談。張校長會在訪談中分享他在大學階段的成長經歷，他們亦會探討對高等教育的願景和抱負。
更多關於《大問於市：與全球頂尖校長對話》系列節目的內容，請瀏覽節目專頁：www.cityu.edu.hk/beyond-boundaries
#城大 #郭位校長 #大問於市 #上海交通大學
Excerpt of the YouTube video titled “Nobel Banquet speech by Rainer Weiss, Nobel Prize in Physics 2017” used in the programme: ©Nobel Media AB, production SVT.</t>
  </si>
  <si>
    <t>Episode 6: Shanghai Jiao Tong University (Part 1) - Trailer 第六集：上海交通大學（上）— 預告</t>
  </si>
  <si>
    <t>Episode 6: Shanghai Jiao Tong University – University of Gratitude and Responsibility (Part 1)    
In this week’s episode, Professor Way Kuo, President of City University of Hong Kong, has a dialogue with Professor Zhang Jie, an outstanding expert in higher education, Fellow of the Chinese Academy of Sciences, and President of Shanghai Jiao Tong University (2006–2017). President Zhang will share his experience with President Kuo, and they will also discuss their vision and ambition for higher education.
For more about the “Beyond Boundaries: Dialogue with Presidents of World’s Leading Educational Institutions” programme series, please refer to the website: www.cityu.edu.hk/beyond-boundaries
#CityU #PresidentWayKuo #BeyondBoundaries #ShanghaiJiaoTongUniversity 
第六集：上海交通大學－感恩與責任的大學（上）
今集節目，香港城市大學校長郭位教授在節目中，與中國著名高等教育專家、中國科學院院士、上海交通大學校長（任期：2006-2017）張杰教授對談。張校長會在訪談中分享他在大學階段的成長經歷，他們亦會探討對高等教育的願景和抱負。
更多關於《大問於市：與全球頂尖校長對話》系列節目的內容，請瀏覽節目專頁：www.cityu.edu.hk/beyond-boundaries
#城大 #郭位校長 #大問於市 #上海交通大學</t>
  </si>
  <si>
    <t>Episode 5: University of Stuttgart  第五集：斯圖加特大學</t>
  </si>
  <si>
    <t>Episode 5: University of Stuttgart – University in a World-class Automobile City in Germany 
In this episode, Professor Way Kuo, President of City University of Hong Kong, invites Professor Wolfram Ressel, Rector of the University of Stuttgart, to discuss how transforming the results of scientific and technological research into industrial development enables German universities to contribute to the development of Germany's automobile industry. Professor Ressel will also share the University of Stuttgart’s experience in cooperating with automotive companies in research and development for future automobiles.
For more about the “Beyond Boundaries: Dialogue with Presidents of World’s Leading Educational Institutions” programme series, please refer to the website: www.cityu.edu.hk/beyond-boundaries 
#CityU #PresidentWayKuo #BeyondBoundaries #UniversityofStuttgart 
第五集：斯圖加特大學－德國名車城中的學府
今集節目，香港城市大學校長郭位教授訪問德國斯圖加特大學 (The University of Stuttgart) 校長羅素教授 (Professor Wolfram Ressel)，探討德國的大學如何將科技研究的成果，轉化應用在當地工業發展，推動德國的汽車工業。羅素教授亦會分享斯圖加特大學與汽車企業合作研究，發展未來汽車的經驗。
更多關於《大問於市：與全球頂尖校長對話》系列節目的內容，請瀏覽節目專頁：www.cityu.edu.hk/beyond-boundaries
#城大 #郭位校長 #大問於市 #斯圖加特大學</t>
  </si>
  <si>
    <t>Episode 5: University of Stuttgart - Trailer 第五集：斯圖加特大學—預告</t>
  </si>
  <si>
    <t>Episode 5: University of Stuttgart – University in a World-class Automobile City in Germany    
In this episode, Professor Way Kuo, President of City University of Hong Kong, invites Professor Wolfram Ressel, Rector of the University of Stuttgart, to discuss how transforming the results of scientific and technological research into industrial development enables German universities to contribute to the development of Germany's automobile industry. Professor Ressel will also share the University of Stuttgart’s experience in cooperating with automotive companies in research and development for future automobiles.
For more about the “Beyond Boundaries: Dialogue with Presidents of World’s Leading Educational Institutions” programme series, please refer to the website: www.cityu.edu.hk/beyond-boundaries
#CityU #PresidentWayKuo #BeyondBoundaries #UniversityofStuttgart 
第五集：斯圖加特大學－德國名車城中的學府
今集節目，香港城市大學校長郭位教授訪問德國斯圖加特大學 (The University of Stuttgart) 校長羅素教授 (Professor Wolfram Ressel)，探討德國的大學如何將科技研究的成果，轉化應用在當地工業發展，推動德國的汽車工業。羅素教授亦會分享斯圖加特大學與汽車企業合作研究，發展未來汽車的經驗。
更多關於《大問於市：與全球頂尖校長對話》系列節目的內容，請瀏覽節目專頁：www.cityu.edu.hk/beyond-boundaries
#城大 #郭位校長 #大問於市 #斯圖加特大學</t>
  </si>
  <si>
    <t>Episode 4: Tohoku University, Japan  第四集：日本東北大學</t>
  </si>
  <si>
    <t>Episode 4: Tohoku University, Japan – Alma Mater of Lu Xun   
In this episode, President Way Kuo discusses the development of higher education in Japan with Professor Hideo Ohno, President of Tohoku University, where many famous Chinese scholars have studied over the years, including Lu Xun, a leader of the modern enlightenment movement in China. He studied in the medical school at Tohoku University. Over the past hundred years, Tohoku University, which was the third Imperial University established by Japan’s Meiji Government, has cultivated many professional leaders as part of Japan’s modernisation journey.
For more about the “Beyond Boundaries: Dialogue with Presidents of World’s Leading Educational Institutions” programme series, please refer to the website: www.cityu.edu.hk/beyond-boundaries
#CityU #PresidentWayKuo #BeyondBoundaries #TohokuUniversity
第四集：日本東北大學─魯迅的母校
今集節目，香港城市大學校長郭位教授訪問日本東北大學 (Tohoku University) 校長大野英男教授 (Professor Hideo Ohno)，探討日本高等教育的發展。一百多年前，不少中國的著名學者都是日本東北大學的校友，中國現代化啓蒙運動的先驅，魯迅先生亦曾經留學東北大學習醫。日本東北大學是日本明治政府成立的第三所帝國大學，在過去一個世紀，為日本現代化進程，培養了大量的領導和專業人才。
更多關於《大問於市：與全球頂尖校長對話》系列節目的內容，請瀏覽節目專頁：www.cityu.edu.hk/beyond-boundaries
#城大 #郭位校長 #大問於市 #日本東北大學</t>
  </si>
  <si>
    <t>Episode 4: Tohoku University, Japan - Trailer 第四集：日本東北大學—預告</t>
  </si>
  <si>
    <t>Episode 4: Tohoku University, Japan – Alma Mater of Lu Xun    
In this episode, President Way Kuo discusses the development of higher education in Japan with Professor Hideo Ohno, President of Tohoku University, where many famous Chinese scholars have studied over the years, including Lu Xun, a leader of the modern enlightenment movement in China. He studied in the medical school at Tohoku University. Over the past hundred years, Tohoku University, which was the third Imperial University established by Japan’s Meiji Government, has cultivated many professional leaders as part of Japan’s modernisation journey. 
For more about the “Beyond Boundaries: Dialogue with Presidents of World’s Leading Educational Institutions” programme series, please refer to the website: www.cityu.edu.hk/beyond-boundaries
#CityU #PresidentWayKuo #BeyondBoundaries #TohokuUniversity
第四集：日本東北大學─魯迅的母校
今集節目，香港城市大學校長郭位教授訪問日本東北大學 (Tohoku University) 校長大野英男教授 (Professor Hideo Ohno)，探討日本高等教育的發展。一百多年前，不少中國的著名學者都是日本東北大學的校友，中國現代化啓蒙運動的先驅，魯迅先生亦曾經留學東北大學習醫。日本東北大學是日本明治政府成立的第三所帝國大學，在過去一個世紀，為日本現代化進程，培養了大量的領導和專業人才。
更多關於《大問於市：與全球頂尖校長對話》系列節目的內容，請瀏覽節目專頁：www.cityu.edu.hk/beyond-boundaries
#城大 #郭位校長 #大問於市 #日本東北大學</t>
  </si>
  <si>
    <t>Episode 3: Humboldt University of Berlin  第三集：德國柏林洪堡大學</t>
  </si>
  <si>
    <t>Episode 3: Humboldt University of Berlin – the mother of all modern universities    
In this episode, President Way Kuo invites Professor Sabine Kunst, President of Humboldt University of Berlin (2016–2021), to talk about Humboldt-style teaching, learning and research plus her overall vision for modern education.  
Humboldt University of Berlin is renowned as the "mother of all modern universities". Until now, a total of 55 staffs, students, and alumni have won the Nobel Prize.  
For more about the “Beyond Boundaries: Dialogue with Presidents of World’s Leading Educational Institutions” programme series, please refer to the website: www.cityu.edu.hk/beyond-boundaries
#CityU #PresidentWayKuo #BeyondBoundaries #HumboldtUniversityofBerlin 
第三集：德國柏林洪堡大學—現代大學之母
香港城市大學校長郭位教授於本集訪問德國的柏林洪堡大學（Humboldt University of Berlin）校長扎比內．孔斯特教授（Professor Sabine Kunst）（任期：2016-2021）。  
柏林洪堡大學被譽為「現代大學之母」，共55位師生、校友獲得諾貝爾獎。郭校長會在節目中與扎比內．孔斯特校長對談，邀請她分享德國「洪堡」高等教育的風格，以及對現代教育的願景。
更多關於《大問於市：與全球頂尖校長對話》系列節目的內容，請瀏覽節目專頁：www.cityu.edu.hk/beyond-boundaries
#城大 #郭位校長 #大問於市 #德國柏林洪堡大學</t>
  </si>
  <si>
    <t>Episode 3: Humboldt University of Berlin - Trailer 第三集：德國柏林洪堡大學—預告</t>
  </si>
  <si>
    <t>Episode 3: Humboldt University of Berlin – the mother of all modern universities    
In this episode, President Way Kuo invites Professor Sabine Kunst, President of Humboldt University of Berlin (2016–2021), to talk about Humboldt-style teaching, learning and research plus her overall vision for modern education.
Humboldt University of Berlin is renowned as the "mother of all modern universities". Until now, a total of 55 staffs, students, and alumni have won the Nobel Prize.  
For more about the “Beyond Boundaries: Dialogue with Presidents of World’s Leading Educational Institutions” programme series, please refer to the website: www.cityu.edu.hk/beyond-boundaries
#CityU #PresidentWayKuo #BeyondBoundaries #HumboldtUniversityofBerlin 
第三集：德國柏林洪堡大學—現代大學之母
香港城市大學校長郭位教授於本集訪問德國的柏林洪堡大學（Humboldt University of Berlin）校長扎比內．孔斯特教授（Professor Sabine Kunst）（任期：2016-2021）。  
柏林洪堡大學被譽為「現代大學之母」，共55位師生、校友獲得諾貝爾獎。郭校長會在節目中與扎比內．孔斯特校長對談，邀請她分享德國「洪堡」高等教育的風格，以及對現代教育的願景。
更多關於《大問於市：與全球頂尖校長對話》系列節目的內容，請瀏覽節目專頁：www.cityu.edu.hk/beyond-boundaries
#城大 #郭位校長 #大問於市 #德國柏林洪堡大學</t>
  </si>
  <si>
    <t>Episode 2: Indian Institute of Technology  第二集：印度理工學院</t>
  </si>
  <si>
    <t>Episode 2: Indian Institute of Technology – MIT of India 
In this episode, President Way Kuo, City University of Hong Kong, will have a dialogue with Professor V. Ramgopal Rao, Director of the Indian Institute of Technology, Delhi (IIT Delhi) from 2016 to 2022. 
IIT is world-renowned for nurturing tech talents. There is a saying in India that once you get a foot in the door at IIT, your other foot is in Silicon Valley in US. IIT alumni have established 30 unicorn technology companies around the world, and IIT supports teachers and students to start their businesses, transforming scientific research results into practical technologies for the benefit of society.
For more about the “Beyond Boundaries: Dialogue with Presidents of World’s Leading Educational Institutions” programme series, please refer to the website: www.cityu.edu.hk/beyond-boundaries 
#CityU #PresidentWayKuo #BeyondBoundaries #IndianInstituteofTechnologyDehli 
第二集：印度理工學院—印度的MIT
香港城市大學校長郭位教授於本集訪問德里印度理工學院（Indian Institute of Technology, Delhi, IIT Delhi）校長拉奧教授（Professor V. Ramgopal Rao）（任期：2016-2022）。
IIT以培育科技人才而世界聞名，在印度當地流傳一種說法：當你一隻腳踏入IIT，另一隻腳也就踏入了美國矽谷。目前，IIT校友已在全球創立30家的獨角獸科技企業，學院亦積極支持師生創業，將科研成果轉化為實用技術，造福社會。
更多關於《大問於市：與全球頂尖校長對話》系列節目的內容，請瀏覽節目專頁：www.cityu.edu.hk/beyond-boundaries
#城大 #郭位校長 #大問於市 #德里印度理工學院</t>
  </si>
  <si>
    <t>Episode 2: Indian Institute of Technology — Trailer 第二集：印度理工學院—預告</t>
  </si>
  <si>
    <t>城大校歌（第二章）「科創入世」</t>
  </si>
  <si>
    <t>香港城市大學（城大）繼2021年推出首章以「學研出塵」為主題的校歌，今年再下一城，推出大學校歌第二章「科創入世」，為城大樂章寫上完美句號。原創歌曲配上全新歌詞，傳遞大學致力推動教研合一、教育為本的決心。鏗鏘的歌詞再次出自校長郭位教授手筆，與首章彼此唱和，意境互相呼應，配上李峻一先生的原創音樂，莊嚴而激勵人心，完美演繹城大的特色和精神。
城大校歌第二章擁有中、英版本。此為中文版本的音樂錄像。
請按此欣賞英文版本的音樂錄像︰https://youtu.be/6DixmKN8nlQ
城大校歌網頁︰https://www.cityu.edu.hk/cpro/cityu-brand/cityu-anthem-chinese
CityU Anthem Part 1 was launched last year with the theme “Beyond Boundaries”. Completing the picture, we are excited to debut the University Anthem Part 2 with the same melody as Part 1 but with brand new lyrics, once again penned by President Way Kuo. Themed “Knowledge and Wisdom”, Part 2 encapsulates our aspirations to integrate teaching and research, and our determination to stay focused on education. The inspirational lyrics perfectly harmonise with the exceptional score composed by Mr Joe Lei. Both the first and second parts of the Anthem capture our central character and ethos, singing out our special features, expectations, and encouragement, and promoting the University’s vision and mission.
Part 2 of the CityU Anthem comes in Chinese and English. This is the Chinese version of the music video.
To view the English version of the music video, please click here: https://youtu.be/6DixmKN8nlQ
University Anthem website: https://www.cityu.edu.hk/cpro/cityu-brand/cityu-anthem
#大學校歌 #城大 #校歌 #英文校歌 #城大校歌 #CityUAnthem #BeyondBoundaries #KnowledgeandWisdom #TheUniversityAnthem #TheAnthem #CityU</t>
  </si>
  <si>
    <t>['大學校歌', '城大校歌', '城大校長', '郭位', '郭位校長', '城大郭位', 'CityU', '城大', '城大樂章', 'CityU song', 'CityU anthem', 'Beyond Boundaries', '學研出塵', '科創入世', '城大新歌', '香港城市大學', 'HK top university', 'Asia Top university', 'President Way Kuo', '英文校歌', '校歌', '學術科研', 'University Anthem', 'The Anthem', 'academic research', '和而不同', 'Diversity', 'Harmony', 'international', '#KnowledgeAndWisdom']</t>
  </si>
  <si>
    <t>城大推嶄新大學吉祥物  郭位校長：「大學日」連繫社區</t>
  </si>
  <si>
    <t>香港城市大學（城大）於3月18日透過網上直播，舉行首屆「大學日」（U-Day）啟動典禮，推出嶄新的大學吉祥物，並透過全新版本的大學校歌及連串慶祝活動，連繫城大校內外社群。
城大是全港首家大學設立U-Day，並訂於每年3月第三個星期五舉行，是大學一年一度的盛會，連繫大學社群和社區人士。
校董會主席黃嘉純先生說：「U-Day是城大近期推出的眾多策略性發展項目之一，旨在追求高等教育卓越。這活動將成為一個平台，慶祝城大的勤奮學生、世界級研究人員及慷慨支持者的成就。」
郭位校長說：「透過U-Day年度盛事，讓大眾了解更多城大的獨特之處，分享及慶祝大學斐然成績。」
欲知詳情？馬上去片。
#香港城市大學  #cityu #presidentwaykuo #郭位校長 #大學日2022 #大學吉祥物 #universityday2022 #universitymascot</t>
  </si>
  <si>
    <t>['#香港城市大學 #城大 #城大校長 #郭位 #郭位校長 #郭位教授 #waykuo #kuoway']</t>
  </si>
  <si>
    <t>Episode 1:  The University of Cape Town 第一集：南非開普敦大學</t>
  </si>
  <si>
    <t>Episode 1: The first university in the world to perform a successful human heart transplant - The University of Cape Town
President Way Kuo, City University of Hong Kong, invited Professor Mamokgethi Phakeng, Vice-Chancellor, University of Cape Town (UCT), to take part in the first episode. UCT is the first university in the world to successfully perform a human heart transplant, and Professor Phakeng is one of the few African-American women to take on a leadership role in higher education in South Africa. 
The interview covers the history and the characteristics of higher education in South Africa and explores how UCT has balanced Africanisation and Westernisation since the end of Apartheid.
More about the “Beyond Boundaries: Dialogue with Presidents of World’s Leading Educational Institutions” programme series, please refer to the website: www.cityu.edu.hk/beyond-boundaries
#CityU #PresidentWayKuo #BeyondBoundaries #TheUniversityofCapeTown
第一集：人類首例心臟移植的大學 - 南非開普敦大學
香港城市大學校長郭位教授在節目首集訪問南非開普敦大學校長 - 帕肯教授（Professor Phakeng）。開普敦大學是全球首家成功進行人類心臟移植手術的大學，而帕肯教授更是少數擔任南非高等教育界領袖的非洲裔女性。訪談內容涵蓋南非高等教育的歷史與特點，以及種族隔離消除後，開普敦大學在非洲化和西方化之間的抉擇和平衡。
更多關於《大問於市：與全球頂尖校長對話》系列節目的內容，請瀏覽節目專頁：www.cityu.edu.hk/beyond-boundaries
#城大 #郭位校長 #大問於市 #南非開普敦大學</t>
  </si>
  <si>
    <t>['#香港城市大學 #城大 #城大校長 #郭位 #郭位校長 #郭位教授']</t>
  </si>
  <si>
    <t>"Beyond Boundaries" President Kuo discusses with educational leaders-Trailer「大問於市」郭位校長與教育領袖對話-宣傳片</t>
  </si>
  <si>
    <t>City University of Hong Kong (CityU) proudly presents a new programme series, "Beyond Boundaries: Dialogue with Presidents of World’s Leading Educational Institutions". 
In the first series, President Way Kuo discusses contemporary education issues and challenges from a global perspective with presidents of renowned universities and heads of secondary schools in South Africa, India, Germany, Japan and mainland China who have visited CityU. The aim to explore each other's strengths and consider the future direction of education development. 
The first episode will be broadcast on 18 March 2022. Stay tuned with us on the programme website: www.cityu.edu.hk/beyond-boundaries 
#CityU #PresidentWayKuo #BeyondBoundaries#TheUniversityofCapeTown #IndianInstituteofTechnology #HumboldtUniversitätzuBerlin #TohokuUniversity #UniversitätStuttgart #ShanghaiJiaotongUniversity #DiocesanGirlsSchool
香港城市大學（城大）隆重呈獻《大問於市：與全球頂尖校長對話》系列節目。
在今輯節目，郭位校長會與世界各地知名大學校長及中學校長對談，從國際視野討論當代教育議題和挑戰。他們先後來訪自南非、印度、德國、日本及中國內地等多間頂尖學府，探討彼此所長，前瞻未來的教育發展方向。 
首集節目將於2022月3月18日推出，請密切留意節目專頁：www.cityu.edu.hk/beyond-boundaries
#城大 #郭位校長 #大問於市#南非開普敦大學 #印度理工學院 #柏林洪堡大學 #東北大學 #斯圖加特大學 #上海交通大學 #香港拔萃女書院</t>
  </si>
  <si>
    <t>馬鞍山學生宿舍項目動土  郭位校長：城大重要里程碑</t>
  </si>
  <si>
    <t>香港城市大學（城大）位於馬鞍山白石的第五期學生宿舍項目於3月14日正式動土，預計於2026年第二季竣工，屆時將為城大本科生及研究生提供逾2,000個宿位。宿舍採用先進的「組裝合成」建築技術（MiC），按宿位數量計算，是目前全球採用MiC技術興建的最大型學生宿舍項目。
郭校長感謝各界對大學發展的支持，他說：「城大在本地和國際上表現卓越，這個特別的學生宿舍項目是城大發展的另一里程，標誌着城大的發展、抱負和成為世界領先大學的決心。」</t>
  </si>
  <si>
    <t>['#香港城市大學 #城大 #城大校長 #郭位 #郭位校長 #郭位教授 #馬鞍山白石學生宿舍計劃動土儀式']</t>
  </si>
  <si>
    <t>CityU HK Tech Tiger (3) Future Intelligent Engineering Entrepreneur 城大HK Tech Tiger（三）明日智能工程企業家</t>
  </si>
  <si>
    <t>培霖自小對智能科技有濃厚興趣，深信跨學科的知識可革新世界。HK Tech Tiger的計劃助他建立與業界精英的網絡，為他日後成為創業家奠下基礎。
Peilin has cultivated a keen interest in intelligent technology since he was a child, and he believes that cross-disciplinary knowledge can change the world. The HK Tech Tiger programme has helped him build a network with industry elites and laid the foundation for him to become an entrepreneur in the future.</t>
  </si>
  <si>
    <t>['香港城市大學', '城大', '城大校長', '郭位', '郭位校長', '郭位教授', 'cityu', 'cityuniversityofhongkong', 'hktechtiger', 'hktech', '老虎班', 'elitestudents', 'IntelligentManufacturingEngineering', 'industry4.0', 'AI', 'entrepreneur']</t>
  </si>
  <si>
    <t>香港城市大學: 全球一流學府</t>
  </si>
  <si>
    <t>CityU HK Tech Tiger (2) Future Biomedical Engineering Entrepreneur 城大HK Tech Tiger（二）明日生物醫學工程企業家</t>
  </si>
  <si>
    <t>來自吉爾吉斯的Zhandarbek Abylkasymov因童年時患病的經歷，矢志把先進的醫療知識和技術帶回祖國，回饋病人。在城大，他可以跟隨世界級的教授學習，並透過參加HK Tech Tiger的創業工作坊，認識不同創業精英，確立他未來事業發展方向。
Having suffered a serious illness when he was a child, Zhandarbek Abylkasymov from Kyrgyzstan is determined to help patients with the advanced medical knowledge and technology that he plans to take back to his home country. At CityU, he can learn from world-class professors, participate in HK Tech Tiger entrepreneurship workshops, meet elites from different fields and establish his future career plan.</t>
  </si>
  <si>
    <t>['香港城市大學', '城大', '城大校長', '郭位', '郭位校長', '郭位教授', 'cityu', 'cityuniversityofhongkong', 'hktechtiger', 'hktech', '老虎班', 'elitestudents', 'Kyrgyzstan', 'BiomedicalEngineering', 'entrepreneur']</t>
  </si>
  <si>
    <t>CityU’s new structured thermal armour solves 18th century Leidenfrost challenge</t>
  </si>
  <si>
    <t>A research team led by scientists from City University of Hong Kong (CityU) has recently designed a structured thermal armour that achieves efficient liquid cooling even over 1,000°C, fundamentally solving a 266-year-old challenge presented by the Leidenfrost effect. This breakthrough can be applied in aero and space engines, and can improve the safety and reliability of next-generation nuclear reactors.
The research has been led by Professor Wang Zuankai from Department of Mechanical Engineering (MNE). The first authors are Dr Jiang Mengnan and Dr Wang Yang from MNE. The collaborators include Professor Pan Chin, Head, Dr Steven Wang, Assistant Professor, Zhang Huanhuan, Research Assistant, Liu Fayu and Li Yuchao, PhD students, from MNE.</t>
  </si>
  <si>
    <t>['香港城市大學', '城大', '王鑽開', '潘欽', '機械工程學系', '自然', '結構熱裝甲', '萊頓弗羅斯特效應', 'cityu', 'cityuniversityofhongkong', 'wangzuankai', 'panchin', 'stevenwang', 'mechanicalengineering', 'mne', 'nature', 'thermalcooling', 'leidenfrosteffect', 'structedthermalarmour', 'boilingpoint', 'scientists', 'vapour', 'evaporation']</t>
  </si>
  <si>
    <t>CityU HK Tech Tiger (1) Future Veterinarians 城大HK Tech Tiger（一）明日獸醫</t>
  </si>
  <si>
    <t>城大學生Ryan和Nicole立志成為獸醫及為保護動物出一分力。他們參加HK Tech Tiger 工作坊後，認識不同文化和學科背景的優秀學生，進一步加強溝通、建立關係等獸醫必須具備的技能。
CityU students Ryan and Nicole are determined to be trained as veterinarians and help protect animals. They meet outstanding students from different cultural and disciplinary backgrounds at the HK Tech Tiger workshops where they are encouraged to further develop their communication and relationship-building skills, which are important for veterinarians to acquire.</t>
  </si>
  <si>
    <t>['香港城市大學', '城大', '城大校長', '郭位', '郭位校長', '郭位教授', 'cityu', 'cityuniversityofhongkong', 'hktechtiger', 'hktech', '老虎班', 'elitestudents', '賽馬會動物醫學及生命科學院', 'JockeyClubCollegeofVeterinaryMedicineandLifeSciences', '獸醫', 'veterinarian']</t>
  </si>
  <si>
    <t>Masterclass showcases CityU’s achievements in research and innovation</t>
  </si>
  <si>
    <t>城大祝大家佳節愉快！</t>
  </si>
  <si>
    <t>歲末將至，祝大家佳節愉快！</t>
  </si>
  <si>
    <t>['香港城市大學', '城大', '郭位校長', '郭位教授', '城大校長', '佳節愉快']</t>
  </si>
  <si>
    <t>郭位校長：城大科研成果助HK TECH 300初創團隊啟航</t>
  </si>
  <si>
    <t>香港城市大學（城大）於12月16日，頒發第三輪種子基金予80支HK Tech 300的初創隊伍，連同之前兩輪頒出的65支隊伍，至今已孕育了約150支初創團隊。
城大是連續五年獲最多美國專利的本地大學，城大校長郭位教授樂見大學的科研成果可透過「HK Tech 300」轉化為商品。
欲知道更多詳情？馬上去片。</t>
  </si>
  <si>
    <t>['香港城市大學', '城大', 'CityU', 'HK TECH 300', '初創', 'start-ups', '郭位校長', '城大校長', '郭位教授']</t>
  </si>
  <si>
    <t>Season’s Greetings and Happy New Year!</t>
  </si>
  <si>
    <t>郭位校長：HK Tech國際中心大樓 展現城大多元文化、和而不同</t>
  </si>
  <si>
    <t>香港城市大學（城大）HK Tech國際中心大樓於11月29日舉行動土儀式。大樓定於2023年底啟用，這棟獨一無二的大樓，展現城大推動國際化校園氛圍的願景，讓學生可以在便利和舒適的環境進行聚會。城大校董會主席黃嘉純先生、校長郭位教授聯同大學管理層、教職員及多名城大學生一同見證大樓的動土儀式。多名非本地生更組成醒獅隊，首次體驗中國傳統的舞獅文化，落力表演。
郭校長感謝城大社群對大學發展的貢獻，正如城大校歌所述：「多元文化、和而不同」。他說：「新的大樓標誌着活力，推動教研合一，成為真正的現代化大學。」</t>
  </si>
  <si>
    <t>['香港城市大學', '城大', '城大校長', '郭位', '郭位校長', '郭位教授', 'HK Tech國際中心大樓動土儀式']</t>
  </si>
  <si>
    <t>Court Video 2021 – Beyond Boundaries</t>
  </si>
  <si>
    <t>城大與香港科技園簽署合作備忘錄　推動創新創業</t>
  </si>
  <si>
    <t>香港城市大學（城大）校長郭位教授於11月11日，與香港科技園公司（科技園公司）行政總裁黃克強先生簽署合作備忘錄，宣佈攜手合作於香港及大灣區開展創新及創業項目。
郭校長於今年3月宣佈，推岀5億港元大型創新創業計劃HK Tech 300。至今有152隊初創隊伍獲頒發10萬港元的種子基金，當中更有62隊同時獲選入科技園公司IDEATION前期培育計劃。
想知道更多詳情？馬上去片。</t>
  </si>
  <si>
    <t>['香港城市大學', '城大', 'City University of Hong Kong', 'CityU', 'HKTech300', 'VentureBeyondBoundaries', 'incubation', '創科無限', '引領未來', '初創', '香港科技園公司', '科技園', 'HKSTP', '城大校長', '郭位', '郭位教授', '郭位校長']</t>
  </si>
  <si>
    <t>城大頒授榮譽博士學位予兩位傑出人士</t>
  </si>
  <si>
    <t>香港城市大學（城大）11月5日頒授頒授榮譽博士學位予兩位傑出人士，以表彰他們對教育及社會福祉的重大貢獻。他們是：
• 2018年諾貝爾物理學獎得主、法國綜合理工學院Haut-Collège教授及Zetta-Exawatt國際科技中心主任熱拉爾．穆胡教授；
• 前律政司司長、資深大律師袁國強博士，GBM，SC，JP
大學副監督鍾瑞明博士主持頒授典禮，校董會主席黃嘉純先生、校長郭位教授、校董會司庫錢應安先生亦有出席。</t>
  </si>
  <si>
    <t>['香港城市大學', '城大', '榮譽博士', '郭位校長', '郭位', '郭位教授']</t>
  </si>
  <si>
    <t>郭位校長12度率領城大人出戰渣打香港馬拉松</t>
  </si>
  <si>
    <t>城大校長郭位教授聯同約240名城大跑手，10月24日出戰渣打香港馬拉松2021。 
今次是郭校長連續十二屆（除2020年因新冠疫情停辦之外）率領城大馬拉松隊參加渣打香港馬拉松。城大代表團有62人參與全馬、73人參與半馬賽事，及108人參與十公里實體賽事，當中包括郭校長；數十名教職員、校友、學生組成後援團隊，在清晨時分已經出發，為城大代表團打氣及提供支援，聲勢浩大。  
欲知更多詳情？馬上去片。</t>
  </si>
  <si>
    <t>['香港城市大學', '城大', 'City University of Hong Kong', 'CityU', '渣打香港馬拉松', '渣馬', '全馬', '半馬', '十公里', '城大校長', '郭位', '郭位教授', '郭位校長']</t>
  </si>
  <si>
    <t>城大舉辦「戰後香港與達之路的故事」展覽</t>
  </si>
  <si>
    <t>香港城市大學（城大）所在的達之路，原來是紀念有「糖薑大王」美譽的余達之先生，表揚他在開拓個人事業之餘，對推動二戰後香港社會的經濟、民生及教育發展作出重要貢獻。
在今日揭幕的「戰後香港與達之路的故事」展覽中，城大校長郭位教授更介紹了九龍塘另一條街道——馬可尼道的起源；又指出城大「校花」簕杜鵑，與又一村的街道名稱互相輝映。
想知道更多詳情？馬上去片。</t>
  </si>
  <si>
    <t>['港城市大學', '城大', 'City University of Hong Kong', 'CityU', '九龍塘', '又一村', '達之路', '余達之', '糖薑大王', '城大校長', '郭位', '郭位教授', '郭位校長']</t>
  </si>
  <si>
    <t>郭位校長：城大藝術節展現「六藝」精神</t>
  </si>
  <si>
    <t>香港城市大學（城大）10月8日晚演出以「樂韻飛翔」為題的開幕音樂會，由著名大提琴演奏家王磊先生率領一眾年輕音樂家演出多首大師級樂曲，為10月8日至11月3日舉行的2021/22年度城大藝術節揭開序幕。音樂會吸引逾200名校內、外的觀眾享受一個樂韻悠揚的晚上。
校長郭位教授表示城大著重「文修武德」，致力培育學生「遊於藝」。他說：「城大學生和教職員可在舞台上展現「六藝」，我相信城大一直為大家提供原動力，實踐儒家學者所說的「六藝」，這正是城大一直高踞國際學術排名的原因。」</t>
  </si>
  <si>
    <t>['香港城市大學', '城大', '城大校長', '郭位', '郭位校長', '城大藝術節', '演奏家王磊']</t>
  </si>
  <si>
    <t>郭位校長歡迎首屆「HK TECH 老虎班」學生 在城大開展未來領袖之路！</t>
  </si>
  <si>
    <t>「HK TECH 老虎班」是城大推出的嶄新計劃，旨在讓追求卓越的傑出學生發展潛能，修讀世界頂尖STEM教授的課程。 
「HK TECH老虎班」成員均為最優秀的學生，首屆學生包括250多名新生及近200名二年級生。城大校長郭位教授祝賀晉身「HK TECH老虎班」的學生，指大學致力為菁英學生提供高階學習機會，助他們全力以赴爭取佳績，及經歷充實精彩的大學生活。</t>
  </si>
  <si>
    <t>['香港城市大學', '城大', '城大人', 'HKTECH老虎班', '城大老虎班', '郭位校長', '郭位教授', '郭位']</t>
  </si>
  <si>
    <t>城大與你一同迎接新學期</t>
  </si>
  <si>
    <t>不經不覺，香港城市大學（城大）開學已經有一個月。未知同學們對新學期有什麼感覺？同學們又對新學期有什麼期許呢？</t>
  </si>
  <si>
    <t>['香港城市大學', '城大', '郭位校長', '郭位教授', '郭位', '開學', '學期']</t>
  </si>
  <si>
    <t>郭黎玉晶博士獲教資會傑出教學獎    郭位校長：城大重視正向學習體驗</t>
  </si>
  <si>
    <t>香港城市大學社會及行為科學系副教授郭黎玉晶博士領導的跨院校團隊，榮獲2021年教資會傑出教學獎。自從教資會於2011年頒發傑出教學獎以來，城大教學人員第五次獲獎。
今次得獎項目是推動促進大學生正向教育的「聯校心理健康推廣計劃」（JUMP），自2017年以來，共有7,000多名大學生、教師、專業人員以及市民受惠。
城大校長郭位教授表示，城大致力為學生提供最佳專業教育，為校園注入探索、創新、慎思明辨和創業的精神，以應對日新月異的經濟及科技環境。</t>
  </si>
  <si>
    <t>['香港城市大學', '城大', '郭黎玉晶博士', '正向教育', '傑出教學獎', '教資會', '郭位校長', '郭位教授', '郭位']</t>
  </si>
  <si>
    <t>城大頒授榮譽院士銜予四位傑出人士</t>
  </si>
  <si>
    <t>香港城市大學（城大）9月24日頒授榮譽院士銜予四位傑出人士，以表彰他們為城大及社會服務並促進其發展的傑出貢獻。他們是：
世界綠色組織主席葉毓強教授；
華彩集團有限公司主席兼創辦人史立德博士，BBS，MH，JP；
崇賢投資有限公司創建董事王明鑫先生，SBS，BBS，JP；
富士高實業控股有限公司主席兼行政總裁楊志雄先生，MH。
大學副監督鍾瑞明博士、校董會主席黃嘉純先生、校長郭位教授主持頒授儀式。</t>
  </si>
  <si>
    <t>['香港城市大學', '城大', '榮譽院士', '郭位校長', '郭位']</t>
  </si>
  <si>
    <t>郭位校長歡迎研究生加入城大</t>
  </si>
  <si>
    <t>香港城市大學（城大）9月16日舉行研究生迎新活動，歡迎來自世界各地的研究生。城大校長郭位教授更給他們三個建議……
想知道更多？馬上去片。</t>
  </si>
  <si>
    <t>['香港城市大學', '城大', '城大校長', '郭位', '郭位校長', '城大研究生']</t>
  </si>
  <si>
    <t>城大校歌(英文版) CityU Anthem “Beyond Boundaries”</t>
  </si>
  <si>
    <t>香港城市大學（城大）推出英文校歌 “Beyond Boundaries”，是繼較早前中文校歌「學研出塵」的另一國際語言版本。校歌提倡突破思維，同時展現城大的教學特色，頌揚多元文化、和而不同，鼓勵學子在學術科研、體育以至未來事業上，繼續力求突破。城大校歌擁有中、英及廣東話三種不同語言版本，是現時全港唯一同時兼具多種語言版本的大學校歌。
#城大校歌 #CityU #城大 #校歌 #英文校歌 #城大樂章 #CityUAnthem #BeyondBoundaries #TheUniversityAnthem #TheAnthem
English version of University Anthem “Beyond Boundaries” is now available. This is a global language version on top of the previously released version in Chinese. The Anthem promotes breakthroughs and demonstrates the features of CityU. Advocating the diversity for harmony in our multicultural community, students are also encouraged to advance beyond boundaries on academic research, sports ground and their future career. The Anthem comes in Putonghua, English and Cantonese versions. It is the first local university to own the Anthem in multiple languages.</t>
  </si>
  <si>
    <t>['城大校歌', '城大校長', '郭位', '郭位校長', '城大郭位', 'CityU', '城大', '城大樂章', 'CityU song', 'CityU anthem', 'Beyond Boundaries', '城大新歌', '學研出塵', '香港城市大學', 'HK top university', 'Asia Top university', 'President Way Kuo', '英文校歌', '校歌', '大學校歌', '學術科研', 'University Anthem', 'The Anthem', 'academic research']</t>
  </si>
  <si>
    <t>郭位校長談高教的「心件」</t>
  </si>
  <si>
    <t>城大校長郭位教授自2008年就任城大校長以來，專注本業，主張政（治）教（育）分離。郭位校長7月出席香港書展發佈新書Soulware: The American Way in China’s Higher Education，以「高等教育怎麼辦？」為題演講，與資深傳媒人文灼非先生對談。郭位校長強調外界政治不可混淆大學管治，一流大學應專注教研，推動多元文化、和而不同，維護學術自主。</t>
  </si>
  <si>
    <t>['香港城市大學', '城大', '郭位校長', '郭位', '政教分離', '教研合一', '心件', 'City University of Hong Kong', 'CityU', 'soulware', 'Way Kuo', 'President Way Kuo', 'separation of politics and education', 'integration of teaching and research']</t>
  </si>
  <si>
    <t>郭位校長聯同師生為殘奧健兒——校友鍾婉萍、楊曉林打氣！</t>
  </si>
  <si>
    <t>城大校友鍾婉萍Irene 8月29日聯同隊友出戰東京殘奧女子花劍團體賽銅牌戰，城大校長郭位教授聯同教職員，特意返回大學校園，一起收看直播，為Irene打氣！
港隊出盡全力奮戰，在最後一分多鐘連追4分至44分平手，最後僅以1分落敗，雖敗猶榮！另一位校友楊曉林今日亦會出戰殘奧硬地滾球BC2個人賽八強賽事，我們齊齊為她加油！</t>
  </si>
  <si>
    <t>['香港城市大學', '城大', '郭位校長', '郭位', '鍾婉萍', '殘奧', '女子花劍團體賽', '楊曉林', '城大校友', '硬地滾球個人賽']</t>
  </si>
  <si>
    <t>郭位校長歡迎新生加入城大大家庭</t>
  </si>
  <si>
    <t>香港城市大學（城大）8月24日舉行迎新典禮，城大校長郭位教授鼓勵新生文武兼修；大師姐劉慕裳（Grace）亦透過視像同大家打打氣。
城大人，are you ready？馬上去片。</t>
  </si>
  <si>
    <t>['香港城市大學', '城大', '城大校長', '郭位', '郭位校長', '劉慕裳', 'Gracelau', '城大新生']</t>
  </si>
  <si>
    <t>郭位校長：Go Grace！ 劉慕裳：做人要像一條彈弓</t>
  </si>
  <si>
    <t>早前在東京奧運取得空手道女子個人形銅牌的香港城市大學（城大）校友劉慕裳（Grace），旋風式回到母校出席小型祝捷會，和一眾城大校隊運動員真情對話，鼓勵大家要堅持目標、勇往直前。城大校長郭位教授也讚揚Grace是城大人的典範，大家要「Go Grace！」，以劉慕裳為榜樣。
Grace還說，做人要像一條「彈弓」…..馬上去片！</t>
  </si>
  <si>
    <t>['香港城市大學', '城大', '郭位', '郭位校長', '劉慕裳', 'Grace Lau', 'Tokyo Olympics', 'Karate', '香港運動員加油', '城大人加油']</t>
  </si>
  <si>
    <t>How to start the entrepreneurship journey? City University of Hong Kong transforms your ideas into opportunities.
HK Tech 300 is an innovation and entrepreneurship programme launched by City University of Hong Kong, aspiring to be the No. 1 university-based entrepreneurship platform in Asia. With a HK$500 million investment, 300 start-ups will be created in Hong Kong in three years to pioneer technology development.
想踏上初創路，卻不知從何入手？香港城市大學助您孕育理想，讓意念變成可能。
HK Tech 300計劃目標是建立亞洲第一的大學創新創業平台，將投放5億元，3年內為香港成立300間初創企業，引領未來創科發展。</t>
  </si>
  <si>
    <t>郭位校長、城大師生齊賀校友劉慕裳勇奪奧運銅牌</t>
  </si>
  <si>
    <t>香港城市大學（城大）校長郭位教授聯同管理層、近百名師生和校隊運動員今日（8月5日）一同收看校友劉慕裳女士（Grace）出戰東京奧運空手道女子個人形項目，齊齊為Grace打氣！每當Grace出場時，全場都揮動手上的打氣棒為她加油。最終Grace成功為香港取得銅牌。
城大正安排慶祝會，以迎接Grace的凱旋歸來，並表彰她的成就。</t>
  </si>
  <si>
    <t>['郭位校長', '郭位', '城大', '城大人', '校友', '城大運動員', '香港運動員', '劉慕裳', '空手道', '東京奧運', '奧運', '奧運精神', '恭喜', '奧運銅牌', '健康一體化']</t>
  </si>
  <si>
    <t>郭位校長: HK TECH Tiger 助你成為未來科創領袖!</t>
  </si>
  <si>
    <t>A programme for outstanding students aspire to be future leaders in STEM subjects through our high-quality curriculum and engagement in pioneering research under the expert guidance of our world-class faculty.
Programme features:
- Joint Bachelor’s Degree opportunities with Ivy League &amp; world-renowned universities
- Technology-driven, taught by world-class STEM professors
- Customised courses in Maths, Physics, Chemistry, English language and other high-quality fundamental courses
- President’s Scholarship (up to HK$1.2 million) and HK TECH Scholarship (up to HK$0.8 million)
『HK TECH老虎班』為最出色的學生提供富挑戰性的學習體驗，讓尖子在世界級頂尖學者的指導下，體驗高質課程及從事開創性研究。城大郭位校長相信該計劃可培育他們成為未來科創領袖!
課程特色:
- 可修讀與長春藤大學及世界一級學府合辦的雙聯學士學位課程
- 科技主導，由世界級頂尖STEM學者授課
- 特設數學、物理、化學、英文及其他高質素基礎課程
- 校長獎學金(高達120萬港元)及香港科技獎學金(高達80萬港元)
#城大老虎班 #HKTECHTiger</t>
  </si>
  <si>
    <t>['郭位校長', 'HK TECH Tiger', '郭位', '城大老虎班', 'CityU TECH Tiger', 'Education', 'Hong Kong', '大學', '課程', '升學', 'DSE', 'JUPAS', '大學選科', 'jupas放榜', 'jupas揀科', 'cityu', '奬學金', 'Double Majors', 'Double Degree', 'double degree hong kong', 'CityU President', 'Overseas exchange', 'exchange 大學', 'University', '城大校長', 'President Way Kuo', 'Way Kuo', 'STEM', 'stem education', '城大郭位', 'hkdse', 'hkdse 2021', 'scholarship', '郭位教授']</t>
  </si>
  <si>
    <t>城大郭位校長：HK Tech 300助學生實現創業夢 （粵語版）</t>
  </si>
  <si>
    <t>香港城市大學（城大）校長郭位於3月23日宣佈，城大啟動大型創新創業計劃「HK Tech 300」。在「創科無限　引領未來」的主題下，「HK Tech 300」將在未來三年撥出港幣5億元，協助城大學生透過商業化城大的研究項目，成立300家初創公司。城大郭位校長表示：「HK Tech 300將成為亞洲第一的大學創新創業計劃，助城大學生實現創業夢想。」
President Way Kuo of City University of Hong Kong (CityU) announced the launch of a large-scale flagship innovation and entrepreneurship programme, HK Tech 300, on 23 March. Under the theme “Venture Beyond Boundaries”, HK Tech 300 aims to help CityU students to establish 300 start-ups and commercialise CityU research, with funding worth HK$500 million over three years. “HK Tech 300 will become the No. 1 university-based entrepreneurship programme in Asia and help our student to realise their dreams”, said President Kuo.
#創科無限 #引領未來 #初創 #城大 #CityU #HKTech300 #VentureBeyondBoundaries #incubation #investor #startups #城大校長 #郭位</t>
  </si>
  <si>
    <t>President’s Address for CityU 2021 College/ School Commencement</t>
  </si>
  <si>
    <t>CityU launches “HK Tech 300”  城大HK Tech 300正式啟動</t>
  </si>
  <si>
    <t>香港城市大學「HK Tech 300」大型創新創業計劃正式啟動！城大將以「創科無限 引領未來」為主題，在未來三年投資5億港元，協助城大學生成立300家初創公司，投資及計劃規模，均是亞洲區內大學之首。
「HK Tech 300」提供專業培訓及種子基金，助學生將創意轉化為初創項目，並為初創項目提供共創空間和天使投資等支持，務求將初創企業培育成為成功的科技企業。城大學生、校友、科研人員，以及有意使用城大知識產權成立初創企業的人士，皆可申請參與「HK Tech 300」。「HK Tech 300」初創計畫獲創新科技署、投資推廣署、科技園公司、數碼港、香港總商會、香港中華總商會、香港工業總會及香港中華廠商聯合會等支持。
CityU has launched "HK Tech 300", a large-scale flagship innovation and entrepreneurship programme, with funding of HK$500 million over 3 years. The aim is to equip CityU’s students, alumni and research staff, and members of the public wishing to leverage on the University’s intellectual properties with entrepreneurship skills and to establish 300 start-ups to commercialise CityU research. Under the theme “Venture Beyond Boundaries” and as an incubator, “HK Tech 300” will provide co-working space and angel investment to grow the start-ups into successful tech ventures, aiming to be the largest university-based entrepreneurship programme in Asia. HK Tech 300’s strategic partners include the Innovation and Technology Commission, InvestHK, Science Parks, Cyberport, The Hong Kong General Chamber of Commerce, the Chinese General Chamber of Commerce, Federation of Hong Kong Industries and the Chinese Manufacturers’ Association of Hong Kong.
#創科無限 #引領未來 #初創 #城大 #CityU #HKTech300 #VentureBeyondBoundaries #incubation #investor #startups #城大校長 #郭位 #CityUPresident #WayKuo</t>
  </si>
  <si>
    <t>['城大校長', '郭位', 'CityU President', 'Way Kuo', 'HK Tech 300', '城大', '香港城市大學', '創新', '創科', '投資', '初創公司', '初創', '初創企業', '創意', '知識產權', '創新科技署', '投資推廣署', '科技園公司', '數碼港', '香港總商會', '香港中華總商會', '創科無限', '引領未來', 'CityU', 'innovation', 'entrepreneurship', 'funding', 'start-ups', 'venture', 'incubator', 'co-working space', 'angel investment', 'Science Parks', 'Federation of Hong Kong Industries', 'incubation', 'Venture Beyond Boundaries', 'investor', 'venture capital', 'venture capitalist', 'startup company', 'startup jobs', 'tsssu', 'seed fund', 'startup hk', 'startup funding', 'angel fund']</t>
  </si>
  <si>
    <t>城大郭位校長：HK Tech 300助學生實現創業夢 （英語版）</t>
  </si>
  <si>
    <t>['HK Tech 300', '城大', '香港城市大學', '創新', '創科', '投資', '初創公司', '初創', '初創企業', '創意', '知識產權', '創新科技署', '投資推廣署', '數碼港', '創科無限', '引領未來', '城大校長', '郭位', 'CityU', 'innovation', 'entrepreneurship', 'funding', 'start-ups', 'venture', 'co-working space', 'InvestHK', 'Science Parks', 'Cyberport', 'Venture Beyond Boundaries', 'investor', 'venture capitalist', 'startup company', 'startup jobs', 'tsssu', 'seed fund', 'startup hk', 'startup funding', 'angel fund', 'CityU President', 'Way Kuo', 'startup investor', 'startup investment', 'hk startup competition', 'incubation program']</t>
  </si>
  <si>
    <t>城大開發具抗菌功能的石墨烯口罩  Graphene face masks that battle bacteria</t>
  </si>
  <si>
    <t>首創雙幹細胞療法 為心臟修復帶來曙光 First dual stem cell therapy brings new hope for cardiac repair</t>
  </si>
  <si>
    <t>城大校歌《學研出塵》製作花絮 CityU Anthem “Beyond Boundaries”: A look behind the scenes</t>
  </si>
  <si>
    <t>香港城市大學校歌《學研出塵》由校長郭位教授親自填詞, 並由著名音樂人李峻一先生創作樂曲。大學更特意聯繫校園社群內不同界別人士參與音樂錄像的拍攝，包括管理層、師生、校友等，更有來自本地、內地、挪威、克羅地亞及印尼等不同國家和地區的學生參與，突顯「多元文化，和而不同」的主題。
The lyrics to the anthem were written by President Way Kuo under the theme “Beyond Boundaries” and were rendered more significant by the inspirational score composed by Mr Joe Lei. To help launch the song, members of the campus community took part in the production of a promotional music video, including taking on acting roles. Personnel from management, faculty, staff and alumni groups, among others, were involved. In addition, students from Norway, Croatia, and Indonesia, along with those from mainland China and Hong Kong, also took part, adding to the idea of “cultural diversity in harmony, not conformity” as established for the anthem.</t>
  </si>
  <si>
    <t>['城大校歌', '郭位', 'CityU', '城大', '城大樂章', 'CityU song', 'CityU anthem', 'Beyond Boundaries', '科研', '香港城市大學', '校歌', 'HK top university', 'Asia Top University', '城大新歌', '李峻一', '作曲', 'university anthem']</t>
  </si>
  <si>
    <t>CityU Anthem “Beyond Boundaries” (Cantonese Adaptation) 城大校歌《學研出塵》廣東話改編</t>
  </si>
  <si>
    <t>「大問於市，學研出塵」是全新推出的城大校歌中的歌詞，表達對城大人的期望。校歌寄語學生及學者應追求卓越，專注教學和研究，以知識「引領世界」，為香港以至全球作貢獻。城大校歌以「學研出塵」為主題，展現香港城市大學的教學理念、特色，及對學生與教職員的期望和鼓勵。
“Seeking knowledge relentlessly, pushing teaching, learning, and research beyond boundaries ….”
These lines, as voiced in our inaugural CityU anthem, encapsulate the character, vision, and aspirations of the university. 
The anthem, themed with “Beyond Boundaries”, encourages students, faculty, and staff to pursue excellence, keep our mission firmly in mind, develop cutting-edge curriculum and research, promote well-being in Hong Kong and globally, and ensure that the University is “leading the world”. The CityU anthem sings our special features, expectations, and encouragement.</t>
  </si>
  <si>
    <t>['城大校歌', '郭位', 'CityU', '城大', '城大樂章', 'CityU song', 'CityU anthem', 'Beyond Boundaries', '科研', '香港城市大學', '校歌', 'HK top university', 'Asia Top University', '城大新歌', 'university anthem']</t>
  </si>
  <si>
    <t>CityU Anthem “Beyond Boundaries” 城大校歌《學研出塵》</t>
  </si>
  <si>
    <t>城大校歌預告片 CityU Anthem trailer</t>
  </si>
  <si>
    <t>大學，是人生階段的一個新章節，是讓我們努力實現夢想、 創開未來、讓世界變得更美好的地方。
「城大樂章」將會為你展現全新的城大校歌前奏，當中更展示了城大的教學理念、大學特色，及對學生的期許。
University is a new chapter in our lives – a place where we strive to achieve our dreams, blaze trails for the future, and make the world a better place.
This video showcases the prelude of the inaugural CityU Anthem, which celebrates CityU’s special features, sets expectations and provides encouragement.</t>
  </si>
  <si>
    <t>President’s Address for 2019 and 2020 CityU Graduation Ceremony</t>
  </si>
  <si>
    <t>How should we pronounce “cum laude” correctly? How about the history of this Latin honour system? This video will get you prepared #ToBeCumLaude.</t>
  </si>
  <si>
    <t>Court Video 2020 – Together, We Prevail</t>
  </si>
  <si>
    <t>Breakthrough technology promises earlier detection for Alzheimer’s disease</t>
  </si>
  <si>
    <t>城大精準技術分選癌細胞 CityU’s  ground-breaking technology for the accurate detection of cancer cells</t>
  </si>
  <si>
    <t>CityU’s New droplet-based electricity generator</t>
  </si>
  <si>
    <t>Pets are not involved in the spread of Covid-19, according to Professor Vanessa Barrs, Chair Professor of Companion Animal Health and Disease at CityU.
城大伴侶動物健康及疾病講座教授Vanessa Barrs教授指出，沒有證據證明寵物涉及新型冠狀病毒的傳播。</t>
  </si>
  <si>
    <t>University development and achievements (Jan – Dec 2019)</t>
  </si>
  <si>
    <t>CityU’s accolades at the 47th International Exhibition of Inventions of Geneva</t>
  </si>
  <si>
    <t>Long Service Award Ceremony 2019 長期服務獎頒獎典禮</t>
  </si>
  <si>
    <t>President's Message on School of Energy and Environment 10th Anniversary 校長就能源及環境學院十周年致辭</t>
  </si>
  <si>
    <t>President's Message 校長致辭</t>
  </si>
  <si>
    <t>Innovative sensor for testing food safety 新型食物檢測傳感器</t>
  </si>
  <si>
    <t>【城大人の科學】10分鐘極速充電器</t>
  </si>
  <si>
    <t>Self- learning” robotic arm 「自學」機械臂</t>
  </si>
  <si>
    <t>Bachelor of Veterinary Medicine 獸醫學學士課程</t>
  </si>
  <si>
    <t>城大的十年動物醫學馬拉松</t>
  </si>
  <si>
    <t>CityU 10 year-long Veterinary Marathon 城大的十年動物醫學馬拉松</t>
  </si>
  <si>
    <t>Unique hydrogel for treating brain cancer developed by CityU students 城大學生研發水凝膠治療腦癌</t>
  </si>
  <si>
    <t>Novel bioprocess for recycling textile waste 創新生物優化技術將紡織廢料循環再用</t>
  </si>
  <si>
    <t>【城大の中心呼喚愛】</t>
  </si>
  <si>
    <t>【城大人の人類觀察】</t>
  </si>
  <si>
    <t>郭位校長的大學武林秘笈 (2018年5月 香港大公文匯傳媒集團製作)</t>
  </si>
  <si>
    <t>Setting goals Today for a brighter Future （立志現在 成就未來）</t>
  </si>
  <si>
    <t>CityU Scholarships for Hong Kong Talents presents: About Campus Life 城大香港精英獎學金呈獻：讀U這回事</t>
  </si>
  <si>
    <t>If you could travel back in time and speak to yourself, what would you say?
如果有時光機，你會同自己講啲咩？</t>
  </si>
  <si>
    <t>CityU People Episode 1: The secret behind making transparent tea 【城大人の科學】透明茶大揭秘</t>
  </si>
  <si>
    <t>Bachelor of Veterinary Medicine – Students</t>
  </si>
  <si>
    <t>CityU Massive Open Online Course ‘Virtual Hong Kong: New World, Old Traditions’ 城大線上課程「虛擬香港：新世界‧老傳統」</t>
  </si>
  <si>
    <t>城大獸醫學學士課程</t>
  </si>
  <si>
    <t>Hong Kong’s first-ever Bachelor Degree of Veterinary Medicine programme</t>
  </si>
  <si>
    <t>香港首個獸醫學學士課程</t>
  </si>
  <si>
    <t>城大2018/19學年獸醫學學士課程現正招生，並會提供獎學金。此課程聯同美國康奈爾大學合作發展，並會由澳新獸醫管理局理事會認證。</t>
  </si>
  <si>
    <t>University development and achievements (June – December 2017)</t>
  </si>
  <si>
    <t>Smart thermostat developed by CityU students’ startup company</t>
  </si>
  <si>
    <t>The private thoughts of some of China’s greatest scholars of the twentieth century are revealed at a new exhibition titled “Sincerely Yours: Personal Letters of Tsinghua Scholars” held at CityU.
On show are some 134 unpublished letters, manuscripts, and teaching materials that were hand-written by the likes of Tsinghua scholars Liang Qichao, Wang Guowei, Chen Yinque, Zhao Yuanren, Hua Luogeng, Hu Shih, Wen Yiduo, among others.</t>
  </si>
  <si>
    <t>“The Roofs of Paris” exhibition opening ceremony</t>
  </si>
  <si>
    <t>The best new director – Wong Chun@Mad World</t>
  </si>
  <si>
    <t>CityU Micro Movie — All About Dreams</t>
  </si>
  <si>
    <t>The latest micro-movie presented by CityU explores how your “dream guy” and “dream girl” pursue their dreams. It may possibly inspire you to think about your own dreams. Let’s explore the funny side of CityU through the movie, too.</t>
  </si>
  <si>
    <t>An exhibition on the theme “Frontier Research and Innovation@CityU”, showcasing CityU’s research achievements, product development and advanced technology was held at CityU in April.</t>
  </si>
  <si>
    <t>City University of Hong Kong celebrates the achievements of students and faculty in discovery, innovation and creativity at the Discovery Festival 2017.
This annual festival showcases the teaching and learning outcomes originating from CityU’s unique Discovery-enriched Curriculum (DEC).</t>
  </si>
  <si>
    <t>Small bag big life – easy solution for victims of natural disaster</t>
  </si>
  <si>
    <t>Two CityU students took the top prize at the Young Structural Engineers’ International Design Competition (YSEIDC) 2015 with an innovative design of a shelter for accommodation following a natural disaster.</t>
  </si>
  <si>
    <t>CEO of the month – College of Business student</t>
  </si>
  <si>
    <t>Innovation and Impact – CityU squash players triumph for Hong Kong</t>
  </si>
  <si>
    <t>Innovation and Impact – Accountancy and archery</t>
  </si>
  <si>
    <t>Innovation and impact – College of Business student</t>
  </si>
  <si>
    <t>Opening Ceremony of Giuseppe Castiglione – Lang Shining New Media Art Exhibition</t>
  </si>
  <si>
    <t>Behind the scenes: Making of Giuseppe Castiglione – Lang Shining New Media Art Exhibition</t>
  </si>
  <si>
    <t>City University of Hong Kong and the National Palace Museum (NPM) in Taipei have teamed up to organise the “Giuseppe Castiglione – Lang Shining New Media Art Exhibition”. The exhibition merges technology into creativity and art itself by digital means, highlighting the value of the Italian Jesuit Giuseppe Castiglione’s (1688–1766) artworks and their historical context, and by pioneering a fresh way of presenting historical paintings.
The animation in this video was produced by NPM. The original artwork is Castiglione’s One Hundred Horses. His horses are very life-like. The latest animation technology was employed to represent the horses in various forms, such as frolicking, galloping, resting and crossing the river, to underscore their vitality.
香港城市大學與臺北的國立故宮博物院（故宮）籌辦「藝域漫遊——郎世寧新媒體藝術展」。展覽運用數碼科技呈現清代宮廷畫家郎世寧（1688-1766）的畫作及所處的時代，融會科技、創意與藝術，為古畫傑作帶來新的展示方式。
片中動畫由故宮製作。原作為郎世寧創作的《百駿圖》，畫中馬匹形象逼肖。動畫採用新穎高規格動畫技術，呈現畫中馬匹或嬉戲相鬥，或遊憩臥立，或策馬奔馳，或涉水渡河的百變姿態，駿馬英姿宛若活躍眼前。</t>
  </si>
  <si>
    <t>Inspired by the master pieces of Giuseppe Castiglione (Lang Shining), Mr Adam Zeke, a Hungarian artist and alumnus of the School of Creative Media, created the projection mapping performance. The performance was first shown at the opening ceremony of  the “Giuseppe Castiglione – Lang Shining New Media Art Exhibition”. It's now (May - July 2016) placed on the 3rd floor of AC3, City University of Hong Kong.</t>
  </si>
  <si>
    <t>藝域漫遊——郎世寧新媒體藝術展</t>
  </si>
  <si>
    <t>Description曲/詞：梅廣釗
Words and Music by Mui Kwong-chiu
Let us embrace our dreams !
Let our dreams fly high !
在原野上，彩雲下，飛越遠方，
都有您和我，手牽手，
讓夢想飛翔。
When you are young, stay a-live, make a wish, let your dreams fly all the way !
When the sun shines above, cross the sky, play your music cross the high way !
Though at times, you’ll be hurt, and your dreams, may be shattered fall apart !
But in your heart, sing a song, spread your song, and the music cross the ocean !
Those happy days, won’t be gone and far away,
while you’re young and you’re strong,
let your dreams run high !
讓每天，歡笑聲，歌聲，響遍響遍這塊地。
在遠方，千千彩暉，映照天邊抱擁夕陽。
在遠山，輕輕鐘聲，響貫清風送這地。
在此刻，彩暉映我心，使我清晰我的方向。
共覓理想，不畏懼，願送芬芳。
今朝再接再勵，齊互勉，往開創！
共覓理想，不畏懼，願送芬芳。
再接再勵，齊互勉，開創！
Those happy days, won’t be gone,
won’t be far away, while we’re young,
let our dreams fly high !</t>
  </si>
  <si>
    <t>城大新推廣標誌</t>
  </si>
  <si>
    <t>Donation &amp; Establishment Ceremony for the “Li Dak Sum &amp; Yip Yio Chin Development Fund</t>
  </si>
  <si>
    <t>Teaching Excellence – Dr Elaine Au Liu Suk-ching</t>
  </si>
  <si>
    <t>城大三十周年紀念</t>
  </si>
  <si>
    <t>Dressing in the ice you dancing all around the sea
We sailing out the ocean to be closer to the dream 
Every time I wake up and I look into your eyes 
Miss Antarctica we wish you always pure and white
Waving to the penguins walking to the swinging king 
We ride a boat and watching ﬁshes swimming under me 
Aurora's still shining like a rainbow on the sea 
She is fascinating you and me, we're looking forward to the trip
Wind is blowing, air's freezing, never get to rain 
We departure to a pure land that we have never been 
Wish it be the place that is always on my mind 
We're crushing on the scenery, forget about the time
Seals are shouting, Whales are spraying far away from you 
We sing along and play the guitar in a happy mood 
Dear my friends, let's getting start as soon as we can do 
And the dreams of us are coming true 
and we'll be back with the best cool news</t>
  </si>
  <si>
    <t>「城大創新研究」展覽</t>
  </si>
  <si>
    <t>鑑證科學培訓計劃</t>
  </si>
  <si>
    <t>Dancers transform campus into a stage with a highly dynamic dance performance full of energy and fun in a video recently produced by City University of Hong Kong.
The Perfect Dream@CityU features a fantastic "dream" played out by student dancers at distinctive landmarks and facilities around the University, aiming to showcase the dynamic campus. Also participating in the video are three CityU faculty members, who are also CityU's Teaching Excellence Award winners, and two robots from the Office of Education Development and Gateway Education and Department of Electronic Engineering.
香港城市大學一群學生最近協助大學攝製宣傳短片，將校園各處化為舞台，以充滿動感和活力的舞姿，展現大學的迷人風采。
在這齣名為《美滿夢想在城大》的短片裏，一群學生以校內多處地標建築物和教研場所為背景，以青春煥發而勁力四射的舞蹈，演繹出一個「城大之夢」，展現城大校園的多彩多姿。參與演出的還有榮獲城大傑出教學獎的三位優秀教師，以及來自教育發展及精進教育處和電子工程學系的兩個機械人。</t>
  </si>
  <si>
    <t>['大學', '校園', '學生', '活動', '學習']</t>
  </si>
  <si>
    <t>飲管比賽2013</t>
  </si>
  <si>
    <t>城大推出Mobile AIMS (職員篇)
Mobile AIMS saves the day! (Staff)
Download now! More functions coming soon!
For iOS: https://itunes.apple.com/us/app/cityu-mobile-aims/id639520282
For Android: https://play.google.com/store/apps/details?id=hk.edu.cityu.mobile.aims</t>
  </si>
  <si>
    <t>城大推出Mobile AIMS (學生篇)
CityU Mobile AIMS
Download now! More functions coming soon!
For iOS: https://itunes.apple.com/us/app/cityu-mobile-aims/id639520282
For Android: https://play.google.com/store/apps/details?id=hk.edu.cityu.mobile.aims</t>
  </si>
  <si>
    <t>「成功之旅‧今日啟航」活動</t>
  </si>
  <si>
    <t>2013城大探索創新節</t>
  </si>
  <si>
    <t>城大出戰渣打馬拉松</t>
  </si>
  <si>
    <t>城大學生大使計劃就職禮</t>
  </si>
  <si>
    <t>社企年宵在城大</t>
  </si>
  <si>
    <t>周德豐伉儷演講廳命名典禮</t>
  </si>
  <si>
    <t>香港城市大學「眾志成城」晚宴</t>
  </si>
  <si>
    <t>['香港城市大學', '晚宴', '教育', '學生生活']</t>
  </si>
  <si>
    <t>城大流動應用程式「CityU Mobile CAP」
Download now!
For iOS: https://itunes.apple.com/us/app/cityu-mobile-cap/id554886347
For Android: https://play.google.com/store/apps/details?id=com.cityuhk.mobilecap</t>
  </si>
  <si>
    <t>城大馬拉松健兒台北爭峰</t>
  </si>
  <si>
    <t>2012年榮譽博士學位頒授典禮</t>
  </si>
  <si>
    <t>2012 學位頒授典禮</t>
  </si>
  <si>
    <t>周亦卿研究生院</t>
  </si>
  <si>
    <t>城大課程介紹日</t>
  </si>
  <si>
    <t>樂聚城大校友日</t>
  </si>
  <si>
    <t>創意媒體學院畢業生作品 「Kouezhan」</t>
  </si>
  <si>
    <t>多國院士  匯聚校園</t>
  </si>
  <si>
    <t>第七屆「本科生/研究生學生優秀作品計劃」頒獎典禮</t>
  </si>
  <si>
    <t>創意媒體學院數碼媒體作品展「Playful Media -- SIG Showcase 2012」</t>
  </si>
  <si>
    <t>胡應湘爵士伉儷堂命名典禮</t>
  </si>
  <si>
    <t>《人間淨土－走進敦煌莫高窟》展覽</t>
  </si>
  <si>
    <t>City #3721―Award-winning video by School of Creative Media Student, Lam Ho-tak</t>
  </si>
  <si>
    <t>Soeng―by School of Creative Media student Lam Ho-tak</t>
  </si>
  <si>
    <t>Remembrance, the Lasting Perfume―by SCM graduate Lam Wing-yan</t>
  </si>
  <si>
    <t>Little Pirate's Story―by SCM graduate Dave Yu Sai-ho</t>
  </si>
  <si>
    <t>Something About Melody―an award-winning animation by SCM student Jass Zhou Jia</t>
  </si>
  <si>
    <t>城大招生資訊2012</t>
  </si>
  <si>
    <t>范彭綺雯多媒體會議廳命名典禮</t>
  </si>
  <si>
    <t>The Hong Kong Centre for Maritime and Transportation Law (香港海事及運輸法研究中心)</t>
  </si>
  <si>
    <t>Footage from ATV_x000D_
片段由亞洲電視提供</t>
  </si>
  <si>
    <t>城大展覽「探索與創新」科研成果</t>
  </si>
  <si>
    <t>香港大專體育協會籃球賽決賽2010-11</t>
  </si>
  <si>
    <t>邵逸夫創意媒體中心命名典禮</t>
  </si>
  <si>
    <t>城大社會責任日</t>
  </si>
  <si>
    <t>The Launch—an award-winning animation by SCM graduate Lam Chi-chung</t>
  </si>
  <si>
    <t>創意媒體學院畢業生林智聰得獎動畫《The Launch》</t>
  </si>
  <si>
    <t>香港城市大學產學研大樓啟用</t>
  </si>
  <si>
    <t>Forest of Battery—by SCM student Lai Siu-lun</t>
  </si>
  <si>
    <t>電森 -- 由創意媒體學院學生黎兆麟製作</t>
  </si>
  <si>
    <t>Moving Signs—by SCM student William Tam Wai-lam</t>
  </si>
  <si>
    <t>校長專訪：建議內地學子對事物有好奇心和研究精神</t>
  </si>
  <si>
    <t>資料來源：鳳凰網教育</t>
  </si>
  <si>
    <t>['20091124', '鳳凰網', '郭位專訪', '12']</t>
  </si>
  <si>
    <t>校長專訪：我們的工學院是香港的第一名</t>
  </si>
  <si>
    <t>['20091124', '鳳凰網', '郭位專訪', '11']</t>
  </si>
  <si>
    <t>校長專訪：東方的人情關係很嚴重  筆試錄取最公平</t>
  </si>
  <si>
    <t>['20091124', '鳳凰網', '郭位專訪', '10']</t>
  </si>
  <si>
    <t>校長專訪：香港城市大學注重實戰理論</t>
  </si>
  <si>
    <t>* 資料來源：鳳凰網教育</t>
  </si>
  <si>
    <t>['20091124', '鳳凰網', '郭位專訪']</t>
  </si>
  <si>
    <t>校長專訪：中西方教育模式的对比</t>
  </si>
  <si>
    <t>['20091124', '鳳凰網', '郭位教授', '校長專訪']</t>
  </si>
  <si>
    <t>校長專訪：內地大學文理分科不科學</t>
  </si>
  <si>
    <t>校長專訪：城大定位專業教育，打造世界頂尖學府</t>
  </si>
  <si>
    <t>['郭位校長', '校長郭位', '郭位教授', '香港城市大學']</t>
  </si>
  <si>
    <t>校長專訪：城大全球排名躍升23位</t>
  </si>
  <si>
    <t>校長專訪：出任香港城市大學校長是緣份</t>
  </si>
  <si>
    <t>祝賀</t>
  </si>
  <si>
    <t>Merit (優異獎)_x000D_
Mimi Lee Sing-yiu (李星堯)_x000D_
Year 2, School of Creative Media</t>
  </si>
  <si>
    <t>Merit (優異獎)_x000D_
Lai Ching (黎靜)_x000D_
Year 3, Department of Media and Communication_x000D_
Ma Lu (馬騄)_x000D_
MA, Department of Media and Communication</t>
  </si>
  <si>
    <t>給城大的一封信</t>
  </si>
  <si>
    <t>3rd Prize (季軍)_x000D_
Enrica Ho Pui-lam (何佩霖)_x000D_
Year 2, School of Creative Media</t>
  </si>
  <si>
    <t>2nd Prize (亞軍) _x000D_
Wu Wenyi (吳雯怡)_x000D_
Year 1, School of Creative Media</t>
  </si>
  <si>
    <t>Champion (冠軍)_x000D_
Olivia Chan Hei-yu (陳郗瑜)_x000D_
Wong Pak-hing (黃柏鑫)_x000D_
Year 2, School of Creative Media</t>
  </si>
  <si>
    <t>校長專訪─教兒育女之道</t>
  </si>
  <si>
    <t>* 資料來源：明報通識網及高考全策劃網</t>
  </si>
  <si>
    <t>校長專訪─以飲食喻學習</t>
  </si>
  <si>
    <t>校長專訪─談教育：身教最重要</t>
  </si>
  <si>
    <t>校長專訪─為何選讀核子工程？</t>
  </si>
  <si>
    <t>《喜訊》─ 鄭路、馬洪業曲；余詠宇詞</t>
  </si>
  <si>
    <t>高歌齊聲頌揚喜訊傳萬邦。歡唱同心建造世界新氣象。_x000D_
天籟妙韻佳音地極賀太平，人文關愛互勉和睦樂洋洋。_x000D_
高歌齊聲頌揚喜訊傳萬邦。歡唱同心建造世界新氣象。_x000D_
天籟妙韻佳音地極賀太平，人文關愛互勉和睦樂洋洋。_x000D_
喜訊傳揚，天地人，天地人，天地人，天地人和。</t>
  </si>
  <si>
    <t>['International', 'Advisory', 'Board', 'to', 'boost', 'internationalisation', '國際諮詢委員會促進國際化']</t>
  </si>
  <si>
    <t>['商學院成立國際諮詢委員會促進國際化']</t>
  </si>
  <si>
    <t>['光纖散發的光芒']</t>
  </si>
  <si>
    <t>['銀禧慶團圓──海洋公園之夜']</t>
  </si>
  <si>
    <t>['多媒體大樓']</t>
  </si>
  <si>
    <t>創意媒體畢業生以畫筆記錄沙田老村生活</t>
  </si>
  <si>
    <t>香港大學生看十‧一國慶</t>
  </si>
  <si>
    <t>文化、科技、創意影像和敍事的精彩併合</t>
  </si>
  <si>
    <t>['Eye-catching', 'technology', 'knows', 'what', 'we', 'see', '追蹤視線的學問']</t>
  </si>
  <si>
    <t>['二十一世紀下的挑戰']</t>
  </si>
  <si>
    <t>專家意見 - 黃成榮教授談衝突調解</t>
  </si>
  <si>
    <t>['20090817', 'ATV', 'news', '黃成榮']</t>
  </si>
  <si>
    <t>城市傳奇</t>
  </si>
  <si>
    <t>「滙通教學系統」協助教師利用網絡資源及技術提升教與學的效能。</t>
  </si>
  <si>
    <t>['「匯通教學系統」創新網上教學系統']</t>
  </si>
  <si>
    <t>['SLW', 'School of Law', '放眼世界的優質法律教育']</t>
  </si>
  <si>
    <t>['第二十四屆香港城市大學學生會聯合就職典禮']</t>
  </si>
  <si>
    <t>城市故事──新生入學註冊</t>
  </si>
  <si>
    <t>城市故事──城大學生飯堂</t>
  </si>
  <si>
    <t>2009年7月1日起，由城軒集團接受經營城大學生飯堂。</t>
  </si>
  <si>
    <t>馬灣－保島變遷遊</t>
  </si>
  <si>
    <t>由城大學生會環保會籌辦的第一屆「香港生態旅遊路線設計比賽」，由資訊系統學系學生何秀汶及蔡偉業設計的「馬灣－保島變遷遊」獲得冠軍以及最嶄新路線獎。比賽獲得學生發展處的全力支持及「恒生環保計劃」贊助。</t>
  </si>
  <si>
    <t>大學評議會恭賀城大銀禧校慶</t>
  </si>
  <si>
    <t>2009大專院校籃球賽</t>
  </si>
  <si>
    <t>【知識轉移，改變世界】視力是人類的寶貴資產，然而近視問題正在全球急速普及化，嚴重影響生活質素，更增加社會的醫療成本。單單在香港，就有約80%的兒童患有近視。為此，#理大 眼科視光學院講座教授杜嗣河教授及林小燕教授研發出革命性的近視控制科技，並從而造就了光學離焦軟性隱形眼鏡及多區正向光學離焦眼鏡鏡片兩項發明。此技術同時利用矯視及光學離焦技術控制近視，讓患者在看得清楚之餘，更可減慢兒童近視加深速度達60%。
杜教授及林教授研發的突破性紡織技術是理大十項獲得「校長特設傑出成就獎 (知識轉移)」的得獎研究之一。
【Knowledge Transfer for a Better World】Healthy eyes, healthy life. While all eyes are on the current pandemic, the silent pandemic of myopia has been sweeping the globe for years, causing untold loss in quality of life for billions of people and staggering economic cost to countries worldwide. In Hong Kong alone, it is estimated that around 80% of children are myopic. Prof. To Chi-ho, Chair Professor of Experimental Optometry and Prof. Carly Lam from #PolyU School of Optometry have conducted breakthrough research in myopic control that has led to the invention of the DISC soft contact lens and DIMS spectacle lens. The technology uses vision correction simultaneously with myopic defocus to enable the user to see clearly, while also slowing down the development of near-sightedness in children by about 60%.
Prof. To and Prof. Lam’s research project that helps stem the prevalence of global vision loss is one of ten impactful PolyU projects to be awarded the “President’s Awards for Outstanding Achievement in Knowledge Transfer”.
#PolyUStaff #PolyUResearcher #Innovation #PolyUResearch #PolyUScience #KnowledgeTransfer #Technology #Education #Myopia #Optometry #Windowstothesoul</t>
  </si>
  <si>
    <t>['PolyU', 'Hong Kong PolyU', 'The Hong Kong Polytechnic University', '理大', '香港理工大學', '理工', 'HK PolyU', 'Research', 'tertiary education', 'university', 'postgraduate', 'graduate', 'acadmics']</t>
  </si>
  <si>
    <t>理大慶祝中華人民共和國成立73周年</t>
  </si>
  <si>
    <t>理大今天早上於校園舉行升旗儀式。承蒙香港特別行政區政府律政司副司長張國鈞先生、文化體育及旅遊局局長楊潤雄先生、保安局局長鄧炳強先生、民政及青年事務局局長麥美娟女士、中聯辦教科部二級巡視員劉懋洲先生，以及懲教署署長黃國興先生蒞臨擔任主禮嘉賓，聯同理大校董會主席林大輝博士、校長滕錦光教授、大學顧問委員會主席顏吳餘英博士、理大校董會及大學顧問委員會成員，以及領導層，帶領逾千位嘉賓、師生及校友一同參與升旗儀式，祝願國家富強昌盛、香港繁榮安定。是次儀式由香港輔助警察隊升旗隊負責。</t>
  </si>
  <si>
    <t>#理大 八十五週年校慶主題曲承載了理大人共同的美好回憶，以及我們矢志貢獻社會的理大精神。我們亦邀請了理大校友樂隊演繹這首動人的主題曲。誠邀大家細心欣賞﹗
The #PolyU 85th Anniversary Theme Song conveys fond memories shared by members of the PolyU family, as well as our commitment to making meaningful contributions to society. We have invited the PolyU Alumni Band to perform the PolyU 85th Anniversary Theme Song. Let’s enjoy their wonderful performance!
#PolyU85 #WeArePolyU #TogetherWeExcel #情繫理大 #共創非凡</t>
  </si>
  <si>
    <t>['PolyU', 'Hong Kong PolyU', 'The Hong Kong Polytechnic University', '理大', '香港理工大學', '理工', 'HK PolyU', 'Research', 'tertiary education', 'university', 'postgraduate', 'graduate', 'anniversary', 'alumni']</t>
  </si>
  <si>
    <t>中國文化及藝術欣賞講座「至樂 · 至善 · 至美」Chinese Painting Appreciation – Collector and Philanthropist Perspectives</t>
  </si>
  <si>
    <t>In the #PolyU 85th Anniversary Art and Culture Series - September Event, we are honoured to have Mr Ho Sai-chu, PolyU Alumnus and University Fellow, share with us curated works of Chinese painting and calligraphy from the late Ho Iu-Kwong’s Chih Lo Lou Collection. Let’s appreciate Chinese art through immersing ourselves in the artists’ stories and the historical backdrop of the artworks. Chinese art will not only inspire us to reflect on our modern lives, it will also enhance our cultural literacy and refine our aesthetic sense. Join us to embrace the essence of “chih lo” — to cherish and to share — through this art appreciation seminar.
#理大 八十五周年藝術及文化系列九月份的活動，特別邀請了理大校友及大學院士，同時也是傑出商界名人和慈善家何世柱先生與大家分享已故慈善家及收藏家何耀光先生所建立的至樂樓」珍藏的中國書畫精品。透過欣賞這些瑰寶去認識和感受這些書畫名家的故事及其背後的歷史，我們可以學習欣賞藝術，並且領悟藝術如何讓我們反思人生哲理，從而完善我們個人的文化素質和修養，學懂「為善至樂」之意，體會「至樂樓」至樂、至善、至美的精神。</t>
  </si>
  <si>
    <t>['PolyU', 'Hong Kong PolyU', 'The Hong Kong Polytechnic University', '理大', '香港理工大學', '理工', 'HK PolyU', 'Research', 'tertiary education', 'university', 'postgraduate', 'art', 'culture', 'chinese', 'painting']</t>
  </si>
  <si>
    <t>#理大 八十五週年校慶主題曲承載了理大人共同的美好回憶，以及我們矢志貢獻社會的理大精神。因此，我們特別邀請了不同理大社群演繹這首動人的校慶主題曲。首先為大家呈獻的，是由理大校友會聯會中樂團的演奏版本﹗
密切留意其他精彩演出﹗
The #PolyU 85th Anniversary Theme Song conveys fond memories shared by members of the PolyU family, as well as our commitment to making meaningful contributions to society. To mark its composition, we have invited various PolyU communities to perform this heart-warming song. The first to be presented is the version performed by the The Federation of the Hong Kong Polytechnic University Alumni Associations (FHKPUAA) Chinese Orchestra!
Stay tuned for other heart-felt performances!
#PolyU85 #WeArePolyU #TogetherWeExcel #情繫理大 #共創非凡</t>
  </si>
  <si>
    <t>【知識轉移，改變世界】在城市中迷路對悠閒的人可以是一種樂趣，對趕時間的人則是一場災難。現在的智能定位技術能發揮一定幫助，但其準確度仍未算完全可靠。針對這個問題， #理大 航空及民航工程學系副系主任及副教授許立達博士從他的研究中找到解決方案。許博士的三維城市模型建圖輔助GNSS定位技術可將城市定位精準度提高十倍，更適用於香港及東京等密集市區。他與研究團隊將會進一步開發關鍵的定位及導航技術，為逾四千萬華為智能手機及自動駕駛汽車使用者提升用戶體驗，進一步造福社會。
許博士研發的定位技術是理大十項獲得「校長特設傑出成就獎 (知識轉移)」的得獎研究之一。
【Knowledge Transfer for a Better World】Getting lost in the concrete jungle might lead to wonderful discoveries, but taking a wrong turn when pressed for time is certainly not anyone’s idea of fun. While we have to know where we are to get to where we’re going, today’s smartphone positioning technology still cannot pinpoint our location with consistently dependable accuracy.
Dr Hsu Li-ta, Associate Head and Associate Professor from PolyU Department of Aeronautical and Aviation Engineering tackles this problem through his research on 3D mapping aided GNSS technology. He managed to drive a 10-fold improvement in positioning accuracy in even the densest urban areas such as Hong Kong and Tokyo. Dr Hsu and his team will develop further key positioning and navigation technology, aiming to improve the experience of over 40 million users of Huawei smartphones and autonomous vehicles globally.
Dr Hsu's research project that resulted in the development of the positioning and navigating technology is one of ten impactful PolyU projects to be awarded the “President’s Awards for Outstanding Achievement in Knowledge Transfer”.
@PolyU KTEO 
#PolyUStaff #PolyUResearcher #Innovation #PolyUResearch #PolyUScience #KnowledgeTransfer #Technology #Education #Aerospace #SpaceExploration #GNSS #UrbanNavigation</t>
  </si>
  <si>
    <t>學問與修養  Knowledge and Self-Cultivation</t>
  </si>
  <si>
    <t>大學教育近年來較著重提升學生的知識與專業水平，品德培養的比重相對較少。事實上全人教育涵蓋以上各方面，缺一不可。#理大 八十五周年校慶公開講座特別邀了理大榮休校長潘宗光教授與大家暢談學問與修養的關係。兩者兼備，相輔相成，才是教育的最高目標。
***
16.09.2022 (星期五 Fri) 17:00–18:30
理大賽馬會綜藝館 PolyU Jockey Club Auditorium
語言Language：廣東話 Cantonese
***
University education nowadays focuses more on the promotion of students’ knowledge and professional qualifications, as compared to the cultivation of their morals and values. In fact, all the above are equally crucial to whole-person development. In this #PolyU 85th Anniversary Public Lecture, we are honored to have Prof. Poon Chung-kwong share with us the relationship between knowledge and self-cultivation, and how they complement each other to fulfill the ultimate purpose of education.
#PolyU85 #publiclecture #education #universityeducation</t>
  </si>
  <si>
    <t>香港理工大學高等研究院 PolyU Academy for Interdisciplinary Research (PAIR)</t>
  </si>
  <si>
    <t>「香港理工大學高等研究院」(PAIR) 致力帶動跨學科研究，把不同技術及科學領域的資源與知識兼收並蓄，針對重大社會問題提供適切可行的解決方案。目前， PAIR 轄下已有十一所研究院及五所研究中心，它們各具使命，雲集理大最優秀的學者，專注多個前沿領域的研究，包括深空探測、碳中和資源工程、智慧城市、未來食品、中醫藥創新、體育科技、視覺科學及其他不同範疇的研究工作。
PolyU Academy for Interdisciplinary Research (PAIR) steers interdisciplinary research, bringing together resources and knowledge from different technologies and scientific disciplines to deliver practical solutions that address key societal issues. PAIR hosts eleven mission-driven interdisciplinary Research Institutes (RIs) and five Research Centres (RCs), whose research teams are drawn from the most distinguished scholars at PolyU. These RIs and RCs focus on frontier research areas including deep space exploration, resources engineering towards carbon neutrality, smart cities, future food, sports science and technology, and sharp vision.</t>
  </si>
  <si>
    <t>【精彩回顧】理大創科開放日 【Highlights】PolyU InnoTech Open Day</t>
  </si>
  <si>
    <t>#理大創科開放日 凝聚創科力量，一起改變世界﹗
#PolyUInnoTechOpenDay unites the power of I&amp;T to shape the future!</t>
  </si>
  <si>
    <t>PolyU Science Research Impact 2022 EP08 – Graphene Coating Solution for Wearable Electronics</t>
  </si>
  <si>
    <t>可穿戴電子設備是指佩戴在使用者身上，並能提供智能輔助的微型電子裝置，例如智能手錶、智能眼鏡、珠寶或服裝。 這些設備均需金屬導電，然而金屬在遭受氧化和腐蝕後會失效，因此要維持良好的導電性變得非常有挑戰性。
#理大 理學院柴揚教授注專可導電纖維和織物的研究。他所研發的嶄新塗層技術，透過使用高度不滲透的石墨烯作為保護塗層，防止導電纖維因洗滌和人體汗液而腐蝕。這項技術可以有效減慢金屬導電纖維腐蝕的速度約66倍。
本集是PolyU Science Research Impact的最後一集，感謝大家的支持。理大將繼續推動科研發展並將科研成果轉化為應用，造福社會!
Wearable electronics are microelectronic devices worn on the user's body to provide intelligent assistance, and include smartwatches, eyeglasses, jewellery and clothing. These devices require the use of metals to conduct electricity. However, metal conductivity is susceptible to oxidation and corrosion, which makes their maintenance challenging.
PolyU Science Researcher Prof. Chai Yang focuses on conductive fibre and fabric research. His innovative coating technique using impermeable graphene as the protection layer for wearable fibre and fabric can prevent corrosion caused through washing and human perspiration. This graphene protection layer can reduce the corrosion rate of conductive fibre by approximately 66 times. 
This is the last episode of PolyU Science Research Impact produced by the Faculty of Science. Thank you for your support. PolyU will continue to pursue innovation and technology development and translate research breakthroughs into real-world applications for the benefit of society!
@PolyU Science
@PolyU Applied Physics 
#PolyUResearch #PolyUScience #PolyUScience_Innovation #PolyUScience_Research #PolyUAP #GrapheneCoating #理大科研 #理學院</t>
  </si>
  <si>
    <t>校長特設傑出成就獎（知識轉移）President’s Awards for Outstanding Achievement in Knowledge Transfer</t>
  </si>
  <si>
    <t>#理大 校訓「開物成務，勵學利民」一直引領每位理大人前行，轉移所學，惠益人民。多年來，理大為社會帶來的創新發明惠及我們生活的衣、食、住、行各方，乃至推動人類進行太空探索，致力建設更美好的未來。為表揚理大研究人員在知識轉移方面的卓越成就，大學設立了「校長特設傑出成就獎（知識轉移)」，並頒授予十個具影響力的理大科研項目。想了解一眾理大學者如何在不同範疇推動社會前進，敬請密切留意專頁更新！
“To learn and apply, for the benefit of mankind” — words to live by for all in #PolyU! From fundamental life issues of food and clothing to space exploration, PolyU has been driving transformative innovations to bring about a better future. To celebrate some of the remarkable knowledge transfer endeavours of #PolyU research staff, the “President’s Awards for Outstanding Achievement in Knowledge Transfer (KT)” have been set up and awarded to ten pivotal PolyU research projects. Stay tuned to discover how these inspiring accomplishments can help propel mankind to new level of achievement!
#TogetherWeExcel #PolyUStaff #Innovation #PolyUResearch #PolyUScience #KnowledgeTransfer #Technology #Education #Aerospace #SpaceExploration</t>
  </si>
  <si>
    <t>理大主校門揭幕禮 PolyU Main Entrance Unveiling Ceremony</t>
  </si>
  <si>
    <t>【 #理大 主校門揭幕﹗】為慶祝八十五周年校慶，理大特別為座落於校園A座的校門重新設計成主校門。我們很高興今日能在600多名嘉賓和線上觀眾見證下為主校門揭幕，一同慶祝大學踏上新征程，在教學、科研與知識轉移方面進一步貢獻香港和國家。
在揭幕典禮上，理大管理層和與會嘉賓合唱國歌及理大八十五周年校慶主題曲。在行政長官、理大校監李家超先生以及政務司司長陳國基先生主禮下主校門正式揭幕。
主校門巧妙糅合經典的柱廊設計和具標誌性的紅磚建築風格，不但成理大的重要地標，亦象徵理大秉承享譽國際的教育和科研成就，繼往開來，展開大學發展的新篇章。
【 #PolyU Main Entrance Unveiled!】 PolyU today unveiled its new iconic main entrance near Core A of the campus to celebrate the University’s 85th Anniversary. This joyful occasion was attended by more than 600 guests as well as an online audience, celebrating PolyU’s aspiration to scale new heights as we strive to make greater contributions to Hong Kong and China through education, research and knowledge transfer.
At the ceremony, PolyU senior management and guests sang the national anthem and the theme song of PolyU’s 85th Anniversary. The Main Entrance was then officially unveiled in the presence of Mr John Lee Ka-chiu, Chief Executive and Chancellor of PolyU, and Mr Eric Chan Kwok-ki, Chief Secretary for Administration.
The design of the entrance blends our signature red brick architectural style with classical colonnade features. The entrance is a new iconic PolyU landmark and symbolises PolyU’s continuous pursuit of excellence as a leading global university, taking world-class education, research and knowledge transfer into a new era.
#PolyU85 #WeArePolyU #TogetherWeExcel #情繫理大 #共創非凡 #university #innovation #technology #research #PolyUcampus #mainentrance #主校門</t>
  </si>
  <si>
    <t>理大主校門揭幕典禮 PolyU Main Entrance Unveiling Ceremony</t>
  </si>
  <si>
    <t>理大八十五周年校慶活動之一的「理大主校門揭幕典禮」將於8月24日舉行，標誌著理大踏進一個新的發展階段。主校門巧妙地糅合了經典的柱廊設計和具標誌性的紅磚建築風格，象徵理大立足於享譽國際的教育成果和科研基石，繼往開來朝卓越高等教育學府發展。我們誠邀你一同在線上參與揭幕典禮﹐共慶理大堅定不移邁向光輝和成功的未來。
***
理大主校門揭幕典禮 PolyU Main Entrance Unveiling Ceremony
24.08.2022 (星期三Wed) | 10:30am – 11:25am
***
As part of PolyU’s 85th Anniversary celebrations this year, the University is hosting the Main Entrance Unveiling Ceremony to mark this key milestone. The design of the entrance blends our signature red brick architectural style with classical colonnade features, manifesting our continuous pursuit of excellence as a leading university with strong heritage and world-class education and research. We cordially invite you to join us online to celebrate this important moment. Together, let us unveil this iconic PolyU landmark as we strive to contribute to the betterment of society and mankind.
#PolyU #PolyU85 #WeArePolyU #TogetherWeExcel #情繫理大 #共創非凡 #mainentrance #主校門</t>
  </si>
  <si>
    <t>光交聯聚合物 Photocrosslinkable Polymer Transformers</t>
  </si>
  <si>
    <t>有沒有想過有一種變形物，既可治療骨傷，又可修復受損的心臟組織？ #理大 生物醫學工程學系副教授趙昕博士及其研究團隊，致力研發光交聯聚合物並將其作臨床醫療應用。光交聯聚合物是一種可透光而固化的物料，具有不同的機械性能，可按需要塑造成不同的尺寸和結構作醫療用途，如直接注入骨折處幫助組織重生，或製成微針貼片為傷口癒合提供藥物。立即看片，了解趙博士這項榮獲「優秀青年科學家基金項目」的研究工作。
Have you ever thought there is a transformer that can heal bone defects or repair wounded heart tissues? #PolyU’s Dr Zhao Xin from the Department of Biomedical Engineering is devoted to the development of photocrosslinkable polymers to help address various clinical issues. Photocrosslinkable polymers are polymers that can be solidified from liquid upon exposure to light. They can be fabricated in a variety of dimensions and structures with diverse mechanical properties for medical use, such as for injection into bone cracks for regeneration of tissues or as microneedle patches to deliver drugs for wound healing. Watch the video now and learn more about the work of Dr Zhao, awardee of the National Excellent Young Scientists Fund in 2021.
@Research and Innovation Office (RIO) - PolyU 
#PolyUResearch #PolyURIO #Research #Innovation #PublicHealth #Biomedical #Engineering #理大科研 #生物醫學</t>
  </si>
  <si>
    <t>PolyU Science Research Impact 2022 EP07 – Infectious Disease Modelling for Disease Control</t>
  </si>
  <si>
    <t>傳染病是全球引致死亡的重要原因之一，對公共衞生的威脅不容忽視。了解傳染病的傳播模式和特徵，對於制定有效的防疫措施至關重要。
#理大 理學院何岱海博士及研究團隊通過分析流行病學數據建立出新的數學模型，能有效預測疫情爆發並找出最佳的疫情控制措施。2019新冠状病毒病爆發期間，何博士的數據分析對制定保持社交距離和病床供應等公共衛生措施起了重大的參考作用。
Infectious diseases are one of the major causes of death globally, and the threat to public health cannot be ignored. Understanding their transmission patterns and characteristics is critical to formulating effective epidemic prevention measures.
#PolyU Faculty of Science researcher Dr He Daihai and his research team have analysed epidemiological data to develop new mathematical models which help predict pandemic outbreaks and identify the best control measures for infectious diseases. During the COVID-19 outbreaks, Dr He’s research has contributed significantly to planning control measures, such as social distancing and hospital bed capacity. 
@PolyU Science 
#PolyUResearch #PolyUScience #PolyUScience_Innovation #PolyUScience_Research #PolyUAMA #InfectiousDiseaseModelling  #理大科研 #理學院</t>
  </si>
  <si>
    <t>超分子軟體機械人 Supramolecular Soft Robotics</t>
  </si>
  <si>
    <t>生物的行動機制相當複雜，但科學家正試圖透過化學科技，製造出能模仿自然肌肉運動的材料。 #理大 應用生物及化學科技學系梁敬池博士與他的團隊致力於設計新穎的超分子功能系統，使之成為刺激響應功能的軟材料。這系統利用光響應兩親分子的特性，能令材料在光源照射時自主驅動。團隊期望研究在未來10年會有重大改進，而這些軟材料日後可用於醫療方面，並充分發揮光響應的特質，達致更精準的治療方案。
The motion mechanism of a living organism is complicated, but scientists are aiming to fabricate future materials that can mimic natural muscle motions through chemistry technology. A research team led by Dr Franco King-Chi Leung from the Department of Applied Biology and Chemical Technology at #PolyU is devoted to designing novel supramolecular functional systems for the development of stimuli-responsive  functional soft materials. Leveraging the characteristics of photo-responsive molecular amphiphiles, the systems enable photo-actuation of novel materials. The research team hopes their research can make major improvements in the coming 10 years and the novel materials developed can be applied in the medical field for more precise treatment.
@PolyU ABCT 
@Research and Innovation Office (RIO) - PolyU 
#PolyUResearch #PolyURIO #Research #Innovation #Robotics #Supramolecular #理大科研</t>
  </si>
  <si>
    <t>骨質疏鬆症是一種骨頭變得脆弱的疾病。在世界各地年齡超過50歲的人口中，約有三分之一女性和十分之一男性會因患骨質疏鬆症而出現骨折。
#理大 理學院黃文秀教授致力探討以傳統中藥治病的原理，特別關注與骨骼健康相關的疾病。她的研究發現，很多傳統中藥，包括淫羊藿、女貞子和接骨木，都能有效改善骨質疏鬆症狀。黃教授更與廣州暨南大學合作開發和配製標準化的接骨木提取物，為中成藥的療效和安全性提供科學依據。
Osteoporosis is a bone disease which causes bones to become weak and brittle. About one in three women and one in ten men over the age of fifty will suffer from bone fractures due to osteoporosis worldwide.
#PolyU researcher Prof. Wong Man-sau from the Faculty of Science is dedicated to elucidating the underlying mechanisms of Traditional Chinese Medicine (TCM) for disease management, including helping ensure bone health. Studies have demonstrated that TCM ingredients, including Epimedium, Ligustrum and Sambucus Williamsii Hance, have significant anti-osteoporotic effects. Prof. Wong has also collaborated with Jinan University to develop and formulate the standardized Sambucus Williamsii Hance extract, and has presented scientific evidence on the efficacy and safety of TCM to support the further development of Chinese patent medicines. 
#PolyUResearch #PolyUScience #PolyUScience_Innovation #PolyUScience_Research #PolyUABCT #TCM #Osteoporosis #理大科研 #理學院</t>
  </si>
  <si>
    <t>用於監測傳染病的快速基因排序分析技術 Rapid Genome Sequencing for Infectious Disease Surveillance</t>
  </si>
  <si>
    <t>新冠 #疫情 讓我們了解到監測傳染病的重要性。 #理大 醫療科技及資訊學系副教授蕭傑恒博士透過檢測從新冠患者收集的病毒基因排列，協助政府追蹤病毒傳播鏈。他研究團隊更改良傳統的檢測方法，大大縮短基因測序所需的時間，更快識別出新型變種病毒的患者，防止變種病毒在社區中進一步傳播。立即看片，了解蕭博士研究團體隊如何在這場抗疫戰爭中與時間競賽。
Rapid Genome Sequencing for Infectious Disease Surveillance
The #pandemic has taught us the importance of closely monitoring infectious diseases. #PolyU Associate Professor Dr Gilman Siu from the Department of Health Technology and Informatics, is helping the government to trace the transmission chains of the virus by testing its genome sequence in samples collected from COVID-19 patients. His research team has revised the traditional detection methods, greatly shortening the time required for genome sequencing. This helps identify patients carrying new variants within a shorter period of time, thus helping prevent the further spread of the new variants in the community. Watch the video now to see how Dr Siu's team is racing against time in our battle against the virus.
#凝心聚力 #攜手抗疫 
#TogetherWeMakeADifference in #FightingCOVID19
#PolyUResearch #PolyURIO #Research #Innovation #PublicHealth #GenomeSequencing #healthtechnology #理大科研</t>
  </si>
  <si>
    <t>['PolyU', 'Hong Kong PolyU', 'The Hong Kong Polytechnic University', '理大', '香港理工大學', '理工', 'HK PolyU', 'Research', 'tertiary education', 'university', 'postgraduate', 'graduate', 'acadmics', 'coivd19', 'genome sequencing', 'infectious disease']</t>
  </si>
  <si>
    <t>超聲波掃描是非常重要的醫療診斷技術。該技術利用高頻聲波對人體內的器官和組織進行掃描並實時成像。除了產前診斷，超聲波亦可以用來診斷其他身體器官的異常情況。超聲波診斷不像X光般會產生輻射，是一種非侵入性又安全的疾病檢測方法。
#理大 理學院戴吉岩教授及其研究團隊多年來一直專注於超聲波探頭的研發。他們成功開發出多種超聲波探頭，包括聚焦的單體探頭到陣列式探頭，更大大提高了這些探頭的性能和影像清晰度，從而幫助醫護人員進行診斷和治療。
Ultrasound imaging is an important clinical diagnostic technology that uses high-frequency sound waves to produce real-time images of organs and tissues inside the body. It helps monitor a baby’s development during pregnancy and diagnose abnormalities in other organs. Unlike x-rays, ultrasound is safe, non-invasive and does not emit radiation.
#PolyU Science researcher Prof. Dai Jiyan and his team have focused on developing medical ultrasound probes for years. They have developed many kinds of ultrasonic probes, ranging from focused single element probes to array-type transducers, and have significantly improved the performance of these probes to aid diagnoses and therapeutic treatments in hospitals.
#PolyUResearch #PolyUScience #PolyUScience_Innovation #PolyUScience_Research #PolyUAP #理大科研 #理學院</t>
  </si>
  <si>
    <t>Human Vision Based Colour Management Solutions for Imaging Systems 基於人類視覺機制的影像系統顏色管理方案</t>
  </si>
  <si>
    <t>使用手機拍下照片但颜色在屏幕上看起来與真實的不同？這是因為人類的視覺系統能看到的顏色和亮度，比相機和顯示器能捕捉和呈現的更廣闊。
#理大 建築環境及能源工程學系 的副教授魏敏晨博士主要研究基礎顏色科學，並且針對不同的影像系統，包括相機、顯示器、虛擬實境、擴增實境、混合實境等，開發先進的算法和解決方案，應對業界的需求，改善使用者體驗，這在元宇宙時代尤其為重要。立即看片，了解魏博士的研究如何對機器圖像處理產生重大的影響。
Take a picture with your smartphone, but find the colours on screen look different? This is because the human visual system can see a wider range of colour and light intensities under different ambient conditions than cameras and displays can capture and produce. 
#PolyU Associate Professor Dr Tommy Wei from the Department of Building Environment and Energy Engineering has carried out research on the fundamentals of colour science and developed advanced #algorithms and solutions for various imaging systems, including cameras, displays, #VR, #AR and #MR to address industrial needs, improving the user experience especially in the new era of the metaverse. Watch the video now and see how Dr Wei’s research makes an impact on the development of image processing by machines.
@Research and Innovation Office (RIO), PolyU
#PolyUResearch #PolyURIO #Research #Innovation #ColourScience #VisualScience #ImagingTechnologies #理大科研</t>
  </si>
  <si>
    <t>#理大創科開放日 凝聚創科力量，一起改變世界﹗</t>
  </si>
  <si>
    <t>我們很高興在開放日與大家分享 #理大 在教育、科研和創新的成就；亦十分感謝創新科技及工業局局長孫東教授、支持機構和來自社會各界朋友的踴躍參與和支持。理大會延續開放日所凝聚的創科力量，積極培育科研人才，以創新發明造福社會，並與各界攜手合作創造更美好未來。
【#PolyUInnoTechOpenDay unites the power of I&amp;T to shape the future! 】We are delighted to have shared with you the achievements of #PolyU in education, research and innovation at the InnoTech Open Day. We would like to thank the Secretary for Innovation, Technology and Industry, Prof. Sun Dong, together with supporting organisations and friends from the community for their participation and support. PolyU will build upon the energy and momentum from today’s event, actively cultivating scientific research talents to benefit society with their innovations and joining hands with industry to shape a better future.
#PolyU85 #WeArePolyU #TogetherWeExcel #情繫理大 #共創非凡 #university #innovation #technology #research #openday #PolyUcampus</t>
  </si>
  <si>
    <t>理大創科開放日開幕式 PolyU InnoTech Open Day Opening Ceremony</t>
  </si>
  <si>
    <t>#理大創科開放日 是 #理大 85週年校慶的重點活動之一，集合理大科研、創新和教育資訊於一身。
The #PolyUInnoTechOpenDay is one of the signature events of #PolyU’s 85th Anniversary celebrations. The Open Day unveils the University’s pursuit of excellence in interdisciplinary research, innovation, knowledge transfer and education.</t>
  </si>
  <si>
    <t>「理」又知唔知？在 #理大，本科生都可以實踐自己的科研和創業夢﹗校內的本科生科研計劃，以及學生創業概念驗證基金計劃為同學提供不同的指導和經費支援，讓同學將想法轉化成影響社會的創新方法。歡迎大家參與 #理大創科開放日 ，了解更多理大為學生提供的機會﹗
_________________________________________
理大創科開放日 PolyU InnoTech Open Day
16.7.2022 (六/Sat) | 9:30 – 17:00 @理大校園 PolyU Campus
立即報名 Register Now: https://polyu.hk/lWPtH
_________________________________________
Did you know? At #PolyU, undergraduate students can also realise their research and entrepreneurial dreams! The University’s ‘Undergraduate Research and Innovation Scheme’ and ‘PolyU Student Entrepreneurial Proof-of-Concept Funding Scheme’ provide guidance and financial support to students, empowering them to transform ideas into innovative impactful solutions. To learn more about opportunities provided to students by PolyU, please come to #PolyUInnoTechOpenDay on 16 July!
#PolyU85 #WeArePolyU #TogetherWeExcel #情繫理大 #共創非凡 #university #Innovation #Technology #openday #PolyUcampus</t>
  </si>
  <si>
    <t>The top three most popular #PolyU’s courses</t>
  </si>
  <si>
    <t>「理」又知唔知？最多同學選擇申請的三個 #理大 課程，也是競爭最激烈的。究竟是哪三個課程最受歡迎？答案盡在影片中。 
想發掘更多理大課程資訊？7月16日 #理大創科開放日 將有聯招課程諮詢、校園生活分享會等，萬勿錯過﹗
_________________________________________
理大創科開放日 PolyU InnoTech Open Day
16.7.2022 (六/Sat) | 9:30 – 17:00 @理大校園 PolyU Campus
立即報名 Register Now: https://polyu.hk/MxwPn
_________________________________________
Did you know? The top three most popular #PolyU’s courses that students apply for, are also the three most competitive courses in terms of the ratio of number of places to applications. So which are they? Check out the answers in the video. 
Want to learn more about PolyU’s programmes? The #PolyUInnoTechOpenDay on 16 July features JUPAS consultations, campus life sharing sessions, and more. Don’t miss it! 
#PolyU85 #WeArePolyU #TogetherWeExcel #情繫理大 #共創非凡 #university #Research #Innovation #Technology #openday #PolyUcampus</t>
  </si>
  <si>
    <t>PolyU InnoTech Open Day 理大創科開放日</t>
  </si>
  <si>
    <t>#理大創科開放日 告訴你創科如何改變世界！開放日的精彩環節包括：
♦ 諾貝爾獎得主的勵志演講
♦ 理大跨學科研究學院 (PAIR) 成立典禮
♦ 聯招課程諮詢及學習生活分享
♦ 15個主題導賞團
♦ 創業獨角獸分享會及初創展覽
♦ 8 場研究與創新講座
♦10個最具影響力的創新展覽
_________________________________________
理大創科開放日 PolyU InnoTech Open Day
16.7.2022 (六/Sat) | 9:30 – 17:00 @理大校園 PolyU Campus
立即報名 Register Now: https://polyu.hk/MFjxm
_________________________________________
The #PolyUInnoTechOpenDay unveils how innovation and technology are changing our world! Our amazing activities include: 
♦ Inspirational talk by Nobel Laureate
♦ Inauguration of PolyU Academy for Interdisciplinary Research (PAIR)
♦ JUPAS consultations &amp; learning journey seminars
♦ 15 Thematic Tours of labs and campus facilities
♦ Sharing by PolyU Unicorns &amp; Start-up Pitching
♦ 8 Research &amp; Innovation Sessions
♦10 Most Impactful Innovations Exhibition
#PolyU85 #WeArePolyU #TogetherWeExcel #情繫理大 #共創非凡 #university #research #innovation #technology #openday #PolyUcampus</t>
  </si>
  <si>
    <t>['PolyU', 'Hong Kong PolyU', 'The Hong Kong Polytechnic University', '理大', '香港理工大學', '理工', 'HK PolyU', 'Research', 'tertiary education', 'university', 'postgraduate', 'graduate', 'acadmics', 'openday', 'open day', 'innotech', 'PolyU InnoTech Open Day']</t>
  </si>
  <si>
    <t>New features of PolyU’s undergraduate programme</t>
  </si>
  <si>
    <t>「理」又知唔知？在新學年，#理大 將全面推行「學系為本」的組合課程，並在大學核心課程加入「人工智能和數據分析」以及「創新及創業」兩大範疇。參加7月16日的 #理大創科開放日 了解更多理大課程新特色!
_________________________________________
理大創科開放日 PolyU InnoTech Open Day
16.7.2022 (六/Sat) | 9:30 – 17:00 @理大校園 PolyU Campus
立即報名 Register Now: https://polyu.hk/HuGJt
_________________________________________
Did you know? In the new academic year, #PolyU will apply “Departmental Scheme-based Admission”, and two new majors - “Artificial Intelligence and Data Analytics” and “Innovation and Entrepreneurship” - are introduced as elements of the University core requirements. Join us at the #PolyUInnoTechOpenDay on 16 July to learn more about the new features of PolyU’s undergraduate programme!
#PolyU85 #WeArePolyU #TogetherWeExcel #情繫理大 #共創非凡 #university #research #Innovation #Technology #openday #PolyUcampus</t>
  </si>
  <si>
    <t>由於估算不準確，紡織品製造商經常因產量不足或生產過剩而未能達到生產目標，導致材料及能源浪費等問題。假如能準確地預測原料數量和產品合格率，將有助於減省成本及減少浪費。
#理大 理學院蔣濱雁博士及研究團隊建立了一個混合統計模型，能準確預測合格產品的生產機率，並按原料狀況調整機器輸出數值。該模型成功幫助一家為全球提供紡織品的製造商提高生產效益，每年減少生產成本達250 萬港元，同時亦減低對環境造成的污染，包括每年減少排放300 噸溫室氣體以及 2,155 噸廢水。
理大「應用科學及紡織學院」已改名為「理學院」，而原來轄下的紡織及服裝學系亦升格為時裝及紡織學院。此影片系列會改名為 PolyU Science Research Impact，每隔一周繼續在這裡播放。歡迎收看!
Textile manufacturers often fail to meet their production target due to insufficient production or over production. This leads to wastage of resources and energy due to the inaccurate estimation of raw material needs and production planning. An accurate and effective manufacturing forecast would help mitigate such loss and wastage.
Dr Jiang Binyan and a team of researchers from #PolyU Science have developed a hybrid statistical model to accurately predict the product qualification rate and adjust the machine output value based on the condition of the raw materials. The model has helped a global textile manufacturer improve production efficiency and reduce production costs by HK$2.5m annually. In addition, it has also minimized the environmental footprint by eliminating 300 tons of greenhouse gas emission and 2,155 tons of sewage annually after implementation. 
PolyU’s Faculty of Applied Science and Textiles has been renamed the Faculty of Science and the Institute of Textiles and Clothing has also been upgraded to the new School of Fashion and Textiles. This video series “PolyU Science Research Impact” will continue to showcase our research every other week. Stay tuned!
#PolyUResearch #PolyUScience #PolyUScience_Innovation #PolyUScience_Research #PolyUAMA #理大科研 #理學院</t>
  </si>
  <si>
    <t>「理」又知唔知？7月16日（星期六）就是 #理大創科開放日 ﹗三個原因，你絕對不能錯過這個 #理大 85週年重點慶祝活動。立即看片﹗
_________________________________________
理大創科開放日 PolyU InnoTech Open Day
16.7.2022 (六/Sat) | 9:30 – 17:00 @理大校園 PolyU Campus
立即報名 Register Now: https://polyu.hk/yxCFB
_________________________________________
Did you know? The #PolyUInnoTechOpenDay is on 16 July (Sat)! Three reasons why you should not miss this signature event of #PolyU’s 85th Anniversary celebrations… Watch the video now!
#PolyU85 #WeArePolyU #TogetherWeExcel #情繫理大 #共創非凡 #university #Innovation #Technology #Research #openday #PolyUcampus</t>
  </si>
  <si>
    <t>['PolyU', 'Hong Kong PolyU', 'The Hong Kong Polytechnic University', '理大', '香港理工大學', '理工', 'HK PolyU', 'Research', 'tertiary education', 'university', 'postgraduate', 'graduate', 'acadmics', 'open day', 'innovation', 'technology', 'innotech', 'knowledgetransfer']</t>
  </si>
  <si>
    <t>#PolyU today (1 Jul 2022) held a flag-raising ceremony on campus to celebrate the 25th anniversary of the establishment of the Hong Kong Special Administrative Region (HKSAR). Dr Lawrence LI Kwok-chang, Deputy Council Chairman of PolyU, Dr Katherine NGAN Ng Yu-ying, Court Chairman of PolyU, together with the University senior management and over 800 staff, students and alumni attended the ceremony to wish our Nation prosperity and vibrancy, and to show our support for the HKSAR’s new administration in starting a new chapter together with various sectors and with the support of our Nation.
#理大今天(2022年7月1日)於校園舉行升旗儀式，慶祝中華人民共和國香港特別行政區成立二十五周年。理大校董會副主席李國祥醫生、大學顧問委員會主席顏吳餘英博士，聯同理大一眾管理層，以及八百多位師生和校友一同出席升旗儀式，祝願國家繼續富強昌盛，特區新領導班子在國家支持下實踐良政善治，與各界共同開創新篇章。</t>
  </si>
  <si>
    <t>EXERCISE WITH THE 85TH ANNIVERSARY THEME SONG
To promote health and wellness, we have engaged the Department of Rehabilitation Sciences (RS) to design the PolyU Power Up Exercise based on RS' clinical practice, featured in a video with the 85th Anniversary theme song as background music. Together with the launch of the video, we have prepared a “PolyU Power Up Exercise Band” for each full-time PolyU staff member. Do practise the exercise with your colleagues, friends and family members and stay healthy together!</t>
  </si>
  <si>
    <t>Let's sing and exercise together with our 85th Anniversary theme song
85 is more than a number we can be proud of. It represents the fond memories we share and the PolyU spirit we believe in. Created through PolyU community members’ joint efforts, the University's 85th Anniversary theme song reflects PolyU's commitment across the generations to make impactful contributions. Please join us to celebrate our Anniversary and stay healthy!
SING THE THEME SONG CAMPAIGN ACTIVITIES
1. Together We Sing
2. Create Your Theme Song Music Video
3. Exercise with the 85th Anniversary Theme Song
All participants of Together We Sing and Create Your Theme Song Music Video will receive a PolyU souvenir!
More, create a theme song music video in your own way and submit your video online for a chance to win a STAYCATION voucher of Hotel ICON!
Besides, do practise the “PolyU Power Up Exercise” and stay healthy together!
JOIN NOW:
English form: https://polyu.hk/tkPql
Chinese form: https://bit.ly/36EDAQZ
LEARN MORE:
https://www.polyu.edu.hk/85anniversary/celebrations/celebration-events-and-highlights/sing-the-theme-song-campaign/
85th Anniversary Theme Song
Music Director 音樂總監:
Leung Kin-fung梁建楓
Lyrics by 作詞:
Paul Lee (Alumnus) 李嘉祺 (校友)
Chen Zhuoan (PhD Student) 陳卓安 (博士生)    
Song composed by 作曲:
Steph Lau (Alumna) 劉紫君 (校友)
Eagle Chan (Alumnus) 陳天翺 (校友)
歌詞
*理大校園，有你我足跡
  紅磚牆下，求學不畏艱辛
  在這裏，立德修身
  在這裏，探微求真
  志存高遠
  開物可成務
  心繫家國，勵學以利民
  星河遙遙，無畏
  歲月悠悠，奮進
  八十五載風雲 ，砥礪前行
  星河遙遙，無畏
  歲月悠悠，奮進
  八十五載風雲 ，不忘初心
  砥礪前行
  (*重複*）
  星河遙遙，無畏
  歲月悠悠，奮進
  八十五載風雲，不忘初心
  砥礪前行
For enquiries, please contact 85A.enquiries@polyu.edu.hk
PolyU reserves the rights of review and final decision of the selected entries.</t>
  </si>
  <si>
    <t>Innovating Compression Textiles for Enhancing Wearing Comfort and Health Care
對於長時間站立或久坐的人，穿著壓力襪有助緩解腿部不適和腫脹，其所提供的有效壓力能促進下肢血液循環，預防靜脈曲張、血栓形成或其他血循環問題。 
可是，傳統壓力襪因穿著不舒適或使用不當而限制了其實際功效和應用。 #理大 應用科學及紡織學院劉蓉博士以新方案去解決壓力紡織品的合身及壓力劑量精准控制問題。透過運用多元學科技術及人體功學設計，劉博士研發出高性能的壓力襪，並把壓力紡織品應用擴展到不同的穿戴領域。自2013年，劉博士的研究已成功幫助超過50多萬名下肢患有不同程度慢性靜脈疾病的人。 
Compression stockings contribute to the relief of leg fatigue or swelling for people who stand or sit for prolonged periods of time at work. The compression exerted by the socks improves blood flow, helping to prevent varicose veins, venous thrombosis and other circulation problems.
However, traditional compression stockings have limitations that can include discomfort and lack of efficacy, thus hindering their use. #PolyU Dr Liu Rong of the Faculty of Applied Science and Textiles has proposed new approaches to help solve size fitting and pressure-dose control problems for compression textiles. By applying multidisciplinary technologies and ergonomic design, she has developed high-performance compression stockings and extended the applications to multiple wearable areas. Since 2013, Dr Liu’s research has helped more than 500,000 people with different degrees of chronic venous diseases of the lower extremities. 
@PolyU Faculty of Applied Science and Textiles 理大應用科學及紡織學院
@PolyU Institute of Textiles and Clothing 理大紡織及服裝學系
#PolyUResearch #PolyUFAST #PolyUITC #FASTResearchImpact #Innovation #CompressionTextiles #理大科研 #應用科學及紡織學院 #研究 #科創</t>
  </si>
  <si>
    <t>漂亮的服裝能夠讓人看起來容光煥發，賞心悅目。可是，生產色彩絢麗的服裝布料卻可能會嚴重破壞環境，因為紡織印染會產生大量污水和有害化學物質。
#理大 應用科學及紡織學院姜綬祥教授研發了一種無需使用水和化學物質的金屬氣化著色技術，可讓織物更具獨特光澤和色彩效果。姜教授的研發為污染嚴重的印染產業提供一個環保的選擇，因為這項著色技術不會產生有害排放物和工業廢物，亦沒有化學氣味。
Fashion can make people look beautiful and radiant. However, colourful clothes may harm the environment, as the textile dyeing and finishing industry generates chemical and water pollution on a huge scale. 
Prof. Kinor Jiang at the Faculty of Applied Science and Textiles of #PolyU has developed metallised textiles with unique lustre and colour effects by applying sputter coating technology, a dry coating technology which doesn’t use any water or chemicals. Prof. Jiang’s research provides a clean alternative to traditional dyeing and finishing methods that cause significant pollution. The environmental benefits of his approach include no harmful emissions, no chemical odours and no industrial waste. 
@PolyU Faculty of Applied Science and Textiles 理大應用科學及紡織學院
@PolyU Institute of Textiles and Clothing 理大紡織及服裝學系
#PolyUResearch #PolyUFAST #PolyUITC #FASTResearchImpact #PolyUFashion_Research #PolyUFashion_KnowledgeTransfer #Innovation #MetallisedTextiles #理大科研 #應用科學及紡織學院 #研究 #科創</t>
  </si>
  <si>
    <t>['PolyU', 'The Hong Kong Polytechnic University', '理大', '香港理工大學', '理工', 'HK PolyU', 'Research', 'tertiary education', 'university', 'postgraduate', 'graduate', 'acadmics']</t>
  </si>
  <si>
    <t>科技進步不斷改善我們的生活。為配合社會的需要，增強學生未來競爭力， #理大 將於2022/23學年起推行「學系為本」的組合課程，而Artificial Intelligence and Data Analytics人工智能和數據分析 (AIDA)與Innovation and Entrepreneurship 創新及創業(IE)將成為大學核心課程必修科目，同學甚至可以選擇這兩個範疇作為副修或副主修。
Technological advancement continues to improve our lives. To keep pace with evolving societal expectations and to enhance the competitiveness of our students, #PolyU will apply a Departmental Scheme-based Admission as of academic year 2022/23. Additionally, Artificial Intelligence &amp; Data Analytics and Innovation &amp; Entrepreneurship are introduced as elements of the University core requirements. Students can also choose to declare a minor or secondary major in either or both subjects.
#PolyUStudent #PolyULife #StudyinHongKong #StudyAtPolyU #AI #artificialintelligence #dataanalytics #innovation #Entrepreneurship</t>
  </si>
  <si>
    <t>睿意創新 : 張耀國</t>
  </si>
  <si>
    <t>睿意創新 : 張耀國
• 土地管理學士（1994年）
• 滬港機場管理（上海）有限公司商業經營部總經理
• 香港測量師學會專業會員(MHKIS)
• 英國皇家特許測量師學會專業會員(MRICS)
• 註冊專業測量師（產業測量）(RPS(GP))
變幻原是永恆，創新才是出路
“創新的方法就是一直探索新的世界，創新的過程就是知識的儲備和思路的拓展。沒有最好，只有更好！”
“變幻原是永恆，創新才是出路”。 “創新”是張耀國Dicky最經常提到的一個詞，思考如何在現有的商業模式上找到突破點並且落地，在他看來是一件非常有趣的事情，並且讓他在工作上一直充滿著熱情。</t>
  </si>
  <si>
    <t>向陽而生 : 陸凱倫</t>
  </si>
  <si>
    <t>向陽而生 : 陸凱倫
• 品質管理碩士(2002)
• 杭州樂為健康科技有限公司董事長
• 湖南樂雅生物科技有限公司創始人
堅定前行幫助別人，是夢想也是創業的初心
“理大對我影響深遠，入讀理大是我人生中非常關鍵的一個轉折點，為我後來走過的20多年奠定了堅實的基礎，也影響我的一生。”
陸凱倫(Karen)是香港理工大學在內地合作辦學招收的第一屆學生，1998年入學就讀品質管理碩士課程，2002年畢業。 Karen於2016年從企業高管轉型為胃腸道健康領域的創業者，不斷踐行其“賦能醫者、服務大眾”的初心和使命。</t>
  </si>
  <si>
    <t>以心換心：陳麗娟</t>
  </si>
  <si>
    <t>陳麗娟
• 工商管理碩士（2007）
• 第十三屆青年理大校友
• 深圳市依貝佳美容科技投資有限公司董事長
• 珠三角校友會會長
• 深圳市商業聯合會副會長及監事
• 深圳十大傑出女青年 (2008)
• 中國百名傑出女青年 (2004)
美容密碼——持續學習，心中有愛
“透過付出而獲得，從內在改變生命的質量，令生活變得豐富，讓生命變得豐盈。”
陳麗娟，理大珠三角校友會會長，是一位投身美容行業38年，與深圳特區同成長的傑出女企業家。她1983年創辦公司，引進多個國際知名品牌進入中國市場，成為最早一批收購外國品牌的中國企業家。當年深圳友誼商店美容專櫃裡的第一款進口產品，就是她公司引進的口紅。年輕的小伙伴們可以去百度一下友誼商店在國家對外改革開放史上的江湖地位，便懂得這“第一支進口口紅” 有多大的象徵意義。</t>
  </si>
  <si>
    <t>商屆木蘭 -  韓芳</t>
  </si>
  <si>
    <t>韓芳
•國際房地產碩士
•南都物業服務股份有限公司董事長
•浙江大學——香港理工大學聯合中心校友聯誼會會長
•第12屆浙商女傑•年度人物
慎思之明辨之 韓芳致力前行做自己最喜歡的人
「常懷感恩的心，用自己的能力回饋社會，這樣會讓我覺得挺開心，挺陽光，挺快樂。」
韓芳，理大國際房地產碩士(IRE)第一屆畢業生，她不僅是一位優秀的企業家，她還是第12屆浙商女傑年度人物。一路走來，她身體力行地體現了自己的人生格言 -- 慎思明辨，行穩致遠。她用寬廣的胸懷和格局，讓自己所經營的企業獲得了一連串的殊榮。</t>
  </si>
  <si>
    <t>#微塑膠隨處可見，它們來自汽車輪胎、塑膠製品、美容用品及牙膏等。研究更發現本港海鮮樣本中都有微塑膠存在，對健康影響不容忽視。
#理大 應用科學及紡織學院蔡松霖博士和方家熙博士研發出一個利用細菌的創新方案去移除水中微塑膠。這種細菌能在微塑膠上形成粘膩的生物膜，從而困住微塑膠，使它們易於收集和回收。這方案為阻截微塑膠流入海洋，提供了一個有效的解決方法。
#Microplastics are everywhere. They come from various sources, including rubber tyres, plastic goods, beauty products and toothpaste. Substantial levels of microplastics contamination were reported in seafood samples from Hong Kong, posing a potential threat to human health.
#PolyU FAST researchers, Dr Song-lin Chua and Dr James Fang, have developed an innovative approach to removing microplastics from water using bacteria. The bacteria can form sticky biofilms that trap microplastics, making them easier to collect and recycle. This approach provides a viable way to stop microplastics from escaping into the oceans.
@PolyU Faculty of Applied Science and Textiles 理大應用科學及紡織學院
@Department of Applied Biology and Chemical Technology - PolyU
#PolyUResearch #PolyUFAST #FASTResearchImpact #Innovation #Microplastics #理大科研 #應用科學及紡織學院 #研究 #科創 #微塑膠</t>
  </si>
  <si>
    <t>來認識香港理工大學 2022/2023 (簡體中文)</t>
  </si>
  <si>
    <t>香港理工大學為世界百強學府, 根據「2022年QS世界大學排行榜」, 理大的排名躍升至第66位。這影片讓大家了解理大的最新動向, 包括最新大學及學科排名、八大學院的介紹、2022年全面推行以學係為本組合課程、加入課程的兩大新元素、特色教育、豐富學生環球視野的海外交流機會、學生發展項目, 以及宿舍生活等。理大2022年本科課程現已接受申請。</t>
  </si>
  <si>
    <t>['PolyU', 'Hong Kong PolyU', 'The Hong Kong Polytechnic University', '理大', '香港理工大學', '理工', 'HK PolyU', 'Research', 'tertiary education', 'university', 'postgraduate', 'graduate', 'acadmics', 'admission']</t>
  </si>
  <si>
    <t>Within a few seconds of breath, the world has changed a lot; with innovative research and positive belief, we can make our world better!
#PolyU Faculty of Applied Science and Textiles (FAST) has produced the "FAST Research Impact" video series to illustrate how their researchers translate their research innovations into impactful real-world solutions in response to urgent global issues such as environmental protection, energy conservation and health. 
Broadcasted every other week, the video series will feature the impactful results from eight FAST research projects. We hope you enjoy watching them and are inspired by how research can change our world for the better. 
呼吸一息間，世界發生瞬息不同的變化；憑著不斷創新的研究和堅毅的信念，我們可令世界變得更美好!
#理大 應用科學及紡織學院 特別製作了「FAST Research Impact」影片巡禮，闡明研究人員如何把科研成果帶出實驗室，應用於日常生活，回應世界近年備受關注的環保、節能及藥物治療等議題。
八條影片，八個應對社會和環境挑戰的科研方案，每隔一周在這裡播放。希望你喜歡並在如何為世界帶來改變上得到啟發。你我的一分力，令世界有所不同！</t>
  </si>
  <si>
    <t>['PolyU', 'Hong Kong PolyU', 'The Hong Kong Polytechnic University', '理大', '香港理工大學', '理工', 'HK PolyU', 'Research', 'tertiary education', 'university', 'postgraduate', 'graduate', 'acadmics', 'Faculty of Applied Science and Textiles', 'applied science', 'textiles']</t>
  </si>
  <si>
    <t>Hai Robotics 
Hai Robotics is a start-up that provides autonomous case-handling robotic systems. It was founded in 2016 by 2012 graduate Mr Richie Chen and 2014 graduate Mr Bing Fang of PolyU’s Department of Electronic and Information Engineering. A strategic partner of “GBA PolyVentures 2025”, Hai Robotics was nurtured under PolyU’s entrepreneurship ecosystem and has recently become a unicorn.
海柔創新
海柔創新是一家提供箱式倉儲機械人系統的初創企業，於2016年由理大電子及資訊學系2012年畢業生陳宇奇先生及2014年畢業生房冰先生創立。海柔創新是在理大創業培育下躋身獨角獸行列的企業，現為「大灣區理大科創2025」的策略夥伴。</t>
  </si>
  <si>
    <t>「一個脫離灰濛濛環境，走進綠油油世界的夢」是理大綠化平台計劃的宗旨；這個創新的計劃希望能把一個交通繁忙、散落的社區，變成一個可步行和宜人的綠化帶，並配以消閒及社區設施。
With a dream of 'Turning Grey to Green', the PolyU's Green Deck proposal aims to transform a heavy traffic area and disconnected community into a walkable and pleasant urban green belt accompanied by recreational and community facilities.
綠化平台網站 Green Deck website: https://www.greendeck.hk</t>
  </si>
  <si>
    <t>Exercise your heart and body 身心力行</t>
  </si>
  <si>
    <t>Research-based Exercise to Enhance COVID Recovery
This set of 8-form exercises is developed based on a scientific study led by Professor Amy Fu from PolyU’s Department of Rehabilitation Sciences. The study found that 42% of recovered COVID-19 patients developed fatigue syndromes for up to a year, but after practising the exercises for 6 weeks, there was a significant improvement in their lung function, lower limb strength and power. The whole set of exercises should be repeated 2 to 3 times, with each form repeated 10 to 12 times, to achieve the best result when practising. Let’s practise and regain energy!
Special Thanks
The research project is funded by the Health and Medical Research Fund (HMRF) from the Food and Health Bureau, The Government of the Hong Kong Special Administrative Region
從研究設計運動訓練  助提升新冠康復效益
理大康復治療科學系符少娥教授帶領研究，設計出全套共八式的運動訓練。研究發現多達42%新冠肺炎康復者出現疲勞症狀，最長可持續一年，但經過六星期的運動鍛練後，其肺部功能及下肢力量均見顯著提升。整套「康復八式」練習時應重複兩至三次，每式重複10至12次，以達至最佳效果。齊來運動，重拾活力！
特別嗚謝
此研究項目由香港特別行政區政府食物及衞生局轄下的醫療衞生研究基金撥款資助</t>
  </si>
  <si>
    <t>['PolyU', 'Hong Kong PolyU', 'The Hong Kong Polytechnic University', '理大', '香港理工大學', '理工', 'HK PolyU', 'Research', 'tertiary education', 'university', 'postgraduate', 'graduate', 'acadmics', 'covid19', 'covid exercise', 'covid recovery']</t>
  </si>
  <si>
    <t>理大國際暑期課程結合學術知識、國際交流及文化實踐，以混合模式授課，讓你身在本地或海外，都能在安全舒適的環境下感受新的學習體驗。無論你是理大生，或是海外學生，都不能錯過這難得的機會﹗
The PolyU International Summer School combines high-quality study with meaningful cultural engagement, accompanied by international exchange experience with peers from around the world. Courses will be delivered in a hybrid mode, which means you can expand your knowledge and understanding of the world regardless of where you are located, in comfort and safety. This is an opportunity that you can't miss, no matter whether you are a local or overseas student.
www.polyu.edu.hk/summerschool</t>
  </si>
  <si>
    <t>['PolyU', 'Hong Kong PolyU', 'The Hong Kong Polytechnic University', '理大', '香港理工大學', '理工', 'HK PolyU', 'Research', 'tertiary education', 'university', 'postgraduate', 'graduate', 'acadmics', 'PolyU International Summer School', 'International Summer School', 'Summer School', 'University', 'exchange']</t>
  </si>
  <si>
    <t>PolyU first launched the ‘Junior Research Mentoring Programme’ in the 2020/21 school year. Through participating in the Programme, secondary school students could deepen their understanding of a chosen research topic, and develop their analytical and research skills.</t>
  </si>
  <si>
    <t>【PolyU Alumni Story】Dr Fiona Tsui</t>
  </si>
  <si>
    <t>PolyU graduates thrive in various professions and industries. Featuring their journey of creating impact, growing with pride and giving back, you will be inspired by their success stories. Let’s hear Dr Fiona Tsui, our Building Services Engineering and Business graduate, on her commitment in promoting fire engineering standards.</t>
  </si>
  <si>
    <t>【PolyU Alumni Story】Mr Mountain Yam</t>
  </si>
  <si>
    <t>PolyU graduates thrive in various professions and industries. Featuring their journey of creating impact, growing with pride and giving back, you will be inspired by their success stories. Let’s hear Mr Mountain Yam, our Fashion and Textile Design graduate, on his enthusiasm for promoting eco-friendly fashion.</t>
  </si>
  <si>
    <t>【PolyU Alumni Story】Mr Abraham Lam</t>
  </si>
  <si>
    <t>PolyU graduates thrive in various professions and industries. Featuring their journey of creating impact, growing with pride and giving back, you will be inspired by their success stories. Let’s hear Mr Abraham Lam, our Information Systems and Information Technology graduate, on his dedication to promoting smart living.</t>
  </si>
  <si>
    <t>活出真我：牛耕</t>
  </si>
  <si>
    <t>牛耕
• 商業管理碩士（2017）
• 北京溫杜科技有限公司商務總經理
定義自我意義和存在感，活出真實的自己
「有的路很長，長到需要走上千公里；有的路很短，短到幾個小時便可走完，距離不能代表意義，路上的風景才是出發的原因。」
牛耕是理大北京校友會的一位年輕理事，多年來都被一個問題困擾著——生活、學習、工作是大多數人人生的三大支柱，而生活裡面除了與親朋好友的交集之外，一個獨立個體的意義是什麼？獨自一人能做哪些有意義又有價值的事情？如何活出生活裡真實的自己？
“理大對我的思想認知有很大的啟發。理大的教學一直注重“自我提升，獨立思考”。教授的教學不是灌輸，而是引導，激發學生髮現自己的內在意義，從而改變自己的行為，發揮自己的價值 —— It’s not about where you go, but how you get there. 這是我在理大學到的一句非常喜歡的話，一直深深地刻在腦海裡。”</t>
  </si>
  <si>
    <t>志在千里：趙剛志</t>
  </si>
  <si>
    <t>趙剛志
• 工商管理碩士、管理學博士
• 邦正科技股份有限公司董事長兼總經理
結伴雁行 志在千里
「理大教授給了我知識，而理大文化給了我激情和動力。」
2000年11月，具備無線電技術和計算機應用專業技術背景的趙剛志創立了邦正科技股份有限公司，開啟了他精彩的創業人生。經歷初創期的櫛風沐雨、發展期的艱苦卓絕，他帶領公司在智慧城市建設及智慧應急軟硬件研發兩大領域開拓出一片新天地，為政府應急管理體系建設與城市公共安全管理作出貢獻。
“今天我開始新的生活，我要用全身心的愛來迎接今天，堅持不懈，直到成功！”像《羊皮卷》中這樣的經典語句，趙剛志反复讀了不知多少遍。創業之路異常艱辛，需要精神力量支撐。他還把自己創業路上沉澱的精神財富無私地分享給員工，激勵著每一名員工在事業和人生路上奮力前行。</t>
  </si>
  <si>
    <t>Space Station’s Contribution to Space Resources and Human Developments</t>
  </si>
  <si>
    <t>Space Station’s Contribution to Space Resources and Human Developments
Speaker: Prof. KL Yung
Language: Cantonese</t>
  </si>
  <si>
    <t>PolyU Flag-Raising Ceremony on New Year’s Day of 2022</t>
  </si>
  <si>
    <t>【理大2022年元旦日升旗儀式】
#理大 在元旦日舉行了升旗儀式，為2022年啟航。
此外，理大會在每週舉行升旗禮，並在特別日子，舉行隆重的升旗儀式，傳播正能量。
【PolyU Flag-Raising Ceremony on New Year’s Day of 2022】
#PolyU held the first grand Flag-Raising Ceremony of the year on 1 January 2022 to kick-start a new journey in 2022.   Moreover, PolyU will hold a weekly flag-raising ceremony on campus starting from January 2022.  Grand ceremonies will also be held on special days.</t>
  </si>
  <si>
    <t>牽手臨終：王瑩</t>
  </si>
  <si>
    <t>王瑩
• 社會服務管理碩士（2014）
• 上海浦東手牽手生命關愛發展中心創始人
• 2020中國十大公益人物
• 2015上海浦東新區十大傑出青年
比社工更像社工
「生命無常，應珍惜當下的時光，儘早去做自己想做的事情，不要蹉跎歲月！」
不知大家有沒有想過，在你臨終的那一刻，會以怎樣的心態去接受和面對？這一期“理人理事”的主人公是投身臨終關懷事業的王瑩校友，她一手創辦了手牽手生命關愛發展中心，為的是那份不要給人生留下遺憾的初心。她常常提醒身邊的朋友：“生命無常，應珍惜當下的時光，儘早去做自己想做的事情，不要蹉跎歲月！”</t>
  </si>
  <si>
    <t>行源於理：李俞兵</t>
  </si>
  <si>
    <t>李俞兵
• 工商管理碩士(2014)
• 西安艾特傳媒集團董事長
• 陝西省政協委員
• 香港理工大學通理校友聯誼會副秘書長
• 香港陝西聯誼會副會長
致力文化創意產業推廣與發展，在無限投入中締造人生的更多可能
「永遠要遵循100米寬，1000米深的做事理念，這樣才能將一個產業做到極致。」
藝術的終極追求是哲學，創意的終極追求是價值。在與香港理工大學結緣之前，李俞兵的理想是以廣告創意發展為目標，讓藝術依托創意獲取更多能量，讓創意通過藝術獲得無可複制的競爭力，同時締造屬於我們的藝術能力，讓廣告創意更具影響力！
帶著對夢想的渴求，他將眾多身份拋開，走進理大校園，回歸最單純的學生時代！回想起那段“理大學生”的日子，令他記憶猶新的是理大的MBA課程風格獨特，每一位教授都有自己獨有的邏輯演進方式，每一次講授都能一語中的，深入淺出，同時在授課的過程中，也從來不忘將自己的人生體會，思考問題的思路傳授給學生。 “讓自己忙起來，你的思路會更開闊”，這是李俞兵在學期間最大的人生感悟，也使他明白了充實的生活、樂觀的態度會讓自己的人生充滿機遇。因此，他非常珍惜每一次學習和吸取智慧的機會！ "</t>
  </si>
  <si>
    <t>斜杠青年：王玉波</t>
  </si>
  <si>
    <t>王玉波
• 時裝設計暨視覺傳意學士(2003)
• 上海全布文化傳播有限公司行政總監
• 3omethingchic跨界時尚藝術生活 iP 創始人
• 香港青年時裝設計家創作表演賽2005 Top10
時尚賦能，無限跨界
「時尚讓生活更美好，跨界創造無限可能。Fashion不只等於時裝，而是一種對更美好生活的呈現方式，生活的至臻境界。」
香港理工大學的設計學院，一直是香港以至國際設計師的搖籃。 “PolyU Design”在香港大專界以至業界都是一個知名品牌，理大設計學院畢業生除了擁有過硬的專業能力外，更是國際品牌喜歡招攬培育的對象，時尚賦能、無限跨界的斜杠青年王玉波Jacky，便是其中的一員。在2003年的理大設計學院畢業秀上，一家比利時品牌邀約Jacky加入，作為新晉設計師培養，在這家奢侈品公司的嚴苛訓練下，Jacky建立了很好的設計溝通技巧和職場專業表達能力，展開了他多彩的時裝設計人生，也出品了很多炫麗的衣服。</t>
  </si>
  <si>
    <t>極光絢麗：羅偉東</t>
  </si>
  <si>
    <t>羅偉東
• 計算機哲學碩士（2007）
• 和訊華谷信息技術有限公司首席執行官
理性客觀、鍥而不捨、專注極致
「和訊華谷的上市，它只是在實現理想過程中很小的一個里程碑，如果我還有什麼理想，那就是我從來沒有改變過我的理想，並一直在為這個理想鍥而不捨地在努力。」
深圳市和訊華谷信息技術有限公司首席執行官羅偉東是非常成功的創業家，他的公司成立於2011年，以「極光」為品牌，專注信息推送業務，短短幾年，已成為中國領先的移動大數據服務平台。 2018年7月26日，和訊華谷在美國上市，登陸納斯達克，股票代號為JG。這是許多創業家夢寐以求的目標，但卻總是遙不可及的夢想，而羅偉東只是用了短短七年的時間就達到了。</t>
  </si>
  <si>
    <t>授人以漁：黃志恩</t>
  </si>
  <si>
    <t>做自己之所愛，愛自己之所做
“知識改變命運！理大為我提供了學習和職業生涯的平台，改變了我的後半生，或者說我的後半生跟它分不開了。”
黃博士在香港理工大學酒店及旅遊業管理學院(SHTM)教授本科和研究生課程近20年，主要研究領域是酒店業領導力。他於2002年榮獲SHTM最佳教學獎，2017年榮獲SHTM傑出服務獎，2018年退休。目前，他仍在為業界增磚添瓦，是匯龍環球旅遊、酒店及教育諮詢的創始人兼專家顧問，最近還聯合出版了《旅遊酒店業引領者之高端視角》一書。</t>
  </si>
  <si>
    <t>永无止境：杜宏</t>
  </si>
  <si>
    <t>杜宏
• 工商管理碩士(2013)
• 方元控股集團有限公司董事長兼首席執行官
• 陝西省證券投資基金業協會會長
• 香港理工大學通理校友聯誼會副會長
思辨能力的提升和批判意識的建立，是企業管理者不可或缺的重要素質
「我希望傳承母校嚴謹務實的作風，踐行社會責任，培養敏於思辨、富於創見、精於解難，樂於學習、利於仁德、志存高遠、勇於承擔社會責任的優秀人才。」
杜宏2011年入讀香港理工大學MBA課程，“雖然已畢業多年，但回憶起在理大求索砥礪，感悟夢想和價值的那段時光，依然歷歷在目。”他目光炯炯的道來。如果你也是理大人，大概會對杜宏口中的“理大的學習就是要求學生不斷思考、不斷實踐、不斷精進”產生強烈的共鳴。
正是這些無限的思考與實踐，讓杜宏在掌握專業理論知識的同時，亦學習到“思辨意識”、“批判意識”和注重實踐的方式和風格，令他終生受益並在個人事業上不斷突破，達至新的高度。杜宏說：“學校課程雖緊湊而短暫，但引發我內在的思考卻從未停止。思辨能力的提升和批判意識的建立，為我在企業管理方面的創新開拓和積極實踐奠定了良好的基礎。”</t>
  </si>
  <si>
    <t>燃亮他人：鐘耀光</t>
  </si>
  <si>
    <t>鐘耀光
• 酒店及旅遊業管理校友
• 2002年酒店及旅遊業管理學院傑出校友
• THE PLACE 匯上 主席及創始人
鐘耀光貢獻內地酒店及旅遊業發展  盡心服務社會回饋母校
「讓自己有能力支持他人取得成功，是一種有意義的人生追求。」
理大上海校友會副會長鐘耀光是內地酒店及旅遊業管理的先行者，專業顧問與啟蒙老師，在酒店及旅遊行業內備受尊崇。儘管已經事業有成，鐘耀光校友也始終認為在奮鬥的過程中，不應只以個人事業的成功為目標，而是要讓自己成功的同時有能力支持並幫助他人也取得成功。這對鍾校友而言是更有意義的人生追求。鐘校友多年來積極為內地培訓專業的酒店及旅遊業管理人才，對推動內地酒店和旅遊業的蓬勃發展做出過顯著的貢獻。</t>
  </si>
  <si>
    <t>求真務實：李煒</t>
  </si>
  <si>
    <t>李煒
• 管理學博士 (2018)
• 深圳市愛普特微電子有限公司董事長
• 深圳市掌網科技股份有限公司董事長
• 國家科技部863計劃項目組專家
• 深圳市人大常委會監察和司法工作委員會委員
• 深圳市總商會（工商聯）副會長
仰望星空，低頭踐行
“既要抬頭仰望星空，還得低頭拉車，天天仰望星空便掉坑里也不知道，時時低頭拉車也會失掉了方向，作為企業家，求真方為上道。”
寬闊的胸膛，言談爽利，眼神堅毅剛韌，典型的北方直爽漢子，這是人們對他的第一印象；然而，當聽到他口中一連串ARM、RISC-V等的微電子和半導體行業的專業術語，大家馬上意識到他就是著名的國產芯片設計先驅、全國產32位MCU的領軍人物、國家科技部863計劃項目組專家——李煒博士。</t>
  </si>
  <si>
    <t>有志事成: 杜豐傑</t>
  </si>
  <si>
    <t>杜豐傑
在施與受之間體會人生  
杜豐傑用實際行動回饋母校和香港給予他的寶貴機會
「有志者，事竟成 (Where there is a will, there is a way)。我堅信只要有意志和信念，就一定能夠克服困難、實現夢想，所以我叫自己Will Do (Du)。」
杜豐傑(Will Du)來自浙江嘉興，2008年是他第一次踏足香港。那時他一句廣東話也不會說，但透過理大的課程和不斷的練習，他很快便掌握了這門語言，也成為他融入香港的鑰匙。他熱愛香港，也希望為香港作出自己的一份貢獻。
在理大主修社會科學的他，時常參加學校組織的義工活動。透過做義工，他不但練習了廣東話，還加深了對香港社會的認識和對社會問題的了解。由此，他開始關心社會議題、青年議題，希望將來可以從政策層面解決社會上的種種問題。同時，做義工也令他結識了不少的人生導師，對他其後的事業發展有很大的幫助。</t>
  </si>
  <si>
    <t>砥礪前行：薛陽</t>
  </si>
  <si>
    <t>薛陽
• 會計及金融工商管理學士（2016）
• 哈佛大學肯尼迪政府學院在讀研究生
• 高盛集團投資管理部前經理
• 中金公司前分析師
薛陽立志投身國際發展及援助事業，助力發展中國家的改革與進步
「我相信國際發展的意義，更堅信優質政策的力量。服務社會不是一句空泛的口號，而是我正在身體力行勇敢實踐的理想。」
2012年, 通過優異的高考成績，薛陽獲得理大提供的入學獎學金，從內地來到香港求學，開啟了精彩的港漂之旅。經歷了四年國際投行的工作後，他毅然決定重返校園，赴哈佛大學肯尼迪學院攻讀碩士學位，主修國際關係及國際發展方向。展望未來，薛陽希望加入國際組織，將他在工作和學習中所積累的知識和經驗運用到發展中國家的援助和改革當中，從政策制定的角度解決社會及公共問題，用實際行動改變社會，幫助更多有需要的人。
哈佛大學肯尼迪政府學院在讀研究生。</t>
  </si>
  <si>
    <t>常懷感恩：羅家順 (Michael Ross)</t>
  </si>
  <si>
    <t>羅家順 (Michael Ross)
• 酒店及旅遊業管理校友              
• 泰國正大集團副董事長
• 正大商業地產聯席董事長
• 上海市人民政府「白玉蘭榮譽獎」(2020）
• 上海市人民政府「白玉蘭紀念獎」(2017）
胸懷獅子山下心、心繫黃浦江畔情
「若要站得高，走得遠，必須常懷感恩之心。」
羅家順是土生土長的香港人，但他將人生最有價值的年華交給了第二故鄉——上海。在上海，他開創了個人的事業高峰。他的企業家精神源於理大，他從未忘記母校栽培之恩，矢志追求卓越，竭盡所能為社會服務。羅校友現任泰國正大集團副董事長，正大商業地產聯席董事長，他對上海經濟建設和社會發展卓有貢獻，先後獲得了上海市政府授予最高榮譽「白玉蘭紀念獎」和「白玉蘭榮譽獎」，表彰他對上海經濟建設和社會發展的突出貢獻。 "</t>
  </si>
  <si>
    <t>At the PolyU 85th Anniversary Launch Ceremony held on 25 November 2021, a video that was especially produced for the occasion was revealed. 
The video highlighted the four important stages of the University’s development, its future-ready holistic education in professional disciplines, and its success stories in impactful research, knowledge transfer and entrepreneurship development. The video also featured the distinguished achievements of PolyU’s students and alumni in different arenas and illustrated how this world-class university has been serving the community through an integrated education-research-practice model over the years.</t>
  </si>
  <si>
    <t>Music Director 音樂總監:
Leung Kin-fung梁建楓
Lyrics by 作詞:
Paul Lee (Alumnus) 李嘉祺 (校友) 
Chen Zhuoan (PhD Student) 陳卓安 (博士生)     
Song composed by 作曲:
Steph Lau (Alumna) 劉紫君 (校友)
Eagle Chan (Alumnus) 陳天翺 (校友)
Performers 演出:
PolyU Choir 理大合唱團
Conductor 指揮: Alex Tam 譚天樂
Pianist 鋼琴: Candy Chik 戚芷君
歌詞
(前奏 )
理大校園，有你我足跡
紅磚牆下，求學不畏艱辛 
在這裏，立德修身 
在這裏，探微求真
志存高遠
開物可成務 
心繫家國，勵學以利民 
星河遙遙，無畏 
歲月悠悠，奮進  
八十五載風雲 ，砥礪前行 
星河遙遙，無畏 
歲月悠悠，奮進  
八十五載風雲 ，不忘初心
砥礪前行
(過場）
理大校園，有你我足跡
紅磚牆下，求學不畏艱
在這裏，立德修身
在這裏，探微求真  
志存高遠  
開物可成務 
心繫家國，勵學以利民 
星河遙遙，無畏 
歲月悠悠，奮進  
八十五載風雲 ，砥礪前行 
星河遙遙，無畏 
歲月悠悠，奮進 
八十五載風雲，不忘初心
星河遙遙，無畏  
歲月悠悠，奮進 
八十五載風雲，砥礪前行
星河遙遙，無畏 
歲月悠悠，奮進 
八十五載風雲，不忘初心 
砥礪前行</t>
  </si>
  <si>
    <t>PolyU 85th Anniversary Launch Ceremony (Event Highlight)【理大八十五周年校慶活動啟動禮】精華片段</t>
  </si>
  <si>
    <t>【理大八十五周年校慶活動啟動禮】精華片段
#理大 八十五周年校慶活動啟動禮於11月25日在大學賽馬會綜藝館隆重舉行，並為未來十二個月的連串慶祝活動揭開序幕。
在「情繫理大‧共創非凡」的主題下，超過六百名嘉賓、校友和師生聚首一堂，分享理大多年來取得的成就，並且感謝各界一直以來對理大的關懷和支持。
八十五周年校慶同時標誌著理大的發展邁出新一步。理大將加強已臻世界卓越水平的教學和科研，以鞏固理大的領先地位，並致力把香港建設成國際科技創新中心，為國家和世界的繁榮進步作出更大的貢獻。
了解更多未來的發展計劃及慶祝活動:
八十五周年校慶啟動禮網上直播: https://youtu.be/R4xPH-h8lj8
八十五周年校慶網站: https://www.polyu.edu.hk/tc/85anniversary/
新聞稿: https://polyu.hk/BvqdX
【PolyU 85th Anniversary Launch Ceremony】Event Highlight
#PolyU held its 85th Anniversary launch ceremony on 25 November, 2021, kicking off a year-long series of celebratory activities. Under the theme of #WeArePolyU #TogetherWeExcel, more than 600 distinguished guests, alumni, staff and students attended the occasion, which shared PolyU's accomplishments over the years and paid tribute to its supporters.  
The 85th Anniversary milestone represents a time when PolyU is embarking on a new journey aiming to strengthen its position as a leading university with world-class education and research, help Hong Kong shine as an international innovation and technology hub, and further contribute to a better and more prosperous future for the Nation and the world. 
Learn more about PolyU’s new initiatives and key celebratory activities: 
YouTube stream of the ceremony: https://youtu.be/R4xPH-h8lj8
PolyU 85th Anniversary Website: https://www.polyu.edu.hk/85anniversary/
Press Release: https://polyu.hk/yvuXP
#PolyU85 #PolyUstudents #PolyUalumni #PolyUresearch #情繫理大 #共創非凡</t>
  </si>
  <si>
    <t>時代精神耀香江——東京2020奧運會內地奧運健兒與市民有約 (精華片段)</t>
  </si>
  <si>
    <t>由香港特區政府、國家體育總局、香港中聯辦共同主辦的 "時代精神耀香江——《東京2020奧運會內地奧運健兒與市民有約》"活動已於12月5日順利舉行。
六位訪港的東京2020奧運會內地奧運健兒，包括乒乓球奧運五金得主馬龍、划艇冠軍崔曉桐、舉重金牌得主呂小軍、國家游泳隊教練王愛民、重劍冠軍孫一文，以及首位晉身男子一百米短跑奧運決賽中國選手兼亞洲紀錄保持者蘇炳添，蒞臨 #理大 出席與香港市民和學生的交流會，分享他們的奮鬥歷程、如何克服逆境，以及愛國情操。
理大校董會主席林大輝博士代表大學熱烈歡迎代表團到訪，並以國家隊和香港運動員在東京奧運會的奮鬥和成就自豪，指健兒為香港年輕人樹立榜樣並提升他們對國家的認同感。
民政事務局局長徐英偉致辭理大一直十分支持運動員追尋夢想，令精英運動員可以投入全職運動訓練同時，修讀大專課程，對運動員全面發展和多元出路非常重要。」
現附上活動精華片段。</t>
  </si>
  <si>
    <t>時代精神耀香江——東京2020奧運會內地奧運健兒與市民有約</t>
  </si>
  <si>
    <t>由香港特區政府、國家體育總局、香港中聯辦共同主辦的 "時代精神耀香江——《東京2020奧運會內地奧運健兒與市民有約》"系列活動12月3日正式開始。其中，馬龍、崔曉桐、呂小軍、王愛民、孫一文、蘇炳添六位奧運健兒將於今個星期日12月5日蒞臨 #理大，出席 《東京2020奧運會內地奧運健兒與市民有約》 活動，與香港學生、運動員和市民分享拼搏歷程和動人故事、進行交流互動。
YouTube直播：9:30am – 11:30am, 5.12.2021 (香港時間)</t>
  </si>
  <si>
    <t>GBA PolyVentures 2025 – Nurturing Aspiring Entrepreneurs With Education And Incubation</t>
  </si>
  <si>
    <t>PolyU laid down “GBA PolyVentures 2025”, aims to distill more than 300 seed stage innovation start-up each year through various supporting initiatives. In order to further promote the development of research and entrepreneurship in the GBA and to nurture future research talents and deep tech ventures, PolyU collaborate closely with the industry partners, providing comprehensive support for start-ups in different stage from education and incubation, to accelerating and strengthening their development.
理大制定「大灣區理大科創2025 」計劃，希望通過各種創業教育活動，每年能夠孕育出300多個創新種子，並透過借助合作夥伴的資源，從教育開始，孵化初創企業和加速它們的成長，並以大灣區為根據地，培育更多基於理大科研和創新的深科技(deep tech)初創企業。</t>
  </si>
  <si>
    <t>PolyU 85th Anniversary Launch Ceremony 理大85周年校慶啟動禮</t>
  </si>
  <si>
    <t>【理大八十五周年校慶活動啟動禮】
#理大 八十五周年校慶活動啟動禮今日於大學賽馬會綜藝館隆重舉行，並為未來十二個月的連串慶祝活動揭開序幕。
在「情繫理大‧共創非凡」的主題下，超過六百名嘉賓、校友和師生聚首一堂，分享理大多年來取得的成就，並且感謝各界一直以來對理大的關懷和支持。
八十五周年校慶同時標誌著理大的發展邁出新一步。理大將加強已臻世界卓越水平的教學和科研，以鞏固理大的領先地位，並致力把香港建設成國際科技創新中心，為國家和世界的繁榮進步作出更大的貢獻。
了解更多未來的發展計劃及慶祝活動:
八十五周年校慶啟動禮網上直播: https://youtu.be/R4xPH-h8lj8
八十五周年校慶網站: https://www.polyu.edu.hk/tc/85anniversary/
新聞稿: https://polyu.hk/BvqdX
【PolyU 85th Anniversary Launch Ceremony】 
#PolyU held its 85th Anniversary launch ceremony today, kicking off a year-long series of celebratory activities. Under the theme of #WeArePolyU #TogetherWeExcel, more than 600 distinguished guests, alumni, staff and students attended the occasion, which shared PolyU's accomplishments over the years and paid tribute to its supporters.  
The 85th Anniversary milestone represents a time when PolyU is embarking on a new journey aiming to strengthen its position as a leading university with world-class education and research, help Hong Kong shine as an international innovation and technology hub, and further contribute to a better and more prosperous future for the Nation and the world. 
Learn more about PolyU’s new initiatives and key celebratory activities: 
YouTube stream of the ceremony: https://youtu.be/R4xPH-h8lj8
PolyU 85th Anniversary Website: https://www.polyu.edu.hk/85anniversary/
Press Release: https://polyu.hk/yvuXP
#PolyU85 #PolyUstudents #PolyUalumni #PolyUresearch #情繫理大 #共創非凡</t>
  </si>
  <si>
    <t>Join us in celebrating PolyU’s 85 years of teaching and research excellence.
PolyU 85th Anniversary
We Are PolyU   Together We Excel
加入我們，共同慶賀理大八十五周年，在教育和科研的卓越成績。
理大八十五周年
情繫理大  共創非凡</t>
  </si>
  <si>
    <t>Hai Robotics – a PolyVentures unicorn</t>
  </si>
  <si>
    <t>Hai Robotics is a start-up that provides autonomous case-handling robotic systems. It was founded in 2016 by 2012 graduate Mr Richie Chen and 2014 graduate Mr Bing Fang of PolyU’s Department of Electronic and Information Engineering. A strategic partner of “GBA PolyVentures 2025”, Hai Robotics was nurtured under PolyU’s entrepreneurship ecosystem and has recently become a unicorn.
海柔創新是一家提供箱式倉儲機械人系統的初創企業，於2016年由理大電子及資訊學系2012年畢業生陳宇奇先生及2014年畢業生房冰先生創立。海柔創新是在理大創業培育下躋身獨角獸行列的企業，現為「大灣區理大科創2025」的策略夥伴。</t>
  </si>
  <si>
    <t>大灣區理大科創2025 – 策略夥伙伴合作備忘錄簽署儀式</t>
  </si>
  <si>
    <t>The Hong Kong Polytechnic University (PolyU) signed memoranda of understanding (MoU) with
three strategic partners on 30 September, to further propel the “GBA PolyVentures 2025” blueprint
laid down by the University to leverage PolyU’s experience in innovation and entrepreneurship
education to provide the necessary support for nurturing deep tech ventures and accelerating their
growth. The collaboration also aims to translate research excellence into societal impact to
contribute to the development of innovation and technology in the Greater Bay Area (GBA). The
MoU were signed between PolyU and its strategic partners, namely Everbright Limited, StartupHK
Fund and Hai Robotics.
香港理工大學於9月30日與三家策略夥件簽署合作備忘錄，進一步推動
「大灣區理大科創2025」計劃，透過理大在創新創業教育方面的經驗，培育深科技初創企業， 
並提供所需支援，加速及強化他們的成長，將科研成果應用於社會，從而大灣區科創發展作出
貢獻。是次與理大簽署合作備忘錄的策略夥伴分別為光大控股、香港再出發創科基金及海柔創新。</t>
  </si>
  <si>
    <t>PolyVentures – An academic-led startup helping scoliosis patients</t>
  </si>
  <si>
    <t>Chairman and CEO, King’s Flair International (Holdings) Limited
Studied Mechanics &amp; Electronics in early years
Doctor in Business Administration 2019</t>
  </si>
  <si>
    <t>理大升旗禮賀國慶72周年PolyU Celebrates the 72nd Anniversary of the Founding of the People’s Republic of China</t>
  </si>
  <si>
    <t>【 Winning Scholars - Prof Yung Kai-leung】</t>
  </si>
  <si>
    <t>PolyU’s Professor Yung Kai-leung, Sir Sze-yuen Chung Professor in Precision Engineering, Chair Professor of Precision Engineering, Director of the Research Centre for Deep Space Explorations, and Associate Head of Department of Industrial and Systems Engineering, has been closely working with the China Academy of Space Technology for a decade. He and his research team have developed numerous state-of-the-art space devices that have played critical roles in many of China’s Moon and Mars missions in recent years.
But behind the scenes of these successful space feats, Professor Yung said that at the end of the day, it is his persistence in upholding some simple but critical virtues that have made his space dreams come true. 
Above all, Professor Yung says in this video that there is no space for trial and error when it comes to rockets and other astronautical endeavours.</t>
  </si>
  <si>
    <t>【 #WeArePolyU – Transmitting a legacy】</t>
  </si>
  <si>
    <t>#PolyU has nurtured generations of research talents over the years. Check out the video to learn about the story of Prof. Yung Kai-leung, Chair Professor of the Department of Industrial and Systems Engineering, and Mr Ko Sui-man, Senior Scientific Officer of Department of Industrial and Systems Engineering, which demonstrates how two generations of PolyU researchers and alumni share the same sense of belonging and devotion to the University in their pursuit of research excellence. 
Prof. Yung enrolled at the then Hong Kong Polytechnic 50 years ago, before going on to the UK for further studies. After obtaining a doctorate degree, he returned to his alma mater to teach and devoted himself to space engineering research. Not only did Prof. Yung impart professional engineering knowledge to Mr Ko, he also passed on his scientific research spirit. After obtaining a Master’s degree from PolyU, Mr Ko joined Prof. Yung's research team until now. The two of them worked hand in hand, using their knowledge to foster development in aerospace science. They were involved in aerospace projects such as developing the “Surface Sampling and Packing System” on the Chang’e 5 that recently accomplished the tasks of automatic sample collection and packaging on the lunar surface. They also developed and manufactured the “Mars Landing Surveillance Camera”, one of the key instruments onboard the Mars spacecraft in the Nation’s first Mars mission - Tianwen-1. 
Prof. Yung Kai-leung | Sir Sze-yuen Chung Professor in Precision Engineering, Chair Professor of Precision Engineering and Associate Head of Department of Industrial and Systems Engineering
Mr Ko Sui-man | Senior Scientific Officer, Department of Industrial and Systems Engineering
More: https://polyu.edu.hk/WeArePolyU</t>
  </si>
  <si>
    <t>['香港理工大學', '理工大學', '理大', 'Hong Kong Polytechnic University', 'HKPolyU', 'PolyU', 'Hong Kong PolyU', 'HK Polytechnic University', 'university education', 'higher education', 'tertiary education']</t>
  </si>
  <si>
    <t>6月24日 – 航天科學家團隊進校園暨當代傑出華人科學家公開講座活動 –《仰望星空 北斗璀璨》與《築夢月球舒廣袖》</t>
  </si>
  <si>
    <t>主題： 《仰望星空 北斗璀璨》與《築夢月球舒廣袖》 
講者：謝軍 (北斗衛星導航系統工程副總設計師、北斗三號衛星首席總設計師) 與 張熇 (嫦娥四號探測器項目執行總監) 
日期： 2021年6月24日 (星期四) 
時間： 上午10:00 - 下午12:30 
語言： 普通話</t>
  </si>
  <si>
    <t>6月23日 – 航天科學家團隊進校園暨當代傑出華人科學家公開講座活動 –《中國航天與航天精神》</t>
  </si>
  <si>
    <t>主題：《中國航天與航天精神》
講者：戚發軔 (中國工程院院士、神舟飛船首任總設計師)
日期：2021年6月23日（星期三）
時間：上午10:15 - 11:45
語言：普通話</t>
  </si>
  <si>
    <t>Knowledge Transfer (KT) @ PolyU 2021‧ 理大知識轉移2021 (繁體字幕)</t>
  </si>
  <si>
    <t>知識轉移日益被社會視為推動香港經濟增長的一個重要力量。理大作為工商業界的戰略合作夥伴，致力於創造和將具有應用價值的技術和專業知識轉移到更廣闊的世界，並協助行業將理大的科研突破轉化為創新的商品，並增強企業在全球市場上的競爭優勢。</t>
  </si>
  <si>
    <t>['香港理工大學', '理工大學', '理大', 'Hong Kong Polytechnic University', 'HKPolyU', 'PolyU', 'Hong Kong PolyU', 'HK Polytechnic University', 'university education', 'higher education', 'tertiary education', '知識轉移']</t>
  </si>
  <si>
    <t>['香港理工大學', '理工大學', '理大', 'Hong Kong Polytechnic University', 'HKPolyU', 'PolyU', 'Hong Kong PolyU', 'HK Polytechnic University', 'university education', 'higher education', 'tertiary education', 'IfE', 'Knowledge transfer', 'KT']</t>
  </si>
  <si>
    <t>【 #WeArePolyU - Poly-preneur 2】</t>
  </si>
  <si>
    <t>The visually impaired experience the world mainly through the senses of touch and hearing. In view of the limited resources available for the visually impaired, #PolyU alumnus Rico Chan founded a start-up social enterprise Beyond Vision Projects with support from the PolyU Micro Fund Scheme. He strived to enhance the quality of life of the visually impaired and the wider community’s awareness of social inclusion and accessibility. Watch the second episode of our Poly-preneur series and learn more about the Tactile-Audio Interaction System designed by Rico to enrich the museum experience of the visually impaired; as well as the tactile learning materials and tactile graphics specially designed for students of Ebenezer School and WWF-Hong Kong eco-tours respectively.
Rico Chan | School of Design alumnus
More: https://polyu.edu.hk/WeArePolyU</t>
  </si>
  <si>
    <t>大學教育近年來較著重提升學生的知識與專業水平，品德培養的比重相對較少。事實上全人教育涵蓋以上各方面，缺一不可。#理大 八十五周年校慶公開講座特別邀了理大榮休校長潘宗光教授與大家暢談學問與修養的關係。兩者兼備，相輔相成，才是教育的最高目標。
***
學問與修養  Knowledge and Self-Cultivation
16.09.2022 (星期五 Fri) 17:00–18:30
理大賽馬會綜藝館 PolyU Jockey Club Auditorium
語言Language：廣東話 Cantonese
詳情及報名 Details and Registration: https://polyu.hk/VyByw
***
University education nowadays focuses more on the promotion of students’ knowledge and professional qualifications, as compared to the cultivation of their morals and values. In fact, all the above are equally crucial to whole-person development. In this #PolyU 85th Anniversary Public Lecture, we are honored to have Prof. Poon Chung-kwong share with us the relationship between knowledge and self-cultivation, and how they complement each other to fulfill the ultimate purpose of education.
#PolyU85 #publiclecture #education #universityeducation</t>
  </si>
  <si>
    <t>Challenges in Developing the Chang’e 5 “Surface Sampling and Packing System</t>
  </si>
  <si>
    <t>【 #WeArePolyU - Poly-preneur 1】</t>
  </si>
  <si>
    <t>「理大跨學科專家貢獻國家首個火星探測任務」新聞發布會</t>
  </si>
  <si>
    <t>Press conference on 'PolyU contributes to the Nation’s first Mars mission through multidisciplinary research'</t>
  </si>
  <si>
    <t>【 #WeArePolyU - Service-Learning • Cultivating Personal Growth】</t>
  </si>
  <si>
    <t>【 #WeArePolyU - Service-Learning • Cultivating Personal Growth】Watch the second episode of our Service-Learning series to learn about the inspirational stories of #PolyU students Michelle Sandhika and George Siu, who took part in Service-Learning activities in the past two years.
Michelle spent two weeks in Kampong Speu, Cambodia in the summer of 2019. Not only did she teach local children basic STEM concepts, but she was also able to bond with local university students as well as PolyU students from other academic disciplines. The trip made serving others become something close to Michelle’s heart and she is determined to pass on the same spirit to others.
Michelle Sandhika | Department of Computing student
Due to COVID-19, in 2020 George was not able to travel to Cambodia to provide face-to-face service. He could only teach children STEM knowledge via an online platform. Despite the challenges he encountered with the switch to online classes, the children’s thirst for knowledge brought George happiness and satisfaction. As a result, he is now instilled with a mission to do more and bring positive changes to the lives of others.
George Siu | Department of Rehabilitation Sciences student
More: https://www.polyu.edu.hk/WeArePolyU</t>
  </si>
  <si>
    <t>【 #WeArePolyU - Service-Learning • Changing Lives】</t>
  </si>
  <si>
    <t>【 #WeArePolyU - Service-Learning•Changing Lives】Service-Learning is often a life-changing experience for #PolyU students and staff. Watch the first episode of our Service-Learning series and be inspired by the story of Kenneth Lo who was a PolyU Year 1 undergraduate student when he first took part in Service-Learning activities back in 2006. Due to his life-changing Service-Learning experience, not only did he give up his original plan of joining a multi-national corporation, he joined PolyU’s Service-Learning team after obtaining his MPhil degree. He hopes to inspire more students in the spirit of serving others.
Kenneth Lo | Senior Service-Learning Officer, Service-Learning and Leadership Office
More: https://www.polyu.edu.hk/WeArePolyU</t>
  </si>
  <si>
    <t>PolyU’s Aviation Services Research Centre (ASRC)</t>
  </si>
  <si>
    <t>PolyU’s Aviation Services Research Centre leads the way in aerospace innovation and transformation. Since its establishment in 2012, the Centre has been committed to researching and developing advanced technologies and applications for aircraft Maintenance Repair and Overhaul (MRO).</t>
  </si>
  <si>
    <t>Alex Wong Siu Wah Gigi Wong Fook Chi Endowed Professorship in Product Design Engineering, endowed by King’s Flair Development Limited</t>
  </si>
  <si>
    <t>PolyU’s excellence in research is supported by world-leading research facilities. Our state-of-the-art National Laboratories and Research Centres enable high-impact research in steel construction, rail transit, ultra-precision machining and drug development.</t>
  </si>
  <si>
    <t>The PolyU International Summer School welcomes students from different parts of the world to PolyU’s campus this coming summer to study and learn, as well as explore the incredible city of Hong Kong. The 5-week programme aims to create a gratifying cultural exchange experience for students from around the globe. It features high-quality courses taught by PolyU professors. It also provides opportunities to participate in various enrichment activities and local excursions that enable students to discover the vibrancy and diversity of Hong Kong.</t>
  </si>
  <si>
    <t>Space Exploration – PolyU’s Surface Sampling and Packing System</t>
  </si>
  <si>
    <t>Researchers at The Hong Kong Polytechnic University (PolyU) have developed and manufactured the “Surface Sampling and Packing System”, specifically designed for Chang’e 5, the Nation’s first lunar sample return mission.</t>
  </si>
  <si>
    <t>創科 ‧ 香港研發: 容啟亮教授專訪</t>
  </si>
  <si>
    <t>影片來源：創新及科技局 https://www.facebook.com/ITBHK</t>
  </si>
  <si>
    <t>Opening Minds · Shaping the Future · 启迪思维 · 成就未来 (簡體字幕)</t>
  </si>
  <si>
    <t>At PolyU, we proudly say that our promise has always been and will always be "Opening Minds • Shaping the Future".</t>
  </si>
  <si>
    <t>['The Hong Kong Polytechnic University', '香港理工大学', 'corporate video', 'brand', 'tagline', '开物成务 励学利民', 'To learn and to apply', 'for the benefit of mankind', 'HongKongPolyU']</t>
  </si>
  <si>
    <t>Opening Minds · Shaping the Future · 啟迪思維 · 成就未來 (繁體字幕)</t>
  </si>
  <si>
    <t>['The Hong Kong Polytechnic University', '香港理工大學', 'corporate video', 'brand', 'higher education', 'tagline', 'brand promise', '開物成務 勵學利民', 'To learn and to apply', 'for the benefit of mankind', '理大', 'PolyU', 'degree course in Hong Kong', 'university']</t>
  </si>
  <si>
    <t>Opening Minds · Shaping the Future</t>
  </si>
  <si>
    <t>【#WeArePolyU - PolyU New Generation】</t>
  </si>
  <si>
    <t>#WeArePolyU features stories of PolyU students, staff and alumni about their PolyU experience and the impact the University has had on their lives. Watch the first video in the "PolyU New Generation" series to learn about what drives our PolyU student athletes - Alan Kan, Hong Kong Men's Handball Team Member and Sophia Wu, full-time athlete of the Hong Kong Women’s Foil Team - to continue striving for their dreams.
Alan Kan｜Department of Land Surveying and Geo-Informatics student
Sophia Wu｜Department of Management and Marketing student
More: https://www.polyu.edu.hk/WeArePolyU/</t>
  </si>
  <si>
    <t>['WeArePolyU', 'PolyU', 'PolyU student', 'students', 'university', 'PolyU Sports Team', 'Sports', 'Athlete', '簡翊暉', '符珈嘉', '符妤名', '手球', '劍擊', '花劍', 'Handball', 'Fencing']</t>
  </si>
  <si>
    <t>PolyU hosted a flag-raising ceremony on 1 Oct to commemorate the 71st anniversary of the founding of the People’s Republic of China. Chairman of the Council Dr Lam Tai-fai, President Professor Jin-Guang Teng, Court Chairman Dr Katherine Ngan Ng Yu-ying, attended the ceremony together with several hundred guests, staff and students.</t>
  </si>
  <si>
    <t>As part of our university’s strategic initiative for Teaching &amp; Learning, we showcase “Recognising Dedicated Educators” to celebrate the inspiring commitment of our colleagues making a difference in the lives of our students (and beyond). These colleagues (which includes teachers, researchers and administrators) truly live up to the branding of our institution of learning: “Opening Minds: Shaping the Future”.</t>
  </si>
  <si>
    <t>Follow us up the sky and have a bird’s eye view of PolyU!</t>
  </si>
  <si>
    <t>2020 DSE Candidates – WE ARE WITH YOU!</t>
  </si>
  <si>
    <t>In view of the unprecedented event caused by the COVID-19 outbreak, PolyU has replaced face-to-face teaching with online classes since February. To ensure quality teaching and learning, the PolyU community has put immense efforts into delivering online education. Let’s listen to the stories shared by teaching staff and students on their experiences in using this new mode of teaching and learning.</t>
  </si>
  <si>
    <t>The COVID-19 pandemic has brought great challenges to the world. With dedication and resilience, the PolyU community has made joint efforts to maintain the operations of the University during this very difficult period, including online learning and teaching activities for our students, research and innovations, and devising solutions to bring benefits to people and meet society’s needs. What’s more, our researchers have developed not only disposable 3D-printed face shields for the Hospital Authority’s medical professionals but also the world’s most comprehensive automated multiplex diagnostic system to provide quick virus testing.</t>
  </si>
  <si>
    <t>PolyU develops two new reusable face shields, namely “General Use Face Shield” and “Extra Protection Face Shield” to provide enhanced protection for the public in their daily lives and working environment thus minimising the risks of virus transmission in the community.</t>
  </si>
  <si>
    <t>Eye Care Tips for Online Teaching and Learning 網上教與學之護眼貼士</t>
  </si>
  <si>
    <t>【Combating COVID-19 at PolyU – Eye Care】During the COVID-19 outbreak, online teaching and learning are now part of everyday life for teachers and students. However, using digital devices for a long period of time will not only cause discomfort for your eyes but also increase your risk of developing computer vision syndrome! Dr Andrew Lam, Associate Professor &amp; Associate Head of the School of Optometry at PolyU, shares some tips to help keep your eyes healthy. Let’s remember the 20-20-20 rule to take care of your eyes!
More eye care information: https://polyu.hk/ndGvm
PolyU School of Optometry: https://www.polyu.edu.hk/so 
【與「理」抗疫 – 護眼篇】疫症期間停課不停學，網上教與學已是師生的日常。不過，長期使用電子屏幕，不單對眼睛造成一定負荷，更可能增加患上電腦視覺綜合症的機會！理大眼科視光學院副教授及副學院主任林國璋博士與大家分享護眼貼士。提提你，記住「二十、二十、二十」口訣，保障眼睛健康！
更多護眼資訊：https://polyu.hk/wzTLg 
理大眼科視光學院：https://polyu.hk/bncxH</t>
  </si>
  <si>
    <t>What’s unique about your campus life? It’s your Plastic Free Friday pledge!
#Plasticfreefriday #PolyUBYO</t>
  </si>
  <si>
    <t>PolyU JUPAS Consultation Day 2019
For details: https://www.polyu.edu.hk/study/
理大聯招課程諮詢日2019
詳情請瀏覽：https://www.polyu.edu.hk/study</t>
  </si>
  <si>
    <t>Star Tech – Award winning projects 2018/19</t>
  </si>
  <si>
    <t>What are your favourite spots on The Hong Kong Polytechnic University (PolyU) campus?
Join our #PolyUcampus Photo Competition and share your unique perspective of PolyU’s campus. You may have a chance to win an iPhone XR or other fabulous prizes!
The Competition is open to EVERYONE and you can cast a vote for your favourite photo on our Instagram!
Details: https://www.polyu.edu.hk/polyucampus
你最喜歡香港理工大學（理大）校園的哪個角落？
參加 #PolyUcampus 攝影比賽，分享你眼中的理大校園，即有機會贏取iPhone XR一部或其他獎品！
歡迎任何人士參加比賽，亦可在理大Instagram投選你最喜愛的相片！
詳情：https://www.polyu.edu.hk/polyucampus</t>
  </si>
  <si>
    <t>Highlight of PolyU Luncheon: Partnering with Employers – Shaping Tomorrow’s Talents</t>
  </si>
  <si>
    <t>The Outstanding Student Awards 2018 – Awardees’ Sharing</t>
  </si>
  <si>
    <t>PolyU presents the annual Outstanding Students Awards to full-time final-year students who excel in both academic and non-academic pursuits. This year, eight students received the “Outstanding Student Award of Faculty/School” with one receiving “The Most Outstanding PolyU Student Award”. In this video, the awardees share their ideas on attributes of an outstanding student, their most memorable experiences at PolyU and their aspirations. 
For more information, please visit: http://www.polyu.edu.hk/stars/scholarships/outstanding-students-award-scheme/2018</t>
  </si>
  <si>
    <t>PolyU Alumni Stories: Excel in your workplace – Part 2</t>
  </si>
  <si>
    <t>PolyU Alumni Stories: Excel in your workplace – Part 1</t>
  </si>
  <si>
    <t>Belt and Road Cross-Professional Advancement Programme「一帶一路」跨專業發展計劃</t>
  </si>
  <si>
    <t>In line with the HKSAR’s policy of "what the country needs, what Hong Kong is good at", the programme provides a unique platform for professionals of various fields to meet with business leaders from Hong Kong and the Chinese mainland for exchange of knowledge and experiences on the infrastructure development in Belt and Road countries.
此計劃為各界專業人士提供獨特的平台，讓他們能與中港行業領袖交流一帶一路基建發展方面的知識和經驗，發揮「國家所需，香港所長」的優勢。</t>
  </si>
  <si>
    <t>The Silk Road International School of Engineering (SRISE) jointly set up by The Hong Kong Polytechnic University and Xi’an Jiaotong University has rolled out its first university-industry collaboration project in April 2018. Partnering with State Grid Corporation of China and The Hongkong Electric Company, Limited, SRISE has launched the Belt and Road Advanced Professional Development Programme in Power and Energy. 30 senior professionals in the power and energy sector from 12 Belt and Road countries and regions participated in field-trip studies in Beijing, Jinan, Xi'an and Hong Kong.</t>
  </si>
  <si>
    <t>Since 2013, PolyU has been serving migrant children in Shanghai and Hangzhou through the subject “Promotion of Children and Adolescent Development”.
This year, the service is extended to Xi’an and it marked the first time PolyU invited Hong Kong secondary school students to participate. Students from Hong Kong went to Xi’an to serve more than 200 Mainland children from four primary schools for two weeks. PolyU strongly believes that service-learning is one of the most effective ways to nurture students’ empathy and sense of social responsibility.
This subject was awarded the Wharton-QS Stars Reimagine Education Awards 2018.</t>
  </si>
  <si>
    <t>“Hotel ICON – a very unique model of hospitality education never seen elsewhere in the world.”
Prof. Kaye CHON
Chair Professor and Dean, School of Hotel and Tourism Management
The Hong Kong Polytechnic University</t>
  </si>
  <si>
    <t>“Hong Kong is a very nice hotspot in Asia where a lot of robotics take place.”
Prof. Johan HOORN
Professor, School of Design and Department of Computing
The Hong Kong Polytechnic University</t>
  </si>
  <si>
    <t>“Mental health patients are often stigmatized and are not heard. I support staff members and patients to develop service environment so that they feel they are heard.” 
Prof. Maritta VALIMAKI
Professor, School of Nursing
The Hong Kong Polytechnic University</t>
  </si>
  <si>
    <t>“PolyU is the first place where I am really in a department full of colleagues who are supportive.”
Dr Anne SCHLUTER
Assistant Professor, Department of English
The Hong Kong Polytechnic University (PolyU)</t>
  </si>
  <si>
    <t>“Our research is to make your access to the internet faster. We have been working with top telecommunication equipment vendor in the world and have made a lot of record breaking transmission experiments.”
Prof. Chao LU
Chair Professor, Department of Electronic and Information Engineering
The Hong Kong Polytechnic University</t>
  </si>
  <si>
    <t>“Hong Kong has the greatest density than anywhere in the world. Tall buildings present specific challenges. That’s something really interested me to see how we can make them safer.” 
Prof. Asif USMANI
Professor and Head, Department of Building Services Engineering
The Hong Kong Polytechnic University</t>
  </si>
  <si>
    <t>“PolyU has world class facilities and provides stimulating intellectual environment.”
Dr Walid SAFFAR
Associate Professor, School of Accounting and Finance
The Hong Kong Polytechnic University (PolyU)</t>
  </si>
  <si>
    <t>“Hong Kong is very attractive to scientists. PolyU has a nice research environment for multidisciplinary research.” 
Prof Feng YAN
Professor, Department of Applied Physics
The Hong Kong Polytechnic University (PolyU)</t>
  </si>
  <si>
    <t>Alumni Atrium – A versatile venue for alumni activities  校友薈 – 一個專供校友舉辦活動的多用途場地</t>
  </si>
  <si>
    <t>Located in Core A on PolyU campus, the Alumni Atrium has a total space of over 250m2. With modern design and advanced facilities focusing on users’ needs, it provides an ideal venue for alumni activities and networking. A wide-array of events, from casual gatherings, cocktail parties to talk, workshops and exhibitions, can be held in this spacious, comfortable and multi-purpose centre. 
位於校園A座的校友薈，面積超過250平方米，設計時尚，能配合舉辦不同類型校友活動的需要。不論是聯誼活動﹑雞尾酒派對﹑講座﹑工作坊或是展覽亦適合於這個寬敞﹑舒適及多用途的場地舉辦。</t>
  </si>
  <si>
    <t>觸得到的感動</t>
  </si>
  <si>
    <t>為了讓心光盲人院暨學校的同學更了解校園的模樣，理大的老師和同學以三維打印技術，為他們製作三維校園模型，讓同學透過觸感，立體地感受校園。</t>
  </si>
  <si>
    <t>['盲人', '盲人院', '盲人學校', '三維打印', '3D Printing']</t>
  </si>
  <si>
    <t>It’s your choice. BYO today!</t>
  </si>
  <si>
    <t>It’s your choice. BYO today! 由你決定。今日起Bring Your Own!              
Reusables or Disposables? The Hong Kong Polytechnic University invites you to make the right choice for yourself and for the environment!
重用定即棄? 香港理工大學邀請你為自己和為環境作出正確的選擇!
#Plasticfreefriday #PolyUBYO</t>
  </si>
  <si>
    <t>Resilience: From Disaster Management to Disaster Risk Reduction – 10 Years After Wenchuan Earthquake</t>
  </si>
  <si>
    <t>The Institute for Entrepreneurship has staged “Star Tech Salon 2018” to celebrate PolyU’s achievements at the 46th International Exhibition of Inventions of Geneva, and to showcase the award-winning technologies to various stakeholders of the innovation ecosystem in Hong Kong.</t>
  </si>
  <si>
    <t>PolyU innovations grabbed world’s attention in Geneva</t>
  </si>
  <si>
    <t>PolyU participated in the International Exhibition of Inventions of Geneva in the past 14 years with consistently great results. This year, at its 46th edition, the seven inventions submitted by PolyU won 10 awards in total. Among them, the project “Defocus Incorporated Multiple Segments (DIMS) Spectacle Lens for Myopia Control” snatched the overall championship, attracting worldwide attention.</t>
  </si>
  <si>
    <t>Taking good care of students’ health is always the mission of University Health Service UHS.  Apart from gaining book knowledge and working hard on pursuing education, to keep the body fit, and be able to manage emotion, are also very important for personal growth in our University life. Through the story of a student, Tommy, who experienced sleep problem, headache and diarrhea before mid-term examination, the importance of whole person wellness and UHS services are introduced in this video produced by UHS and our students.</t>
  </si>
  <si>
    <t>保健處健康推廣短片: 全人健康篇</t>
  </si>
  <si>
    <t>Innovation and Entrepreneurship Summer School 2017 創新、創業暑期課程</t>
  </si>
  <si>
    <t>This Summer School is jointly organised by Zhejiang University, National Chengchi University and The Hong Kong Polytechnic University.  
 Students had the opportunity to learn from Taiwanese entrepreneurs at the Social Entrepreneur Lecture, which provided insight on operating a social enterprise.
這個暑期課程是由浙江大學、臺灣政治大學和香港理工大學聯合舉辧。 
學生們有機會與台灣社會企業家對話，加深他們對創業的認識。</t>
  </si>
  <si>
    <t>Promotion of Children and Adolescent Development 促進青少年及兒童發展服務學習計劃</t>
  </si>
  <si>
    <t>This summer, 82 PolyU students went to Shu Ren Primary School to serve 321 migrant children. In the six months before the trip, they learned about service-learning through lectures and seminars.
Through the design and implementation of service projects, PolyU students learned different perspectives on child and adolescent development. This enhanced their problem-solving, decision-making, communication and teamwork skills.
今年夏天，82名理大學生來到杭州樹人小學，為321名外來務工人員子女服務。在出發前六個月，他們透過課堂網上學習設計服務學習課程。
透過設計與實踐服務，學生了解到有關兒童及青少年的發展，有助增強學生們解決問題的決策力、溝通和團隊合作的技能。</t>
  </si>
  <si>
    <t>Exploring China 2016/17 向華夏出發2016/17</t>
  </si>
  <si>
    <t>Exploring China is a series of programmes that aim to enrich PolyU students’ learning experience, and to broaden their knowledge outside their professional domain with particular emphasis on cultural and social aspects. Through these programmes, more than 1,000 PolyU students have ventured on an experiential learning journey to the Chinese Mainland and Taiwan this year.
「向華夏出發」旨在豐富理大學生的學習經驗及擴闊專業以外的知識，並培養學生的文化認知及社會責任。此項目吸引了超過1,000名理大學生於去年寒假及今年暑假踏足中國內地及台灣進行學習。</t>
  </si>
  <si>
    <t>The Outstanding Student Awards 2017 - Awardees’ Sharing</t>
  </si>
  <si>
    <t>PolyU presents the annual Outstanding Students Awards to full-time final-year students who excel in both academic and non-academic pursuits. This year, eight students received “Outstanding Student Award of Faculty/School” with one receiving “The Most Outstanding PolyU Student Award”. 
In this video, the awardees share their ideas on the attributes of an outstanding student, their most memorable experiences at PolyU and their aspirations. 
For more information, please visit: www.polyu.edu.hk/stars/scholarships/outstanding-students-award-scheme/outstanding-student-awards-presentation-ceremony-2017</t>
  </si>
  <si>
    <t>PolyU 80th Anniversary Celebration Dinner Video – In Retrospect  理大建校八十周年晚宴影片 – 回溯輝煌里程</t>
  </si>
  <si>
    <t>Highlight of PolyU 80th Anniversary 理大八十周年校慶盛事回顧</t>
  </si>
  <si>
    <t>PolyU has organised over 200 celebratory activities to mark this special anniversary year. Let’s review the memorable moments. 
理大舉辦超過200項慶典活動以慶祝八十周年，讓大家一起重溫難忘片段。</t>
  </si>
  <si>
    <t>PolyU's applied research project ‘iWheelchair’ enables wheelchair users to be more independent in their daily activities and to enjoy a better quality of life.</t>
  </si>
  <si>
    <t>Mr Lang Lang 郎朗先生</t>
  </si>
  <si>
    <t>Mr Lang Lang
World-acclaimed pianist
University Fellow, PolyU
郎朗先生
世界著名鋼琴家
理大大學院士</t>
  </si>
  <si>
    <t>【PolyU 80th Anniversary Open Day 理大八十周年校慶開放日】Fun Activities 精彩活動</t>
  </si>
  <si>
    <t>PolyU Open Day is coming soon! A wide variety of fun activities is ready to roll. It is worth spending a day on our education and research showcases, campus bus tours, guided visits for our state-of-the-art laboratories and teaching facilities, as well as talks and workshops. Which ones are you going to join?
Details: www.polyu.edu.hk/openday 
理大開放日即將來臨！超過80個精彩活動包括教育及科創展覽、校園巴士遊、先進的實驗室及教學設施導賞團、講座、工作坊等。你會參加哪幾項？
活動詳情：www.polyu.edu.hk/tc/openday</t>
  </si>
  <si>
    <t>【PolyU 80th Anniversary Open Day 理大八十周年校慶開放日】Health &amp; Science 醫療及科學</t>
  </si>
  <si>
    <t>How healthy are you and your family? PolyU has been striving to bring far-reaching impacts on human well-being through its health-related research. Come and join the showcase of these projects, talks on health-related topics, and health assessment! 
What’s more, all are welcome to participate in the STEAM workshops run by PolyU-supported startups to explore the fun side of science!
More: www.polyu.edu.hk/openday 
想知自己和家人健康嗎？理大在醫療方面的科研一直為人類的健康福祉帶來影響。開放日將展示多個醫療科研項目的成果，並有健康講座，免費健康檢查評估，千萬不要錯過！
另外，歡迎大小朋友參加STEAM工作坊，由理大支持的初創企業主辦，邊玩邊學習科學知識！
了解更多：www.polyu.edu.hk/tc/openday</t>
  </si>
  <si>
    <t>What disposable items are there on campus? 校園裏有什麼即棄物？</t>
  </si>
  <si>
    <t>Let’s start reducing the use of disposable items on campus today! Save our Earth now!
今日就從校園做起，一齊減用即棄物，救救我們的地球！
了解更多理大綠色「理」念 Read more about green concepts at PolyU: www.polyu.edu.hk/greencampus</t>
  </si>
  <si>
    <t>【PolyU 80th Anniversary Open Day 理大八十周年校慶開放日】Research &amp; Education 科研及教學</t>
  </si>
  <si>
    <t>Want to know how PolyU's innovative technologies are changing the world? Interested to get a taste of university life? Join us on campus for PolyU Open Day on 2-3 Dec to find out more about our professional education and research accomplishments! 
Start planning your visit: www.polyu.edu.hk/openday 
想認識理大的創新科技如何改變世界？想360°體驗大學生活？
12月2-3日，參加理大開放日，了解我們的專業教育和科研成果！
立即計劃行程：www.polyu.edu.hk/tc/openday</t>
  </si>
  <si>
    <t>PolyU 80th Anniversary Exhibition on Campus Development and Green Deck 理大八十周年校園發展及綠化平台展覽</t>
  </si>
  <si>
    <t>10am to 8pm, 3 November - 8 December 2017
Podium, Jockey Club Innovation Tower, PolyU campus
上午十時至晚上八時
理大賽馬會創新樓平台
Check out our anniversary website for more details of the celebratory events. 
請瀏覽校慶網站，了解更多活動詳情。 http://www.polyu.edu.hk/80anniversary</t>
  </si>
  <si>
    <t>Development of New Academic Programmes in Travel and Tourism Management 開發旅遊管理新課程</t>
  </si>
  <si>
    <t>Cultivating high-quality talents is important for the development of the tourism and hospitality industry. The School of Hotel and Tourism Management at PolyU has developed a new Diploma Programme in Travel and Tourism Management for a university in Saudi Arabia, specifically catering to the cultural needs and tourism industry of the area. 
要推動旅遊業的發展，培育旅遊服務業人才是非常重要的。理大酒店及旅遊業管理學院的團隊憑藉多年教學經驗，為沙特阿拉伯一間大學設計切合當地風土人情及旅遊業狀況的全新旅遊管理課程。</t>
  </si>
  <si>
    <t>Novel Anti-cancer Technology for Treating Various Cancers 用於治療各種癌症的新型抗癌技術</t>
  </si>
  <si>
    <t>The research team of the Department of Applied Biology and Chemical Technology at PolyU has successfully developed a new-generation anti-cancer drug with engineered arginine. 
理大應用生物及化學科技學系的研究團隊利用耐熱性精氨酸酶，成功研發出療效更強更持久的新一代抗癌藥物。</t>
  </si>
  <si>
    <t>Smart Pressure Monitored Suit (SPMS) 智能壓力衣</t>
  </si>
  <si>
    <t>PolyU's Department of Rehabilitation Sciences has developed the form-fitting “Smart Pressure Monitored Suit” (SPMS) to provide exact prescribed pressure to a specific area of the body for treating hypertrophic scars. 
理大康復治療科學系的研究團隊針對增生性疤痕患者研發出一套能緊貼患者身體的智能壓力衣，藉此提升增生性疤痕治療的成效。</t>
  </si>
  <si>
    <t>Radiation-free Assessment of Scoliosis Using 3D Ultrasound 無輻射三維超聲脊柱側彎測量技術</t>
  </si>
  <si>
    <t>PolyU’s Interdisciplinary Division of Biomedical Engineering has developed the radiation-free “3D ultrasound imaging technology” to assess the spine deformity with a high level of precision. This technology provides accurate, fast, safe and comprehensive assessment to patients.
理大生物醫學工程跨領域學部將三維超聲成像技術應用於脊柱側彎的診斷上。此項技術不單準確度高，快速省時，而且過程中不會發出輻射，為患者提供全面而安全的評估。</t>
  </si>
  <si>
    <t>Optimal and Energy Efficient Design and Control of Building HVAC Systems 建築暖通空調系統的優化節能設計及控制</t>
  </si>
  <si>
    <t>PolyU’s Department of Building Services Engineering has incorporated automation into architectural designs, and developed the Optimal and Energy Efficient Design and Control of building heating, ventilation and air conditioning (HVAC) systems. It aims to save energy and lower operation costs. 
理大屋宇設備工程學系的科研團隊結合了建築設計和自動化技術，成功研發出可優化建築暖通空調系統的設計及能源控制技術，以節省電力並降低營運成本。</t>
  </si>
  <si>
    <t>Satellite-Based Geohazards Monitoring Technologies 基於衛星觀測的地質災害監測技術</t>
  </si>
  <si>
    <t>PolyU’s Department of Land Surveying and Geo-Informatics has developed advanced geohazard monitoring technologies based on Global Navigation Satellite Systems and Interferometric Synthetic Aperture Radar. It aims to prevent and minimize the impacts of geohazards.
為了減低地質災害所造成的人命傷亡和經濟損失，理大 土地測量及地理資訊學系以全球導航衛星系統和衛星雷達干涉測量技術為基礎，研發了一套地質災害監測技術。</t>
  </si>
  <si>
    <t>Nanofibre Technologies for Use in Air Filtration 用於空氣過濾的納米纖維技術</t>
  </si>
  <si>
    <t>PolyU’s Department of Mechanical Engineering adopted nanofibre technologies to improve the efficiency of air filters in filtering air pollutants and airborne viruses.
理大機械工程學系利用納米纖維技術，大幅提升空氣過濾器吸附污染物及病毒的效能。</t>
  </si>
  <si>
    <t>A multi-modal Public Transport Query and Guiding System: HK eTransport 多項公共交通工具查詢和搜尋系統—香港乘車易</t>
  </si>
  <si>
    <t>The Department of Land Surveying and Geo-Informatics, PolyU, has collaborated with the Transport Department to develop the public transport query and guiding system “HK eTransport”. It provides multi-model information, multi-criteria route solution and different operating times using geomatics technology.
為方便市民取得所需交通資訊，理大土地測量及地理資訊學系與運輸署合作研發香港乘車易系統（HK eTransport），為市民提供一站式的點對點路綫查詢服務。</t>
  </si>
  <si>
    <t>Music Intervention for People with Dementia and their Family Caregivers 為認知障礙症患者及其照顧者提供音樂律動干預</t>
  </si>
  <si>
    <t>PolyU's School of Nursing uses music-with-movement to ease the anxiety and sleeping problems of elderly people with dementia, thus improving the quality of their lives. 
理大護理學院團隊利用音樂律動幫助患有認知障礙症的長者解決焦慮和睡眠問題，從而改善他們的生活質素。</t>
  </si>
  <si>
    <t>Professional Development Programmes 教師專業發展課程</t>
  </si>
  <si>
    <t>To help improve teaching and learning in secondary schools in Hong Kong, the Department of English at PolyU has been offering Professional Development programmes for teachers of all subjects with medium of instruction in English. 
為了協助本港中學提升教學成效，理大英文系的研究團隊為以英語授課的各科教師推出專業發展顧問項目。</t>
  </si>
  <si>
    <t>Brand Management, Equity, Loyalty and Assessment 品牌管理、資產、忠誠度及評估的研究</t>
  </si>
  <si>
    <t>Branding is a complex process. Feasible and effective brand management solutions are often backed by in-depth market research and thorough data collection. The researchers of Department of Management and Marketing, PolyU, have been carrying out a series of progressive brand management projects to create and maintain a strong retail brand for a local jeweller since 2006.
品牌的建立從非一蹴而就，只有經過深入的市場研究和資料蒐集，才能整合出可行而有效的品牌管理方案。理大管理及市場學系的研究團隊自2006年起，為本港一家珠寶首飾集團提供品牌管理服務方案，以助提升品牌實力和影響力。</t>
  </si>
  <si>
    <t>Robotics for Space Exploration and Civil Applications 機械人工程於太空與工業方面的應用</t>
  </si>
  <si>
    <t>Many people think that aerospace technology is only applicable to the military and space exploration. But the Department of Industrial and Systems Engineering, PolyU, has successfully transferred its aerospace knowledge to the medical area, resulting in the development of a sophisticated non-invasive surgery system for the good of the community.
在很多人心目中，航天科技只適用於軍事和太空探索等高端層面，但事實上，這些技術的應用範疇比我們想像中廣濶得多。理大工業及系統工程學系近年利用相關技術開發出可經由自然腔道進入人體的機械臂，大大減少病人於外科手術中所受的創傷。這項發明是將航天科技成果轉化為民用項目的上佳示範。</t>
  </si>
  <si>
    <t>Advanced Textile Technologies 先進紡織技術</t>
  </si>
  <si>
    <t>Smart clothing becomes increasingly popular in healthcare, sports and fashion. The Institute of Textiles and Clothing, PolyU, has been working extensively in developing advanced textile technologies, and has successfully applied them in the medical and commercial areas.
智能服飾在健康、體育與時尚領域逐漸興起。多年來，理大紡織及製衣學系的團隊致力開拓智慧紡織技術，並成功將它們應用於醫學及商業等領域。</t>
  </si>
  <si>
    <t>Anti-heat Stress Clothing for Construction Workers 建造業抗熱服</t>
  </si>
  <si>
    <t>Over 400,000 construction workers are toiling outdoors for long hours under hot and humid weather in Hong Kong. A research team of the Department of Building and Real Estate at PolyU has worked with experts from other departments to address this issue. Having applied their technology and knowledge in construction, occupational safety and textiles, anti-heat stress clothing for the construction industry has been developed. 
在香港，超過40萬建造業工人經常在悶熱和潮濕的天氣下工作。理大建築及房地產學系教授率領的研究團隊聯同多個部門的專家，運用他們的建築技術、職安健知識及製衣技術，設計出一套建造業專用的抗熱制服。</t>
  </si>
  <si>
    <t>PolyU Eastern Canada Association 香港理工大學（加拿大東）員生會</t>
  </si>
  <si>
    <t>PolyU (Eastern Canada) Association
香港理工大學（加拿大東）員生會</t>
  </si>
  <si>
    <t>LUI Che Woo Prize – Prize for World Civilisation Laureate Public Lecture 2017</t>
  </si>
  <si>
    <t>LUI Che Woo Prize - Prize for World Civilisation Laureate Public Lecture 2017
Speaker: Sir Philip Craven, President - International Paralympic Committee
Topic: Changing the world through positive experiences
2017年「呂志和獎 — 世界文明獎」獲獎者公開講座
講者：國際殘疾人奧林匹克委員會主席   菲利普·克雷文爵士
題目：凝聚正向經驗   讓世界更加美麗</t>
  </si>
  <si>
    <t>This summer, more than 120 university students from Hong Kong, the Chinese mainland and Kazakhstan participated in the PolyU’s Silk Road International Summer School. This programme enriched the participants’ knowledge in sustainability at local and global levels. They also learnt the cultural history of the eastern Silk Road.</t>
  </si>
  <si>
    <t>International students@PolyU   國際生@理大</t>
  </si>
  <si>
    <t>Welcome ceremony@PolyU 2017    開學禮@理大2017</t>
  </si>
  <si>
    <t>Want to know how our Indonesian students are adjusting to student life in Hong Kong? PolyU Indonesian Student Association (IDSA) has organised lots of events throughout the year to make sure Indonesian students are enjoying their time studying aboard because they have each other here in Hong Kong and see PolyU as their second home.
Let’s see how active they are at PolyU by showing us their culture and traditions in different ways!</t>
  </si>
  <si>
    <t>Tanika Rai Ghambir, one of PolyU’s Indian international students, joined her Indian friends in Hong Kong to show you that India is so much more than what most people would expect. In the India Cultural Lunch, Tanika introduces the language, clothing, food, music and many other aspect of the culturally-rich country of India.
"We want to break stereotype and let others learn more about what our culture has to offer." -- Tanika, Year 2 , BSc (Hons) in Hotel Management.</t>
  </si>
  <si>
    <t>Tracy Chan, a Year-3 student from BBA (Hons) in Accountancy, spent one semester in Denmark for academic exchange.
“During my exchange at Denmark, I got to travel, meet new friends and explore new cultures without excessive concern over my GPA. I also tried the well-known Carlsberg beer which was originated from Denmark! Living in a different environment and stepping out of my comfort zone also made me become more independent and mature.”
You can have the same exciting chance of exchange. Take your next step to fly high. Explore your exchange opportunities!
Student exchange programme at PolyU: 
https://www.polyu.edu.hk/international/outgoing-students</t>
  </si>
  <si>
    <t>“I was born in Taiwan, and completed my high school studies in Bangkok, Thailand. I was so excited about spending my summer semester for an internship in Singapore during my study at PolyU. 
Work-integrated education (WIE) is required for all undergraduate students at PolyU. It is a valuable chance for me to compare my expectation and the reality of business practices. From June to August in 2016, my internship took place at the Financial Planning Association of Singapore (FPAS) in Singapore. FPAS is a non-profit organization that grants Certification of Financial Planner (CFP) license to financial planners for giving unbiased financial advices to Singaporeans.
During these three months, I discovered that good communication and relationship are crucial elements in an international workplace. I realized the importance of socializing and thus, will encourage myself to actively communicate with people. 
Through this experience, I have searched and revealed my hidden strengths and weaknesses and discovered my true inner self which is helpful to plan my future career. “
- Jenifer Wang, Taiwan, BBA (Hons) in Financial Services, Year 3</t>
  </si>
  <si>
    <t>The Homantin Halls is one of the two student halls of residence at PolyU. Accommodating over 1,600 students, the Homantin Halls also provides extensive student facilities that meet the needs and interests of its residents. This is the place that provides students a platform to rest, study, socialize, enjoy. It’s a good place to call home!</t>
  </si>
  <si>
    <t>Service-Learning at PolyU 理大服務學習</t>
  </si>
  <si>
    <t>As part of the four-year undergraduate degree curriculum, the mandatory Service-Learning (SL) requirement of PolyU is an experiential learning form of pedagogy that integrates meaningful community service with academic study and reflections to enrich students’ learning experience.
服務學習是理大四年制本科課程的必修科目，是一種體驗式學習的教學方法，將有意義的社會服務融入學習及學生自我反思中，以豐富學生的學習體驗。</t>
  </si>
  <si>
    <t>PolyU’s Innovation and Entrepreneurship Global Student Challenge is an international business case competition that nurtures the young generation’s global outlook, innovative mind and entrepreneurial spirit. This year, a total of 150 contestants from 22 countries have come to Hong Kong for the competition.
理大國際學生創新挑戰賽是一項創業計劃的國際比賽，培育年輕一代的國際視野、創新心思和企業家精神。今年有來自22個國家及地區的隊伍，合共150人來港參賽。</t>
  </si>
  <si>
    <t>Happy 80th Birthday to PolyU (2) 理大80生日快樂 (二)</t>
  </si>
  <si>
    <t>Blessings from PolyU members around every corner on campus.
理大成員愛心祝福，遍佈校園每個角落。
Check out our anniversary website for more details of the celebratory events. 
請瀏覽校慶網站，了解更多活動詳情。
http://www.polyu.edu.hk/80anniversary</t>
  </si>
  <si>
    <t>Ir Dr Kenneth Ng Kam-wing 伍錦永博士、工程師</t>
  </si>
  <si>
    <t>Ir Dr Kenneth Ng Kam-wing 
Awardee of Outstanding PolyU Alumni Award 2013 
Managing Director, Silcon Electronics Co. Ltd.
伍錦永博士、工程師
2013年傑出理大校友
時光電業有限公司董事總經理</t>
  </si>
  <si>
    <t>Dr Ken Fong 方健僑博士</t>
  </si>
  <si>
    <t>Dr Ken Fong
Adjunct Professor, Institute for Entrepreneurship, PolyU
Honorary Chairman (Life), Hong Kong Wireless Technology Industry Association
方健僑博士
理大企業發展院兼任教授
香港無線科技商會永遠名譽主席</t>
  </si>
  <si>
    <t>Mr Cheung Tsang Wai 張增衛先生</t>
  </si>
  <si>
    <t>Mr Cheung Tsang Wai
Diploma in Automobile Engineering (1940)
Alumnus of the first graduating class of the Government Trade School
張增衛先生
汽車工程文憑 (1940)
香港官立高級工業學院首屆畢業生</t>
  </si>
  <si>
    <t>Aerospace Activities@PolyU 航天活動@理大</t>
  </si>
  <si>
    <t>PolyU has a long history of involvement in national and international space projects. In celebration of the University’s 80th anniversary this year, a series of public lectures and events is in the pipeline to enhance the community's understanding of space exploration and to showcase the the nation's achievement in aerospace development.
理大參與國家和國際航天項目的歷史悠久，大學今年慶祝建校八十周年，特別舉辦一系列專題講座和活動，讓公眾人士加深對太空探索的經驗，並展示國家在航天發展方面的成就。
Check out our anniversary website for more details of the celebratory events. 
請瀏覽校慶網站，了解更多活動詳情。
http://www.polyu.edu.hk/80anniversary</t>
  </si>
  <si>
    <t>Mr Eddie Ng Hak-kim 吳克儉先生, SBS, JP</t>
  </si>
  <si>
    <t>Mr Eddie Ng Hak-kim, SBS, JP
Former Secretary for Education
The Government of the Hong Kong Special Administrative Region
吳克儉先生, SBS, JP
前教育局局長
香港特別行政區政府</t>
  </si>
  <si>
    <t>Mr Ng Wai-hung, MH 伍偉雄先生, MH</t>
  </si>
  <si>
    <t>Mr Ng Wai-hung, MH
Member, PolyU Court
伍偉雄先生, MH
理大大學顧問委員會成員</t>
  </si>
  <si>
    <t>Mr Jeffrey Tse, JP (Australia) 謝志輝先生, JP (澳洲)</t>
  </si>
  <si>
    <t>Mr Jeffrey Tse, JP (Australia)
President of PolyU (Australia) Association
謝志輝先生, JP (澳洲)
理大澳洲員生會會長</t>
  </si>
  <si>
    <t>黃代放先生</t>
  </si>
  <si>
    <t>黃代放先生
紫金花傑出企業家
泰豪集團有限公司董事會主席</t>
  </si>
  <si>
    <t>Mr Tony Tong 唐德榮先生</t>
  </si>
  <si>
    <t>Mr Tony Tong
Honorary President of PolyU (Australia) Association
唐德榮先生
理大澳洲員生會榮譽會長</t>
  </si>
  <si>
    <t>Board Members and Members of PolyU (Australia) Association
理大澳洲員生會幹事及會員</t>
  </si>
  <si>
    <t>Alumnus, PolyU - PKU Master of Social Work (China)
理大 - 北大社會工作碩士(中國)課程校友</t>
  </si>
  <si>
    <t>Ms Li Chunyan 李春燕女士</t>
  </si>
  <si>
    <t>Ms Li Chunyan
Alumnus, Master of Social Work (China) 
Analyst, Public Welfare Center, China Global Philanthropy Institute
李春燕女士
理大應用社會科學系社會工作碩士 （中國） 課程校友
深圳國際公益學院公益研究中心分析員</t>
  </si>
  <si>
    <t>Mr Li Xu 李旭先生</t>
  </si>
  <si>
    <t>Mr Li Xu
Alumnus, Master of Social Work (China)
Director, Ningbo District, Shining Stone Community Action Center
李旭先生
理大應用社會科學系社會工作碩士(中國)課程校友
寧波社區參與行動服務中心中心主任</t>
  </si>
  <si>
    <t>Dr Zheng Siming 鄭思明博士</t>
  </si>
  <si>
    <t>Dr Zheng Siming
Alumnus, Master of Social Work (China) 
Assistant Professor, Department of Sociology and Social Work, Xiamen University
鄭思明博士
理大應用社會科學系社會工作碩士(中國)課程校友
廈門大學社會學與社會工作系助理教授</t>
  </si>
  <si>
    <t>Prof. Chen Tao 陳濤教授</t>
  </si>
  <si>
    <t>Prof. Chen Tao
Alumnus, Master of Social Work (China) 
Director, China Social Work Research Center, Youth Research Institute, China Youth University of Political Studies
陳濤教授
理大應用社會科學系社會工作碩士(中國)課程校友
中國青年政治學院青少年研究院中國社會工作研究中心主任</t>
  </si>
  <si>
    <t>林震博士</t>
  </si>
  <si>
    <t>林震博士
理大工商管理學院校友
北京小米電子產品有限公司副總裁</t>
  </si>
  <si>
    <t>丁小平先生</t>
  </si>
  <si>
    <t>丁小平先生
理大電子計算學系校友
中江集團有限公司董事總經理</t>
  </si>
  <si>
    <t>Prof. Song Yonghua 宋永華教授</t>
  </si>
  <si>
    <t>Prof. Song Yonghua 
Executive Vice-President, Zhejiang University
宋永華教授
浙江大學常務副校長</t>
  </si>
  <si>
    <t>Mr Shen Qiuping 盛秋平先生</t>
  </si>
  <si>
    <t>Mr Shen Qiuping 
CPC Municipal Committee Secretary, Yiwu, Zhejiang Province
盛秋平先生
浙江省義烏市委書記</t>
  </si>
  <si>
    <t>任國英教授</t>
  </si>
  <si>
    <t>任國英教授
理大應用社會科學系校友
中央民族大學民族學與社會學學院副院長</t>
  </si>
  <si>
    <t>包宜東博士</t>
  </si>
  <si>
    <t>包宜東博士
理大工商管理學院校友
德國博聯海運有限公司董事總經理</t>
  </si>
  <si>
    <t>馬志忠先生</t>
  </si>
  <si>
    <t>馬志忠先生
理大電子計算學系校友
浙江互聯網金融證券交易中心資深運營</t>
  </si>
  <si>
    <t>王永博士</t>
  </si>
  <si>
    <t>王永博士
理大工商管理學院校友
品牌聯盟（北京）諮詢股份有限公司董事長</t>
  </si>
  <si>
    <t>史柏年教授</t>
  </si>
  <si>
    <t>史柏年教授
理大應用社會科學系校友
理大內地課程畢業生卓越成就獎得主
中國青年政治學院教授</t>
  </si>
  <si>
    <t>朱國清博士</t>
  </si>
  <si>
    <t>朱國清博士
理大工商管理學院校友
時代大數據總裁</t>
  </si>
  <si>
    <t>Mr Bernard V. Lim 林雲峰先生, JP</t>
  </si>
  <si>
    <t>Mr Bernard V. Lim, JP
Hong Kong member of the National Committee of the Chinese People's Political Consultative Conference
Principal, Architecture Design and Research Group Ltd.
林雲峰先生, JP
香港特別行政區全國政協委員
建築設計及研究所總監</t>
  </si>
  <si>
    <t>Mr Ambrose Lau Hon-chuen 劉漢銓律師, GBS, JP</t>
  </si>
  <si>
    <t>Mr Ambrose Lau Hon-chuen, GBS, JP
Hong Kong member of the National Committee of the Chinese People's Political Consultative Conference
Partner, Chu &amp; Lau Solicitors &amp; Notaries
劉漢銓律師, GBS, JP
香港特別行政區全國政協委員
劉漢銓律師行合夥人</t>
  </si>
  <si>
    <t>The Hon. Mr Jeffrey Lam Kin-fung 林健鋒議員, GBS, JP</t>
  </si>
  <si>
    <t>The Hon. Mr Jeffrey Lam Kin-fung, GBS, JP
Hong Kong member of the National Committee of the Chinese People's Political Consultative Conference
Member, Legislative Council of the HKSAR of the PRC
林健鋒議員, GBS, JP
香港特別行政區全國政協委員
香港特別行政區立法會議員</t>
  </si>
  <si>
    <t>Dr Kennedy Wong Ying-ho 黃英豪博士, BBS, JP</t>
  </si>
  <si>
    <t>Dr Kennedy Wong Ying-ho, BBS, JP
Hong Kong member of the National Committee of the Chinese People's Political Consultative Conference
Managing Partner, Philip K H Wong, Kennedy Y H Wong &amp; Co
黃英豪博士, BBS, JP
香港特別行政區全國政協委員
黃乾亨黃英豪律師事務所首席合夥人</t>
  </si>
  <si>
    <t>PolyU Showcase, the pre-summit workshop, where delegates were taken on a journey through the University’s impactful research and innovations in four niche areas, solving problems, creating hopes and benefitting mankind. These areas are: space, aviation and railway; sustainable urban development; human-centered innovation; and hospitality.
Learn more: https://www.polyu.edu.hk/cpa/80anniversary/en/celebration/detail/3/</t>
  </si>
  <si>
    <t>['THE', 'Times Higher Education', 'PolyU', 'Innovation and Impact Summit', 'President', 'President Tone', '唐偉章', 'university', '大學校長']</t>
  </si>
  <si>
    <t>PolyU - The Innovation and Impact Summit, a key celebratory event of its 80th Anniversary, co-hosted by PolyU and THE was held on 31 May - 2 June. 
Themed “Powering Universities’ Economic and Social Impact through Innovative Research and Teaching”, the Summit featured keynote speeches and a series of thought-provoking panel discussions by high-profile innovators, entrepreneurs, influential higher education figures and policy-makers from across the globe. They included Mr Charles Chen Yidan, Founder of Yidan Prize and Core Founder of Tencent Holdings Limited; Dr Hermann Hauser, Co-Founder of Amadeus Capital Partners; and Mr Greg Simon, Former Executive Director, White House Cancer Moonshot Task Force, to name just a few. The Summit discussion was divided into five sessions - Opening Minds; Leading for Impact; Entrepreneurship; Employability and skills; and Metrics and Data.
Another highlight was the pre-summit workshop, PolyU Showcase, where delegates were taken on a journey through the University’s impactful research and innovations in four niche areas, solving problems, creating hopes and benefitting mankind. These areas are: space, aviation and railway; sustainable urban development; human-centered innovation; and hospitality.
Through dedicated efforts, PolyU is keen to take the lead in making positive impact to the world through research and teaching innovation. 
Live report of the Summit: http://www.scmp.com/topics/polyu-innovation-impact-summit</t>
  </si>
  <si>
    <t>Panel discussion: Calculating the economic and social impact of higher education
Mr Phil Baty, editor, THE World University Rankings
Prof. Arun Sharma, deputy vice-chancellor (research and commercialisation), Queensland University of Technology
Prof. Lluís Tort, president, European Consortium of Innovative Universities, Universitat Autonoma de Barcelona
Dr Anders Karlsson, vice-president (strategic alliances and global academic relations), Asia Pacific, Elsevier
Prof. Angelina Yuen, vice-president (student and global affairs), The Hong Kong Polytechnic University
Live report of the Summit: http://www.scmp.com/topics/polyu-innovation-impact-summit</t>
  </si>
  <si>
    <t>Mr Tang King-shing  鄧竟成先生, GBS, PDSM, PMSM</t>
  </si>
  <si>
    <t>Mr Tang King-shing, GBS, PDSM, PMSM
Hong Kong member of the National Committee of the Chinese People's Political Consultative Conference
Vice Chairman and Executive Director of the Board, Hong Kong Airlines
鄧竟成先生, GBS, PDSM, PMSM
香港特別行政區全國政協委員
香港航空董事會副董事長及執行董事</t>
  </si>
  <si>
    <t>['鄧竟成', 'PolyU', 'PolyU80', '80th anniversary', '全國政協委員', '香港航空董事會']</t>
  </si>
  <si>
    <t>【Snapshot “80” in 80 Days I 80日快拍「80」】 Voting 投票</t>
  </si>
  <si>
    <t>“Most Popular Photo” voting begins
Vote for your favourite #PolyU80 photos NOW! You’re also welcome to share your birthday blessings for PolyU! You may be the winner of “Best Birthday Wishes” and take home a HK$200 dining voucher of Hotel ICON and a PolyU 80th anniversary souvenir! 
The photo receiving the largest number of votes will be named the “Most Popular Photo” and win a night’s stay at Hotel ICON plus dinner for two. Its voters will also receive a special gift!
How to vote and comment:
1. Follow PolyU Facebook page (www.facebook.com/HongKongPolyU)
2. In the Comment Box of “Snapshot '80' in 80 Days" album, write the number(s) of your favourite photo(s). Comments made under “individual photo” will not be considered.
3. Share your birthday wishes for PolyU 80th Anniversary.
This session will close at 11:59:59pm on 21 May 2017. 
Details: www.polyu.edu.hk/cpa/PolyU80/voting.html
「最受歡迎相片」投票開始
立即投選你最喜愛的 #PolyU80 相片，歡迎同時分享你對理大80歲生日的祝願，即有機會贏得「最佳生日祝福語」，獲取唯港薈200元餐飲禮券及理大 80 周年紀念品！ 
獲最多票數的相片將成為「最受歡迎相片」，贏取唯港薈雙人住宿一晚連晚餐；連同它的投票支持者亦可得到特別紀念品一份！
投票及留言方法： 
1. 追蹤理大Facebook專頁 (www.facebook.com/HongKongPolyU)
2. 於 “Snapshot '80' in 80 Days" 相冊中留言，寫下你最喜愛的相片號碼。於「個別參賽相片」下方的留言不獲計算。
3. 留言分享你對理大80周年校慶的生日祝願。
2017年5月21日（晚上11:59:59）截止。
詳情: www.polyu.edu.hk/cpa/PolyU80/voting.html</t>
  </si>
  <si>
    <t>['PolyU', 'PolyU80', '80th anniversary', 'Photo', 'Photography', 'voting', 'competition', 'contest', 'photo competition', 'photo contest', 'facebook', 'prize', 'gift', 'anniversary', 'university', '理大', '校慶', '香港理工大學']</t>
  </si>
  <si>
    <t>Dr Henry Tseng Chee 曾琦博士</t>
  </si>
  <si>
    <t>Dr Henry Tseng Chee
Member, PolyU Court
曾琦博士
理大大學顧問委員會成員</t>
  </si>
  <si>
    <t>['曾琦', 'PolyU', 'PolyU80', '80th anniversary']</t>
  </si>
  <si>
    <t>章鋒先生</t>
  </si>
  <si>
    <t>章鋒先生
紫金花傑出企業家
回天新材集團董事長</t>
  </si>
  <si>
    <t>['章鋒', '紫金花傑出企業家', '回天新材集團', 'PolyU', 'PolyU80', '80th anniversary']</t>
  </si>
  <si>
    <t>彭偉民先生</t>
  </si>
  <si>
    <t>彭偉民先生
紫金花傑出企業家
時代集團公司董事長</t>
  </si>
  <si>
    <t>['彭偉民', '紫金花傑出企業家', '時代集團公司', 'PolyU', 'PolyU80', '80th anniversary']</t>
  </si>
  <si>
    <t>李勤先生</t>
  </si>
  <si>
    <t>李勤先生
紫金花傑出企業家
聯想控股股份有限公司監事會主席</t>
  </si>
  <si>
    <t>['紫金花傑出企業家', '聯想控股股份有限公司', 'PolyU', 'PolyU80', '80th anniversary']</t>
  </si>
  <si>
    <t>Prof. Yang Wei  楊衛院士</t>
  </si>
  <si>
    <t>Prof. Yang Wei
President, National Natural Science Foundation of China
楊衛院士
國家自然科學基金委員會主任</t>
  </si>
  <si>
    <t>['國家自然科學基金委員會主任', '國家自然科學基金', '楊衛', 'PolyU', 'PolyU80', '80th anniversary']</t>
  </si>
  <si>
    <t>Prof. Yei Jing-yi 葉靜漪教授</t>
  </si>
  <si>
    <t>Prof. Yei Jing-yi
Deputy Chair of the University Council, Peking University
葉靜漪教授
北京大學副書記</t>
  </si>
  <si>
    <t>['北京大學', '葉靜漪', 'PolyU', 'PolyU80', '80th anniversary']</t>
  </si>
  <si>
    <t>Prof. Li Yu-ming 李宇明教授</t>
  </si>
  <si>
    <t>Prof. Li Yu-ming
Chair of Beijing Language and Culture University Committee
李宇明教授
北京語言大學黨委書記</t>
  </si>
  <si>
    <t>['北京語言大學黨委書記', '北京語言大學', '李宇明', 'PolyU', 'PolyU80', '80th anniversary']</t>
  </si>
  <si>
    <t>Prof. Liu Gong-hui 柳貢慧教授</t>
  </si>
  <si>
    <t>Prof. Liu Gong-hui
President, Beijing University of Technology
柳貢慧教授
北京工業大學校長</t>
  </si>
  <si>
    <t>['北京工業大學校長', '北京工業大學', '柳貢慧', 'PolyU', 'PolyU80', '80th anniversary']</t>
  </si>
  <si>
    <t>Prof. Hu Hai-yan 胡海岩院士</t>
  </si>
  <si>
    <t>Prof. Hu Hai-yan
President, Beijing Institute of Technology
胡海岩院士
北京理工大學校長</t>
  </si>
  <si>
    <t>['北京理工大學校長', '北京理工大學', '胡海岩', 'PolyU', 'PolyU80', '80th anniversary']</t>
  </si>
  <si>
    <t>Prof. Liu Chuan-sheng 劉川生教授</t>
  </si>
  <si>
    <t>Prof. Liu Chuan-sheng
Vice Chancellor of University Council, Beijing Normal University
劉川生教授
北京師範大學校務委員會副主任</t>
  </si>
  <si>
    <t>Dr Henry Tan 陳亨利博士, BBS, JP</t>
  </si>
  <si>
    <t>Dr Henry Tan, BBS, JP
Member, PolyU Court
陳亨利博士, BBS, JP
理大大學顧問委員會成員</t>
  </si>
  <si>
    <t>The inaugural Times Higher Education (THE) Innovation and Impact Summit cohosted by THE and PolyU will be held on from 31 May to 2 June. The three-day summit will bring together world-renowned innovators from higher education, government and business sectors to engage in discussion and explore how to empower universities’ economic and social impact through innovative research and teaching.
More: http://www.theworldsummitseries.com/INNOVATION</t>
  </si>
  <si>
    <t>Prof. Xie He-ping  謝和平教授</t>
  </si>
  <si>
    <t>Prof. Xie He-ping
President, Sichuan University
謝和平教授
四川大學校長</t>
  </si>
  <si>
    <t>['Sichuan University', '四川大學', '謝和平教授']</t>
  </si>
  <si>
    <t>Dr Royce Yuen Man-chun  袁文俊博士, JP</t>
  </si>
  <si>
    <t>Dr Royce Yuen Man-chun, JP
University Fellow and Awardee of Outstanding PolyU Alumni Award 2009
Chief Executive Officer, MaLogic
袁文俊博士, JP
理大大學院士
2009年傑出理大校友
冠思聯席行政總裁(香港)</t>
  </si>
  <si>
    <t>Prof. Philip Yeung Kwok-wing  楊國榮教授</t>
  </si>
  <si>
    <t>Prof. Philip Yeung Kwok-wing 
Awardee of Outstanding PolyU Alumni Award 2005
Executive Director, Clothing Industry Training Authority
楊國榮教授
2005年傑出理大校友
製衣業訓練局總幹事</t>
  </si>
  <si>
    <t>Dr Johnny Ng Kit-chong  吳傑莊博士</t>
  </si>
  <si>
    <t>Dr Johnny Ng Kit-chong 
Awardee of Outstanding PolyU Alumni Award 2015
Founder and Chairman, Goldford Group
吳傑莊博士
2015年傑出理大校友
高鋒集團創始人及主席</t>
  </si>
  <si>
    <t>Ir Dr Chan Fuk-cheung  陳福祥博士、工程師</t>
  </si>
  <si>
    <t>Ir Dr Chan Fuk-cheung
Awardee of Outstanding PolyU Alumni Award 2013
Former General Manager of CLP Engineering
陳福祥博士、工程師 
2013年傑出理大校友
前中電工程有限公司總經理</t>
  </si>
  <si>
    <t>Dr Hubert Chan Chung-yee, JP  陳重義博士, JP</t>
  </si>
  <si>
    <t>Dr Hubert Chan Chung-yee, JP
Awardee of Outstanding PolyU Alumni Award 2013
Chairman and Chief Executive Officer, HKC International Holdings Ltd.
陳重義博士, JP
2013年傑出理大校友
香港通訊國際控股有限公司主席兼行政總裁</t>
  </si>
  <si>
    <t>Ir Prof. Lee Wing-bun  李榮彬教授、工程師</t>
  </si>
  <si>
    <t>Ir Prof. Lee Wing-bun
Awardee of Outstanding PolyU Alumni Award 2011
Chair Professor, Department of Industrial and Systems Engineering &amp; Head, State Key Laboratory in Ultra-precision Machining Technology, The Hong Kong Polytechnic University
李榮彬教授、工程師 
2011年傑出理大校友
理大工業及系統工程學系講座教授及超精密加工技術國家重點實驗室主任</t>
  </si>
  <si>
    <t>Dr Roy Chung Chi-ping  鍾志平博士, BBS, JP</t>
  </si>
  <si>
    <t>Dr Roy Chung Chi-ping, BBS, JP
Honorary Chairman, PolyU Court
鍾志平博士, BBS, JP
理大大學顧問委員會榮譽主席</t>
  </si>
  <si>
    <t>Dr the Hon. Victor Lo Chung-wing  羅仲榮博士, GBM, GBS, OBE, JP</t>
  </si>
  <si>
    <t>Dr the Hon. Victor Lo Chung-wing, GBM, GBS, OBE, JP
Chairman, PolyU Court
羅仲榮博士, GBM, GBS, OBE, JP
理大大學顧問委員會主席</t>
  </si>
  <si>
    <t>Mr Alex Wong Chung-bong 王振邦先生</t>
  </si>
  <si>
    <t>Mr Alex Wong Chung-bong
Member, PolyU Council
Ex-officio Member, PolyU Court
President, Federation of the PolyU Alumni Associations
王振邦先生
理大校董會成員
理大大學顧問委員會當然委員
理大校友會聯會會長</t>
  </si>
  <si>
    <t>Mr Tan Dun  譚盾先生</t>
  </si>
  <si>
    <t>Mr Tan Dun  World-acclaimed Composer and Conductor
譚盾先生  世界著名作曲家及指揮家</t>
  </si>
  <si>
    <t>Ms Yao Jue  姚珏女士, JP</t>
  </si>
  <si>
    <t>Ms Yao Jue, JP
PolyU Artist-in-Residence (2014-2015)
Renowned Violinist
姚珏女士, JP
理大駐校藝術家 (2014-2015)
著名小提琴家</t>
  </si>
  <si>
    <t>Mr Choi Hoi-ying  蔡海鷹先生</t>
  </si>
  <si>
    <t>Mr Choi Hoi-ying
PolyU Artist-in-Residence (2000-2001)
Ink Painter
蔡海鷹先生
理大駐校藝術家  (2000-2001)
現代水墨畫家</t>
  </si>
  <si>
    <t>Mr Yuen Siu-fai 阮兆輝先生</t>
  </si>
  <si>
    <t>Mr Yuen Siu-fai
PolyU Artist-in-Residence (2009-2010)
Eminent Cantonese Opera Artist
阮兆輝先生
理大駐校藝術家 (2009-2010)
粤劇名伶</t>
  </si>
  <si>
    <t>['阮兆輝', '藝術家', '粤劇']</t>
  </si>
  <si>
    <t>Ms Ng Yuet-lau 伍月柳女士</t>
  </si>
  <si>
    <t>Ms Ng Yuet-lau
PolyU Artist-in-Residence (2016-2017)
Maestro of Contemporary Ink Painting
伍月柳女士
理大駐校藝術家  (2016-2017)
嶺南畫派大師</t>
  </si>
  <si>
    <t>['藝術家', '伍月柳', 'PolyU', 'Contemporary Ink Painting']</t>
  </si>
  <si>
    <t>King's Harmonica Quintet 英皇口琴五重奏</t>
  </si>
  <si>
    <t>King's Harmonica Quintet
Members(from left): PC Ho, Kenneth Chan, Bong Lau, Rocky Lok
PolyU Artist-in-Residence (2012-2013)
英皇口琴五重奏
成員(左起): 何百昌, 陳樹強, 劉振邦, 駱英棋
理大駐校藝術家 (2012-2013)
Other member: Johnny Kuan
其他成員: 關文豪</t>
  </si>
  <si>
    <t>Dr Rebecca Lee Lok-sze 李樂詩博士, MH</t>
  </si>
  <si>
    <t>Dr Rebecca Lee Lok-sze, MH
University Fellow, PolyU
Awardee of Outstanding PolyU Alumni Award 2003
Founder of Polar Museum Foundation
李樂詩博士, MH 
理大大學院士
2003年傑出理大校友
極地博物館基金創辦人</t>
  </si>
  <si>
    <t>['PolyU80', 'PolyU', '80anniversary', '李樂詩', 'PolyU alumni']</t>
  </si>
  <si>
    <t>Mr Lai Ming 黎明先生</t>
  </si>
  <si>
    <t>Mr Lai Ming
PolyU Artist-in-Residence (2008-2009)
Maestro of Contemporary Lingnan Painting
黎明先生
理大駐校藝術家 (2008-2009)
當代嶺南畫派大師</t>
  </si>
  <si>
    <t>Mr Marco Szeto 司徒志明先生</t>
  </si>
  <si>
    <t>Mr Marco Szeto
PolyU Artist-in-Residence (2002-2003)
Prominent Artist
司徒志明先生
理大駐校藝術家  (2002-2003)
著名畫家</t>
  </si>
  <si>
    <t>【Snapshot “80” in 80 Days I 80日快拍「80」】</t>
  </si>
  <si>
    <t>Take Photos to Win Great Prizes  影相贏大獎
Come celebrate PolyU’s 80th birthday!  
Look out for “80” around you and post your #PolyU80 snapshots NOW on Instagram or Twitter to join the【Snapshot “80” in 80 Days】photo competition! During the competition, participants are required to set their Instagram or Twitter profiles as public.
Grand Prize (1 winner): A night’s stay at Hotel ICON plus dinner for two!
Best Photos (80 winners): HK$300 dining voucher of Hotel ICON and a PolyU 80th anniversary souvenir
You may submit as many entries as you wish till 3 May 2017. 
More: http://www.polyu.edu.hk/PolyU80
一齊慶祝理大80大壽！
細心留意,「80」就在你身邊出現！立即參加【80日快拍「80」】攝影比賽，在 Instagram 或 Twitter 分享你的 #PolyU80 相片！比賽期間，參賽者必須將 Instagram / Twitter 帳戶設定為公開。
最受歡迎相片(1 名)：唯港薈雙人住宿一晚連晚餐
最佳相片 (80名)：唯港薈 300元餐飲禮券及理大80周年紀念品一份
提交作品數量不限，2017年5月3日截止。
詳情: http://www.polyu.edu.hk/PolyU80</t>
  </si>
  <si>
    <t>Mr Tang Hoi-chiu  鄧海超先生</t>
  </si>
  <si>
    <t>Mr Tang Hoi-chiu
Member, PolyU Culture Promotion Committee
Former Chief Curators, Hong Kong Museum of Art
鄧海超先生
理大文化推廣委員會委員
前香港藝術館總館長</t>
  </si>
  <si>
    <t>Mr Wong Kwok-chung  黃國忠先生</t>
  </si>
  <si>
    <t>Mr Wong Kwok-chung
PolyU Artist-in-Residence (2007-2008)
Renowned Glass Artist
黃國忠先生
理大駐校藝術家 (2007-2008)
著名玻璃藝術家</t>
  </si>
  <si>
    <t>Mr Wucius Wong  王無邪先生</t>
  </si>
  <si>
    <t>Mr Wucius Wong
University Fellow, PolyU
PolyU Artist-in-Residence (2015-2016)
Pioneer of Contemporary Ink Painting
王無邪先生
理大大學院士
理大駐校藝術家  (2015-2016)
新水墨畫先驅</t>
  </si>
  <si>
    <t>Dr Eddy Li S H  李秀恒會長, BBS, JP</t>
  </si>
  <si>
    <t>Dr Eddy Li S H, BBS, JP
President, The Chinese Manufacturers' Association of Hong Kong
李秀恒會長, BBS, JP
香港中華廠商聯合會會長</t>
  </si>
  <si>
    <t>Prof. Norman Ko Wah-man  高華文教授</t>
  </si>
  <si>
    <t>Prof. Norman Ko Wah-man
PolyU Artist-in-Residence (2011-2012)
Renowned Scientist, Sculptor and Photographer
高華文教授
理大駐校藝術家  (2011-2012)
著名科學家, 雕塑家及攝影家</t>
  </si>
  <si>
    <t>Mr Leung Kin-fung   梁建楓先生</t>
  </si>
  <si>
    <t>Mr Leung Kin-fung 
Artistic Director and Conductor, The PolyU Orchestra
梁建楓先生
理大管弦樂團藝術總監及指揮</t>
  </si>
  <si>
    <t>Mr Albert Au  區瑞強先生</t>
  </si>
  <si>
    <t>Mr Albert Au
PolyU Artist-in-Residence (2005-2006)
Renowned Music Artist
區瑞強先生
理大駐校藝術家  (2005-2006)
著名音樂人</t>
  </si>
  <si>
    <t>Mr Dominic Cheung  張可堅先生</t>
  </si>
  <si>
    <t>Mr Dominic Cheung
Member, PolyU Culture Promotion Committee
General Manager, Chung Ying Theatre Company
張可堅先生
理大文化推廣委員會委員
中英劇團總經理</t>
  </si>
  <si>
    <t>Dr Chung King-fai  鍾景輝博士, SBS</t>
  </si>
  <si>
    <t>Dr Chung King-fai, SBS
PolyU Artist-in-Residence (2013-2014)
King of Drama
鍾景輝博士, SBS
理大駐校藝術家  (2013-2014)
戲劇大師</t>
  </si>
  <si>
    <t>Mr Frederick Ma Si-hang  馬時亨主席, GBS, JP</t>
  </si>
  <si>
    <t>Mr Frederick Ma Si-hang, GBS, JP
Non-executive Chairman of MTR Corporation Limited
Professor of Practice (Finance), 
School of Accounting and Finance, PolyU
馬時亨主席, GBS, JP
香港鐵路有限公司董事局非執行主席
理大會計及金融學院實務教授(金融)</t>
  </si>
  <si>
    <t>Dr Jonathan Choi Koon-shum  蔡冠深會長, GBS, JP</t>
  </si>
  <si>
    <t>Dr Jonathan Choi Koon-shum, GBS, JP
Chairman, The Chinese General Chamber of Commerce
蔡冠深會長, GBS, JP
香港中華總商會會長</t>
  </si>
  <si>
    <t>Mr Stephen Ng  吳天海主席</t>
  </si>
  <si>
    <t>Mr Stephen Ng
Chairman, Hong Kong General Chamber of Commerce
吳天海主席
香港總商會主席</t>
  </si>
  <si>
    <t>Ir Daniel M. Cheng  鄭文聰主席, MH, JP</t>
  </si>
  <si>
    <t>Ir Daniel M. Cheng, MH, JP
Chairman, Federation of Hong Kong Industries
鄭文聰主席, MH, JP
香港工業總會主席</t>
  </si>
  <si>
    <t>The Hon. Nicholas W. Yang  楊偉雄先生, JP</t>
  </si>
  <si>
    <t>The Hon. Nicholas W. Yang, JP
Secretary for Innovation and Technology
楊偉雄先生, JP
創新及科技局局長</t>
  </si>
  <si>
    <t>Mr James Mark  麥秋先生</t>
  </si>
  <si>
    <t>Mr James Mark
PolyU Artist-in-Residence (2003-2004)
Veteran Dramatist
麥秋先生
理大駐校藝術家 (2003-2004)
資深舞台藝術家</t>
  </si>
  <si>
    <t>Dr Joseph Ting Sun-pao  丁新豹博士</t>
  </si>
  <si>
    <t>Dr Joseph Ting Sun-pao
Member, PolyU Culture Promotion Committee
Former Chief Curator, Hong Kong Museum of History
丁新豹博士
理大文化推廣委員會委員
前香港歷史博物館總館長</t>
  </si>
  <si>
    <t>Mr John Slosar  史樂山先生</t>
  </si>
  <si>
    <t>Mr John Slosar
Chairman, Swire Pacific Limited
史樂山先生
太古股份有限公司主席</t>
  </si>
  <si>
    <t>Mr Alex Wong Siu-wah  黃少華先生</t>
  </si>
  <si>
    <t>Mr Alex Wong Siu-wah
University Fellow, PolyU
Chairman and Chief Executive Officer, King’s Flair International (Holdings) Limited
黃少華先生
理大大學院士
科勁國際（控股）有限公司主席兼行政總裁</t>
  </si>
  <si>
    <t>Dr Allen Shi Lop-tak  史立德博士, MH, JP</t>
  </si>
  <si>
    <t>Dr Allen Shi Lop-tak, MH, JP
University Fellow, PolyU
Chairman and Founder, Brilliant International Group Limited
史立德博士, MH, JP
理大大學院士
華彩集團有限公司主席兼創辦人</t>
  </si>
  <si>
    <t>Mr Alex Lui Chun-wan  雷震寰先生</t>
  </si>
  <si>
    <t>Mr Alex Lui Chun-wan
University Fellow, PolyU
Renowned Architect and City Planner
雷震寰先生
理大大學院士
著名建築師及城市規劃師</t>
  </si>
  <si>
    <t>Mr Chao Chen-kuo  趙振國先生</t>
  </si>
  <si>
    <t>Mr Chao Chen-kuo
University Fellow, PolyU
Managing Director, CK Hair International Limited
趙振國先生
理大大學院士
精工髮品廠有限公司董事總經理</t>
  </si>
  <si>
    <t>Mrs Yvonne Law Shing Mo-han  羅盛慕嫻女士, JP</t>
  </si>
  <si>
    <t>Mrs Yvonne Law Shing Mo-han, JP
University Fellow, PolyU
Chairman, Yinn Advisory Services Limited
羅盛慕嫻女士, JP
理大大學院士
「賢」顧問服務有限公司主席</t>
  </si>
  <si>
    <t>International Students Birthday Wishes 國際生齊祝賀</t>
  </si>
  <si>
    <t>Check out our anniversary website for more details of the celebratory events. 
請瀏覽校慶網站，了解更多活動詳情。
http://www.polyu.edu.hk/80anniversary</t>
  </si>
  <si>
    <t>Dr Candace Johnson
Member, PolyU International Advisory Board
Co-founder, Societe Europeene des Satellites (SES) and SES Global
Founding President, Oceania Women's Network Satellite (OWNSAT) and Global Telecom Women’s Network (GTWN)</t>
  </si>
  <si>
    <t>Mrs Fatima Guzman Quintin
Vice Consul
Philippine Consulate General in Hong Kong SAR
副領事
菲律賓駐香港總領事館</t>
  </si>
  <si>
    <t>Prof. Sir Nigel Thrift  薛偉德教授</t>
  </si>
  <si>
    <t>Prof. Sir Nigel Thrift
Member, PolyU International Advisory Board
Executive Director, Schwarzman Scholars, Tsinghua University, Beijing, PRC
Former Vice-Chancellor and President, University of Warwick, UK
薛偉德教授
理大國際顧問委員會成員
中國北京清華大學蘇世民書院美國辦公室執行主任
英國華威大學前校長</t>
  </si>
  <si>
    <t>Prof. Wang Jianhua  王建華敎授</t>
  </si>
  <si>
    <t>Prof. Wang Jianhua
Member, PolyU International Advisory Board
Director, State Key Laboratory of Electrical Insulation and Power Equipment
Professor, Xi'an Jiaotong University, PRC
王建華敎授
理大國際顧問委員會成員
電力設備電氣絕緣國家重點實驗室主任
中國西安交通大學教授</t>
  </si>
  <si>
    <t>Prof. Wu Jiang  伍江教授</t>
  </si>
  <si>
    <t>Prof. Wu Jiang
Member, PolyU International Advisory Board
Vice President and Professor of Architecture, Tongji University, PRC
伍江教授
理大國際顧問委員會成員
中國同濟大學副校長及建築系教授</t>
  </si>
  <si>
    <t>Dr Jenny Su Huey-jen   蘇慧貞博士</t>
  </si>
  <si>
    <t>Dr Jenny Su Huey-jen 
Member, PolyU International Advisory Board
President, National Cheng Kung University, Taiwan
蘇慧貞博士
理大國際顧問委員會成員
台灣國立成功大學校長</t>
  </si>
  <si>
    <t>Prof. Su Guaning 徐冠林敎授</t>
  </si>
  <si>
    <t>Prof. Su Guaning
Chairman, PolyU International Advisory Board
President Emeritus, Nanyang Technological University, Singapore
徐冠林敎授
理大國際顧問委員會主席
新加坡南洋理工大學榮譽校長</t>
  </si>
  <si>
    <t>Dr David C  Chang 張鍾濬博士</t>
  </si>
  <si>
    <t>Dr David Chang
Emeritus Chairman, PolyU International Advisory Board
Chancellor (retired), Polytechnic Institute of New York University, USA
Chairman &amp; CEO, g-MEO, Inc., USA
張鍾濬博士
理大國際顧問委員會榮休主席
美國紐約理工大學名譽校長
美國g-MEO, Inc.主席及行政總裁</t>
  </si>
  <si>
    <t>Alumni Birthday Wishes 校友齊祝賀</t>
  </si>
  <si>
    <t>Mr Carlson Tong  唐家成先生, SBS, JP</t>
  </si>
  <si>
    <t>Mr Carlson Tong, SBS, JP
Chairman, University Grants Committee
唐家成先生, SBS, JP
大學教育資助委員會主席</t>
  </si>
  <si>
    <t>Opening Ceremony of PolyU Alumni Atrium 理大校友薈開幕</t>
  </si>
  <si>
    <t>Best wishes from alumni for the University.
來自校友對母校的祝福。</t>
  </si>
  <si>
    <t>['PolyU', 'The Hong Kong Polytechnic University', 'PolyU80', 'PolyU Alumni', 'PolyU Alumni Atrium', '理大校友薈', 'Alumni activities', 'Anniversary activities']</t>
  </si>
  <si>
    <t>In May 2015, PolyU and Xi'an Jiaotong University jointly formed the University Alliance of the Silk Road (UASR) to build collaborations in education, science and technology, as well as to foster cultural exchange among partner universities. The UASR now has 134 member universities from 34 countries and regions. With the formation of the Alliance, PolyU has co-ordinated various activities, including the Silk Road Global Youth Leadership Programme, Service-Learning projects and internships to enhance students' understanding of the social, cultural and economic development of the Silk Road countries.
2015年5月，理大聯同西安交通大學成立「絲綢之路大學聯盟」，帶動成員院校建立學術和科技上的合作，推動文化交流。「絲綢之路大學聯盟」至今已有34個國家及地區，共134所大學參加。隨著聯盟的成立，理大透過不同活動，包括絲綢之路青年領袖計劃，服務學習計劃和實習生計劃，加深學生對絲路國家的社會、文化及經濟發展的了解。
Check out our anniversary website for more details of the celebratory events. 
請瀏覽校慶網站，了解更多活動詳情。
http://www.polyu.edu.hk/80anniversary</t>
  </si>
  <si>
    <t>Our Pride • Our Vision • An Exciting Future</t>
  </si>
  <si>
    <t>This video is to showcase PolyU’s proud history and remarkable accomplishments in celebration of the University 80th anniversary.
此影片展現理大的光輝歷史和卓越成就，慶賀八十周年校慶
Check out our anniversary website for more details of the celebratory events. 
請瀏覽校慶網站，了解更多活動詳情。
http://www.polyu.edu.hk/80anniversary</t>
  </si>
  <si>
    <t>Grand Launch of PolyU's 80th Anniversary Celebrations 理大八十周年慶典隆重揭幕</t>
  </si>
  <si>
    <t>In celebration of PolyU’s 80th anniversary, a number of launch events were held on 25 November 2016 to kick-start the year-long anniversary celebrations. Over 800 distinguished guests including government officials, PolyU’s students, staff, alumni and friends attended the Launch Ceremony. 
“A Prelude to the Celebrations” then followed with the stirring performance of the PolyU Orchestra and the 80th anniversary theme song premiere by C AllStar and the PolyU Choir. Students from the four institutions of “University Alliance of the Silk Road” added colours to the occasion with their blissful cultural performances. Other celebratory activities including “International Forum: Nurturing Talent and Building Capacity in Supporting the Belt and Road Development”, Opening Ceremony of the Alumni Atrium and VIP Reception were also held in conjunction with the launch ceremony.
理大80周年校慶啟動禮已於11月25日隆重舉行。多位政府官員、理大師生、校友和各方友好共逾八百位嘉賓出席校慶啟動禮。典禮後的「樂序八十」環節有理大管弦樂團演繹澎湃樂章，C AllStar 與理大合唱團獻唱80周年校慶主題曲，而「絲綢之路大學聯盟」院校學生的精彩文化表演更令活動生色不少。同日亦舉辦了一系列的盛事，包括「國際論壇：培育人才 ‧ 構建實力 ‧ 支援一帶一路發展」、校友薈開幕典禮，以及嘉賓酒會。
Check out our anniversary website for more details of the celebratory events. 
請瀏覽校慶網站，了解更多活動詳情。
http://www.polyu.edu.hk/80anniversary</t>
  </si>
  <si>
    <t>PolyU 80th Anniversary Launch Ceremony A Prelude to the Celebrations 理大80周年校慶啟動禮 樂序八十</t>
  </si>
  <si>
    <t>“PolyU 80th Anniversary Launch Ceremony   A Prelude to the Celebrations” live webcast
《理大80周年校慶啟動禮   樂序八十》現場直播
Date日期：25.11.2016
Time時間：7:15pm (Hong Kong time 香港時間)
We welcome all PolyU community members and friends around the world to join us.
歡迎全球理大成員、朋友參加！
A quiz game will be held at the end of the programme. Please submit your answer on or before 23:59 on 25.11.2016 (Hong Kong Time) by clicking https://goo.gl/Eb0E4d . 
The first 80 participants who send in the correct answer will each receive a specially designed PolyU 80th Anniversary Pouch Bag. Other participants who get the right answer will also receive a special souvenir. 
直播完畢將設有有獎問答遊戲，參加者請登入 https://goo.gl/Eb0E4d，於香港時間2016年11月25日晚上11時59分或之前提交答案。首80位答中問題的參加者將獲得特別版校慶手提袋一個，其後答中問題的參加者亦可獲得紀念品一份。
Check out our anniversary website for more details of the celebratory events. 
請瀏覽校慶網站，了解更多活動詳情。
http://www.polyu.edu.hk/80anniversary</t>
  </si>
  <si>
    <t>PolyU 80th Anniversary Theme Song 理大80周年校慶主題曲《Shape the Future》
Composer 作曲：On仔@C AllStar (Alumnus of School of Nursing 護理學院校友)
Lyricist 填詞：Oscar (Alumnus of Department of English 英文系校友)
Arranger 編曲：Siu Tung 賴映彤 (Alumna of Department of Chinese and Bilingual Studies 中文及雙語學系校友)
Singer 主唱：C AllStar
Check out our anniversary website for more details of the celebratory events. 
請瀏覽校慶網站，了解更多活動詳情。
http://www.polyu.edu.hk/80anniversary</t>
  </si>
  <si>
    <t>['PolyU', 'PolyU80', 'C AllStar', '80th Anniversary', 'The Hong Kong Polytechic University', 'On仔', 'music video']</t>
  </si>
  <si>
    <t>A Proud History@PolyU  理大光輝歷史</t>
  </si>
  <si>
    <t>Cherish our glorious past. Together we build a bright future.
回顧理大光輝歷程，共建燦爛未來。
Check out our anniversary website for more details of the celebratory events. 
請瀏覽校慶網站，了解更多活動詳情。
http://www.polyu.edu.hk/80anniversary</t>
  </si>
  <si>
    <t>Happy 80th Birthday to PolyU (1)  理大80生日快樂 (一)</t>
  </si>
  <si>
    <t>Cycling + Treasure Hunt Fun Day 單車尋寶同樂日</t>
  </si>
  <si>
    <t>Human Anatomy online MOOC course with a stroke case – 2nd Delivery | HKPolyUx on edX |</t>
  </si>
  <si>
    <t>Take this course for free on edX: https://www.edx.org/course/human-anatomy-hkpolyux-ana101x-0
Follow on Facebook: https://www.facebook.com/edX
Follow on Twitter: https://www.twitter.com/edxonline
Follow on YouTube: https://www.youtube.com/user/edxonline
About this course
Human Anatomy is fundamental to every medical and healthcare professional. However, the science of anatomy and effects of stroke are also extremely useful to anyone interested in understanding more about the human body. In this course, you’ll gain an understanding of the basic concepts of anatomy and learn to ‘dissect’ the human body with a logical approach through a typical clinical case of stroke.
The course structure is as follows:
Module 1:
Presentation of a stroke case scenario with a micro movie, case summary and interview with the stroke survivor.
Module 2:
General knowledge of human anatomy related to the stroke case, including organs of important body systems, anatomical orientation, skeletal and muscular system, nervous system and special senses, and cardiovascular and pulmonary system.
Module 3:
Rounding up the course with six healthcare-discipline specific role play videos and lectures given by visiting professors.</t>
  </si>
  <si>
    <t>['香港理工大學', 'The Hong Kong Polytechnic University', 'hospitality', 'Hotel ICON', 'teaching and research', 'SHTM', 'PolyU', 'revenue management', 'hotel &amp; tourism study', '酒店及旅遊業管理學院', 'School of Hotel and Tourism Management']</t>
  </si>
  <si>
    <t>PolyU experts' dedication to public design provides all with an equal opportunity to enjoy public environment and facilities.
理大專家致力研究公共設計，讓所有人都能平等地享用公共空間及設施。
URL: http://www.sd.polyu.edu.hk/en/research/public-design</t>
  </si>
  <si>
    <t>['The Hong Kong Polytechnic University', '香港理工大學', 'product design', '產品設計', 'Public Design Lab', '公共設計研究室', 'toilet', 'disabled', 'blind people', '特殊需要', '厠所', 'rubbish bins', '垃圾箱', '盲人', 'country parks', '郊野公園', 'monkey', '猴子', 'bollards', '欄杆']</t>
  </si>
  <si>
    <t>PolyU’s Shipping Research Centre</t>
  </si>
  <si>
    <t>['The Hong Kong Polytechnic University', '香港理工大學', 'academic research', 'shipping and logistics', '理大', '航運研究', '貿易競爭力', 'competitive edge', 'shipping and trading industry', '物流']</t>
  </si>
  <si>
    <t>['Intelligent Transportation System', 'real-time journey time estimation', 'reliable driving route', 'algorithm', 'on-time arrival probability', 'traffic', 'real-time intelligent transportation system', 'Hong Kong eTransport', 'Journey Time Indication System', 'Speed Map Panel', 'Civil and Environmental Engineering', '土木及環境工程', '個人化行車路線', '實時交通資訊系統', '香港行車易', '香港乘車易', '行車時間顯示系統', '行車速度屏', '實時智能交通系統']</t>
  </si>
  <si>
    <t>Rehabilitation Sleeve 復康袖</t>
  </si>
  <si>
    <t>A wearable Functional Electrical Stimulation robotic system for arm rehabilitation after stroke 
為中風患者提供上肢復康訓練的穿戴式智能肌電系統
http://www.polyu.edu.hk/ife/corp/cntimgs/techsearch/3_BME_17_0615.pdf</t>
  </si>
  <si>
    <t>['中風', '上肢局部癱瘓', '復康治療', '穿戴式智能肌電系統', '上肢復康訓練', '電刺激', '神經可塑性', 'paralysis', 'upper limb', 'stroke', 'therapeutic intervention', 'Functional Electrical Stimulation', 'neuroplasticity', 'electrical stimulation training', 'The Hong Kong Polytechnic University', '香港理工大學', '生物醫學工程', 'Biomedical Engineering']</t>
  </si>
  <si>
    <t>['PolyU', 'The Hong Kong Polytechnic University', 'photonic textiles', '理大紡織及製衣學系', 'garments', 'research', '研究', '光子紡織品']</t>
  </si>
  <si>
    <t>PolyU has striven to strengthen ties with its alumni to enhance their sense of belonging to their alma mater. The University has therefore decided to turn an existing facility at Core A on campus into an alumni hub and name it “Alumni Atrium”. For more details of the “Alumni Atrium”, please visit the dedicated website: http://www.polyu.edu.hk/aado/alumniatrium/</t>
  </si>
  <si>
    <t>['Accelerating Reading Ability', 'The Hong Kong Polytechnic University', 'PolyU', 'dyslexia', 'psycholinguistic theory', '閱讀障礙', '服務學習']</t>
  </si>
  <si>
    <t>"Exploring China" is a series of programmes that aims to enrich PolyU students’ learning experience and broaden their knowledge outside their professional domain with a particular emphasis on cultural and social aspects on the Mainland. Through these programmes, more than 1,337 PolyU students have ventured on an experiential learning journey to the Mainland, Macau and Taiwan in last winter and this summer. 
As reflected in the University's promise for education and research "Opening Minds • Shaping the Future", we are committed to equipping our students with a broader and deeper understanding of the world, and to challenge boundaries and uncover knowledge that change lives for the better.</t>
  </si>
  <si>
    <t>Visionaries Connected consists of a two-day entrepreneurship conference followed by a kaleidoscopic carnival. It aims to gather aspiring entrepreneurs to work hard with other community stakeholders on improving the future for sprouting businesses, and to play hard sharing lots of fun with all participants. In the meantime, the event provides a perfect chance for them to demonstrate their entrepreneurial spirits of creativity, leadership, passion, tenacity and ambition. Participants, whether they are entrepreneurs or not, will surely find useful information, encouragement, inspiration, support, opportunities, or simply bouts of laughter to suit their tastes.
URL: http://www.visionariesconnected.com/
為宣揚創意、領導才能、熱誠、堅毅和鬥志等企業家精神，Visionaries Connected 活動系列將匯聚一群目光遠大的企業家，透過為期兩天的理大企業論壇，與其他持份者一起探討初創企業的未來，並在第二天的理大企業嘉年華與各界來賓共度歡樂時光。不論你是企業家與否，Visionaries Connected必能令你樂而忘返、滿載而歸！</t>
  </si>
  <si>
    <t>['The Hong Kong Polytechnic University', 'PolyU', '香港理工大學', '理大']</t>
  </si>
  <si>
    <t>逆轉癌細胞抗藥性的新方法 A new way to reverse cancer drug resistance</t>
  </si>
  <si>
    <t>香港理工大學應用生物及化學科技學系周銘祥教授及陳德恒教授的研究團隊從天然營養素研發出名為芹菜素黃酮類二聚體的嶄新抑制劑，可防止癌細胞抵抗藥物，並有助令化療藥經口服被人體所吸收，減低通過靜脈注射藥物時的風險。
詳情請瀏覽：http://www.polyu.edu.hk/openingminds/tc/story.php?sid=7
Led by Profs. Larry Chow and Bill Chan of the Department of Applied Biology and Chemical Technology, the research team developed a new inhibitor called Apigenin Flavonoid Dimer which can prevent the rejection of drugs by cancer cells. Apigenin Flavonoid Dimer also allows anticancer drugs to be absorbed orally, reducing the risks associated with intravenous injection.
For details, please see http://www.polyu.edu.hk/openingminds/en/story.php?sid=7#title</t>
  </si>
  <si>
    <t>['Cancer (Disease Or Medical Condition)', 'drugs', 'cancer treatment', 'biomedical research', 'patient', 'Medicine (Field Of Study)', 'Biology (Media Genre)', 'Chemistry (Field Of Study)', 'Biochemistry (Field Of Study)', 'Clinical Trial (Literature Subject)', 'drug resistance', '抗藥', '癌細胞', '口服', 'oral drugs', '化療', 'parsley', 'Paclitaxel']</t>
  </si>
  <si>
    <t>With more than ten catering locations on campus and two residential canteens, PolyU nourishes students and staff by providing a wide variety of dining options throughout the day.
理大有逾十間餐廳以及兩間學生宿舍飯堂，為學生及教職員提供多元化的餐飲選擇。</t>
  </si>
  <si>
    <t>“Those Were the Days @ Keswick Hall” PolyU Alumni Reunion 2015/2016</t>
  </si>
  <si>
    <t>Around 300 PolyU alumni, friends and  supporters gathered at the Lam Tai Fai Amphitheatre, the original location of the Keswick Hall (the icon of the campus of the Hong Kong Technical College and Hong Kong Polytechnic), for a fun-filled reunion on 21 November 2015 evening.
The reunion provided an opportunity for all PolyU alumni to reminisce about the fond memories of Keswick Hall.  All participants enjoyed the high table dinner and the spectacular music performance by PolyU President Prof. Timothy W. Tong, his band and local singer-songwriter Mr Jonathan Wong. 
近三百位理大校友和其親友及理大支持者，於2015年11月21日回到理大校園林大輝廣場聚首一堂，該廣場是「賈士域堂」原址，亦為前香港理工學院及香港工業專門學院年代的代表性建築物。
是次活動讓校友回味昔日「賈士域堂」的美好回憶。參加者在享受高桌晚宴之餘，亦欣賞到理大校長唐偉章教授及其樂隊，以及本地著名創作歌手王梓軒的精彩音樂表演。</t>
  </si>
  <si>
    <t>PolyU Global Student Challenge 2015 – The Making Of</t>
  </si>
  <si>
    <t>The world’s first 3D printed dress by PolyU fashion graduates</t>
  </si>
  <si>
    <t>Kiwib Wong and David Cheng, graduates of PolyU's Institute of Textiles and Clothing, established their own brand SHIGO after creating the world’s first 3D printed dress.</t>
  </si>
  <si>
    <t>In 2002, PolyU established a centre in Xian. Since then we have offered postgraduate courses that nutured more than 2,000 graduates.  In May 2015, PolyU is the founding member of the UNSAR with alliances of more than 89 Universities from 18 countries and regions.  With the “One Belt One Road” policy, we keep on opening our students' minds through off-shore learning opportunities with the aim the shaping them to become the global citizens.</t>
  </si>
  <si>
    <t>《一起重生》 (Bouncing back together)</t>
  </si>
  <si>
    <t>經歷2008年汶川地震，三位作者藉此書分享他們的親身感受和體會。</t>
  </si>
  <si>
    <t>['PolyU', 'Wenchuan Earthquake', 'Survivors', 'book', '汶川地震', '新書']</t>
  </si>
  <si>
    <t>Open Day of PolyU House of Innovation 理大創新館開放日</t>
  </si>
  <si>
    <t>Let’s visit the PolyU’s landmark “House of Innovation” and learn about PolyU’s innovations.
To learn more about the House of Innovation, please visit https://www.facebook.com/HoIPolyU .
齊來理大地標之一的「創新館」逛逛，了解一下我們的創新科技！
有關理大創新館的詳情，請瀏覽 https://www.facebook.com/HoIPolyU。</t>
  </si>
  <si>
    <t>The research project is designed mainly to serve children, their schools, families and communities who were adversely affected by the Wenchuan earthquake. It helps the general public and relevant organizations to understand the psychosocial needs and resilience of children and their significant others in post‐disaster situations. The project also allows greater attention to be given to social workers and their roles in the post‐disaster social work in the Chinese mainland. 
此研究項目是特別為受汶川大地震影響的兒童、學校、家庭和社區而設；並説明公眾和相關組織了解兒童及他們的至親在災後的社會心理需求和重建過程中的抗逆力。這項研究還提高中國大陸社會對於社會工作者在災後重建工作的角色的關注。</t>
  </si>
  <si>
    <t>Explore PolyU 探索理大</t>
  </si>
  <si>
    <t>This short video features different parts of PolyU campus. For more about our campus, please visit http://www.polyu.edu.hk
這段短片帶你走訪理大校園內不同地點；有關校園其他特色和詳情，請瀏覽 http://www.polyu.edu.hk 。</t>
  </si>
  <si>
    <t>The Institute of Active Ageing (IAA) 活齡學院</t>
  </si>
  <si>
    <t>The Institute of Active Ageing (IAA) of PolyU aims to meet society’s challenges of ageing population through research, education and services.
理大活齡學院旨在從科研、教學及實踐三方面著手支援社會，應付本地人口老化帶來的挑戰。</t>
  </si>
  <si>
    <t>['Ageing (Literature Subject)', 'elderly', 'social service', 'age-friendly society', '長者有善城市', '活齡學院', 'Institute of Active Ageing', 'interdisciplinary research', 'silver market', '銀髮市場', 'Tai Chi', '坐式太極', 'volunteers', '義工']</t>
  </si>
  <si>
    <t>Portable Real - time DNA Biosensor 便攜式基因即時感測器</t>
  </si>
  <si>
    <t>Invented by the Department of Applied Biology &amp; Chemical Technology and Department of Electrical Engineering, this
biosensor is a hand-held sensing device built upon a novel DNA-based bio-chemo-physical conversion method for realtime,
in-situ detections of the presence of a microorganism.
便攜式基因(DNA)即時感測器由應用生物及化學科技學系和電機工程學系研發，外型輕­巧，採用以基因為基礎
的全新生化物理轉換方法，可即時、實地得悉測檢結果。</t>
  </si>
  <si>
    <t>Neighbouring the heavily-loaded Cross Harbour Tunnel, PolyU has long witnessed problems in the vicinity - poor air quality, overloaded footbridge, poor connectivity within the district and lack of open space. The University has thus proposed the construction of a Green Deck over the Cross Harbor Tunnel plaza to tackle these problems.
For details, please visit: http://www.polyu.edu.hk/cpa/greendeck/ 
理大鄰近繁忙的紅磡海底隧道，一直見證著區內空氣質素欠佳、行人天橋超逾負荷、地區內往來不便，以及缺乏公共空間的種種問題。有見及此，大學提出在紅隧收費廣場上興建一個綠化平台，以解決上述問題。
詳情請瀏覽：http://www.polyu.edu.hk/cpa/greendeck/index_tc.html</t>
  </si>
  <si>
    <t>"Discover Chinese Mainland" is a series of programmes that aim to enrich PolyU student’s learning experience and broaden their knowledge outside their professional domain with a particular emphasis on cultural and societal aspects on the Mainland.</t>
  </si>
  <si>
    <t>It is again Christmas time! It is the time to express love and care to your family and friends, and to the Earth as well.
During this festive season, PolyU has lent its support to a fantastic mission of recycling plastic bottles into beautiful baubles.
Let’s all enjoy a very Merry Green Christmas! Happy viewing!</t>
  </si>
  <si>
    <t>「服務學習並不單只有義務工作的元素，在全人教育中，服務學習是不可或缺的一環。」唐校長表示。
觀看此短片了解理大學生如何從主修科目或其他學習經驗所累積的知識及技能，應用於服務社會項目。
"Service-Learning is not just volunteer work. It’s an integral part of a holistic education." President Tong says. 
Take a look at this video showing PolyU students participating in our service learning programmes, and learn more about how our students apply the knowledge and skills acquired from their Major or other learning experiences to the community service programmes.</t>
  </si>
  <si>
    <t>['PolyU', 'service learning', 'Cambodia (Country)', 'Mainland China (Region)', 'volunteer', 'school of optometry', 'school of nursing', '伊利沙伯中學舊生會小學', "Queen Elizabeth School Old Students' Association Primary School"]</t>
  </si>
  <si>
    <t>Funded by PolyU’s Communities of Practice – Academic Advising Funding, and under the lead of Dr Zenobia Chan, Assistant Professor and Student Academic Advisor Coordinator with the strong support by Prof. Alex Molasiotis, Head of School of Nursing (SN) of PolyU, this SN Student Academic Advising System video is developed as an e-learning resource for both academic advisors and freshmen. It shares and promotes the good practices of the School’s Student Academic Advising system. 
In this video, a team of energetic and creative year 1 students videotaped their stories to share how our Student Academic Advisors assisted them in adjusting the university life.</t>
  </si>
  <si>
    <t>點解要住 hall?</t>
  </si>
  <si>
    <t>想多了解學生宿舍生活？看看一些過來人的分享吧。有關理大學生宿舍的詳情，請瀏覽 http://www.polyu.edu.hk/hall/
Wanna know more about the life in student halls? Watch this video for the sharing by hall residents. For details about PolyU Student Halls of Residence, please visit http://www.polyu.edu.hk/hall/</t>
  </si>
  <si>
    <t>['PolyU', 'Student Halls of Residence', 'university', 'accommodation', '學生宿舍', '理大', 'local student', 'mainland students', '內地生', '交流生', 'exchange student']</t>
  </si>
  <si>
    <t>Designed by PolyU researchers, the new uniform facilitates sweat evaporation, making construction workers more comfortable to work outdoor in hot summer. 理大科研團隊為建築業工人特別設計的工作服，有助汗水蒸發，令工人在炎夏戶外工作感覺更舒適。</t>
  </si>
  <si>
    <t>Apart from classroom lessons, students can also learn practical knowledge and skills from participating in different kinds of activities. See in this video how PolyU ITC students gain from their experiences in collaborative projects between PolyU and external organizations. 
在課堂學習之外，同學們亦可透過參與不同活動汲取實用知識和技術。此影片介紹理大紡織及製衣學系同學在大學與其他機構合辦的活動中的得著......</t>
  </si>
  <si>
    <t>['PolyU', 'ITC', 'textiles', 'student activities', 'competition', 'fashion', 'TV', 'reality show', 'Joyce Boutique (Business Operation)', 'Taiwan (Country)', '紡織及製衣學系', '理大', '香港理工大學', '先施', '百貨公司', '真人騷']</t>
  </si>
  <si>
    <t>University Education Series 大學教育系列 #1: 何謂大學教育</t>
  </si>
  <si>
    <t>17 Feb 2014 - Dr Cheung Chor-yung (張楚勇博士), Dean of Students in City University of Hong Kong, shares his views and on "University Education (何謂大學教育)". This is the first public talk on the subject organized by the PolyU's General Education Centre for our staff and students.</t>
  </si>
  <si>
    <t>['PolyU', 'General Education', 'University Education', '大學教育', 'Dr Cheung Chor-yung', '張楚勇', 'learn', 'public talk']</t>
  </si>
  <si>
    <t>['PolyU', 'Chinese New Year', 'Wishes', 'President', 'students', 'greeting', 'Timothy Tong', 'Year of the Horse', '恭喜發財', 'Kung Hei Fat Choi', '馬年進步', '新年快樂', '新春大吉', '笑口常開', '鴻運當頭', '五福臨門', '大吉大利', '花開富貴', '步步高陞', '過3爆4', '心想事成', '龍馬精神', '馬到功成']</t>
  </si>
  <si>
    <t>投身護理專業：獻出關愛．惠澤全人</t>
  </si>
  <si>
    <t>理大是本港最先開辦護理學理學士學位課程的大學。本課程旨在培育學生提供高素質的護理服務及進行有關的護理科研，為社區健康發展作出貢獻。</t>
  </si>
  <si>
    <t>['PolyU', 'Nursing School (School Category)', 'Health Care (Issue)', 'study', 'degree', 'nurse', 'training', 'hospital', '理大', '護理', '學士學位', '科研', '社區健康發展']</t>
  </si>
  <si>
    <t>Wanna take graduation photo with PolyU Graduation Bear? Watch the video now!
理大畢業熊同你 say hello! 想唔想同佢一齊影畢業相呢? 想就快啲睇吓段片啦!</t>
  </si>
  <si>
    <t>Conferment of University Fellowship upon Mr Wong Tit-shing
頒授大學院士榮銜予黃鐵城先生</t>
  </si>
  <si>
    <t>Conferment of University Fellowship upon Mrs Clara Weatherall
頒授大學院士榮銜予韋嘉怡女士</t>
  </si>
  <si>
    <t>Conferment of University Fellowship upon Ir Tsui Tack-kong
頒授大學院士榮銜予崔德剛工程師</t>
  </si>
  <si>
    <t>Conferment of University Fellowship upon Mr Kong Qingping
頒授大學院士榮銜予孔慶平先生</t>
  </si>
  <si>
    <t>Conferment of University Fellowship upon Professor Norman W.M. Ko
頒授大學院士榮銜予高華文教授</t>
  </si>
  <si>
    <t>Conferment of University Fellowship upon Mr Clifton Ko Chi-sum, MH
頒授大學院士榮銜予高志森先生</t>
  </si>
  <si>
    <t>Virtual House of Innovation is a technology showroom of The Hong Kong Polytechnic University on the cyberspace integrated with "Education", "Excellence", "Experience" and "Entertainment", showcasing the University's expertise and research output. Visit us now at http://www.polyu.edu.hk/ife/virtualhoi/
「虛擬創新館」是一所結合 「教育」、「卓越成就」、「體驗」和「娛樂」於一身的網上科技展覽館，展現了香港理工大學的研究成果及先進科技。請即參觀 http://www.polyu.edu.hk/ife/virtualhoi/</t>
  </si>
  <si>
    <t>Poly-preneur Night 理大企業家之夜</t>
  </si>
  <si>
    <t>To celebrate PolyU's 75th Anniversary as well as its graduates' entrepreneurial spirit, a themed party "Poly-preneur Night" was organized on 31 May 2012 at Hotel ICON, bringing together over 300 alumni entrepreneurs or the so-called "Poly-preneurs" from different generations. 
「理大企業家之夜」旨在慶祝理大七十五周年校慶，同時展現理大校友的企業精神。這些出色的校友企業家獲邀出席2012年5月31日於理大教研酒店唯港薈舉行的晚宴。</t>
  </si>
  <si>
    <t>['Poly-preneur Night', 'PolyU', 'alumni', 'entrepreneurial spirit', 'Hotel ICON', '理大企業家之夜', '校友', '企業家']</t>
  </si>
  <si>
    <t>理大食物安全及科技研究中心</t>
  </si>
  <si>
    <t>理大成立食物安全及科技研究中心，目的是研發先進技術以保障公眾食品安全。</t>
  </si>
  <si>
    <t>['理大', '食物安全及科技研究中心', '風險管理', '檢測']</t>
  </si>
  <si>
    <t>['理大', 'PolyU', 'RoadShow', 'Faculty of Humanities', 'FH']</t>
  </si>
  <si>
    <t>理大 RoadShow 系列：醫療及社會科學院</t>
  </si>
  <si>
    <t>為配合新學制，理大將服務學習定為必修科；其醫療及社會科學院在2000年已開展相關的項目，鼓勵學生深入接觸社會。</t>
  </si>
  <si>
    <t>['理大', 'PolyU', 'RoadShow', '醫療及社會科學院', 'FHSS']</t>
  </si>
  <si>
    <t>理大 RoadShow 系列：工商管理學院</t>
  </si>
  <si>
    <t>理大工商管理學院為學生提供海外交流、實習、參與比賽、社會服務等機會，令他們成為出色的專業人才及發展全面的世界公民。</t>
  </si>
  <si>
    <t>['理大', 'PolyU', 'RoadShow', '工商管理學院', 'FB', 'Faculty of Business']</t>
  </si>
  <si>
    <t>理大 RoadShow 系列：設計學院</t>
  </si>
  <si>
    <t>理大設計學院在設計教育和設計研究領域具領導地位，其研究成果與香港及鄰近地區息息相關。</t>
  </si>
  <si>
    <t>['理大', 'PolyU', 'RoadShow', '設計學院', 'SD', 'School of Design']</t>
  </si>
  <si>
    <t>理大 RoadShow 系列：酒店及旅遊業管理學院</t>
  </si>
  <si>
    <t>理大酒店及旅遊業管理學院一直與時並進，在業界肩負獨特使命，銳意提升酒店及旅遊教育的質素。</t>
  </si>
  <si>
    <t>['理大', 'PolyU', 'RoadShow', '酒店及旅遊業管理學院', 'SHTM']</t>
  </si>
  <si>
    <t>理大 RoadShow 系列：建設及環境學院</t>
  </si>
  <si>
    <t>理大建設及環境學院近年進行了多項相關的研究，以回應社會的需要...</t>
  </si>
  <si>
    <t>['理大', 'PolyU', 'RoadShow', '建設及環境學院', 'FCE']</t>
  </si>
  <si>
    <t>理大 RoadShow 系列：應用科學及紡織學院</t>
  </si>
  <si>
    <t>應用科學及紡織學院積極從事科研工作，同時提供顧問服務予相關行業。我們的研究工作除基礎科學以外，亦包括藥物及中藥研發、生物科技、食物安全、應用數學、納米及智能材料、時裝設計及紡織技術。</t>
  </si>
  <si>
    <t>['理大', 'PolyU', 'RoadShow', '應用科學及紡織學院', 'FAST']</t>
  </si>
  <si>
    <t>理大 RoadShow 系列：工程學院</t>
  </si>
  <si>
    <t>理大工程學院非常著重基礎及應用研究，無論在國內、外都得到好多嘉許...</t>
  </si>
  <si>
    <t>['理大', 'PolyU', 'RoadShow', '工程學院', 'FENG', 'Faculty of Engineering']</t>
  </si>
  <si>
    <t>香港理工大學建校75周年暨京津校友及學員聯歡晚宴 - 嘉賓分享</t>
  </si>
  <si>
    <t>香港理工大學建校75周年暨京津校友及學員聯歡晚宴，以阮曾媛琪教授與特邀講者 -- 現任信息產業部科技司司長聞庫先生，以及多位來自不同課程的校友的分享為序幕。</t>
  </si>
  <si>
    <t>['香港理工大學建校75周年暨京津校友及學員聯歡晚宴', '阮曾媛琪教授', '信息產業部科技司司長聞庫先生']</t>
  </si>
  <si>
    <t>香港理工大學建校75周年暨京津校友及學員聯歡晚宴</t>
  </si>
  <si>
    <t>香港理工大學建校75周年暨京津校友及學員聯歡晚宴於2月25日在北京圓滿舉行，共超過200人參加，共慶理大75歲生辰。</t>
  </si>
  <si>
    <t>['香港理工大學建校75周年暨京津校友及學員聯歡晚宴', '2月25日', '北京', '理大75歲生辰']</t>
  </si>
  <si>
    <t>凝聚智慧　實踐創意</t>
  </si>
  <si>
    <t>此短片簡介了工程學院畢業生陳天麗同學的一些得獎作品，這些設計不但展現出同學的創意及才華，亦是智慧得以實踐的最佳例證。</t>
  </si>
  <si>
    <t>['PolyU', 'student', 'product', 'design', 'VegLife', 'award', '凝聚智慧', '實踐創意']</t>
  </si>
  <si>
    <t>一個物理治療師的誕生</t>
  </si>
  <si>
    <t>Möbius Strip</t>
  </si>
  <si>
    <t>An animation of the Möbius Strip</t>
  </si>
  <si>
    <t>['Möbius Strip', 'PolyU', 'animation']</t>
  </si>
  <si>
    <t>健康樹苗齊成長　同心關懷創夢想 (4/4)</t>
  </si>
  <si>
    <t>這次活動對理大同學、內地夥伴及所服務的小朋友都有不同的意義。</t>
  </si>
  <si>
    <t>['理大', '護理', '信陽', '白堂學校', '健康評估', 'PolyU', 'nursing']</t>
  </si>
  <si>
    <t>健康樹苗齊成長　同心關懷創夢想 (2/4)</t>
  </si>
  <si>
    <t>同學分享此行目的和經歷，又進一步了解到水源問題對當地兒童的影響。</t>
  </si>
  <si>
    <t>健康樹苗齊成長　同心關懷創夢想 (1/4)</t>
  </si>
  <si>
    <t>理大同學整裝待發，夥拍內地學生一同到河南的小學為學童提供健康評估和教育服務。</t>
  </si>
  <si>
    <t>健康樹苗齊成長　同心關懷創夢想 (3/4)</t>
  </si>
  <si>
    <t>重遇之前服務過的小朋友...</t>
  </si>
  <si>
    <t>奇妙大自然　健康攜手創 (2/4)</t>
  </si>
  <si>
    <t>分享與拍檔、小朋友相處的點滴...</t>
  </si>
  <si>
    <t>['理大', '護理', '河南信陽市', '交流', 'PolyU', 'nursing', 'Henan']</t>
  </si>
  <si>
    <t>奇妙大自然　健康攜手創 (1/4)</t>
  </si>
  <si>
    <t>護理學院師生回到河南信陽市與信陽職業技術學院學生交流，並到農村作健康教育。</t>
  </si>
  <si>
    <t>['理大', '護理', '河南信陽市', '齊崗學校', '交流', 'PolyU', 'nursing', 'Henan']</t>
  </si>
  <si>
    <t>奇妙大自然　健康攜手創 (3/4)</t>
  </si>
  <si>
    <t>再訪三道河學校，感觸良多...</t>
  </si>
  <si>
    <t>['理大', '護理', '河南信陽市', '三道河學校', '交流', 'PolyU', 'nursing Henan']</t>
  </si>
  <si>
    <t>奇妙大自然　健康攜手創 (4/4)</t>
  </si>
  <si>
    <t>"因為他們捨不得，所以我更加捨不得..."</t>
  </si>
  <si>
    <t>牽着你手 陪着你走 健康生活在你手 (1/5)</t>
  </si>
  <si>
    <t>2008年6月15至21日，理大護理系師生到肇慶進行交流，並為當地小學生作健康評估...</t>
  </si>
  <si>
    <t>['理大', '護理', '肇慶', '交流', '健康評估', 'PolyU', 'nursing']</t>
  </si>
  <si>
    <t>牽着你手 陪着你走 健康生活在你手 (2/5)</t>
  </si>
  <si>
    <t>透過遊戲活動向小學生灌輸衛生常識</t>
  </si>
  <si>
    <t>牽着你手 陪着你走 健康生活在你手 (3/5)</t>
  </si>
  <si>
    <t>彼此的關係和感情在數天之間建立起來</t>
  </si>
  <si>
    <t>牽着你手 陪着你走 健康生活在你手 (4/5)</t>
  </si>
  <si>
    <t>要離開，總是依依不捨...</t>
  </si>
  <si>
    <t>牽着你手 陪着你走 健康生活在你手 (5/5)</t>
  </si>
  <si>
    <t>朋友，謝謝你，再見！</t>
  </si>
  <si>
    <t>ID</t>
  </si>
  <si>
    <t>MIN</t>
    <phoneticPr fontId="18" type="noConversion"/>
  </si>
  <si>
    <t>MAX</t>
    <phoneticPr fontId="18" type="noConversion"/>
  </si>
  <si>
    <t>RANGE</t>
    <phoneticPr fontId="18" type="noConversion"/>
  </si>
  <si>
    <t>AVG</t>
    <phoneticPr fontId="18" type="noConversion"/>
  </si>
  <si>
    <t>SD</t>
    <phoneticPr fontId="18" type="noConversion"/>
  </si>
  <si>
    <t>Radar Category</t>
    <phoneticPr fontId="18" type="noConversion"/>
  </si>
  <si>
    <t>AVG. View</t>
    <phoneticPr fontId="18" type="noConversion"/>
  </si>
  <si>
    <t>AVG. Likes</t>
    <phoneticPr fontId="18" type="noConversion"/>
  </si>
  <si>
    <t>AVG. Likes Per View</t>
    <phoneticPr fontId="18" type="noConversion"/>
  </si>
  <si>
    <t>AVG. Duration Per Video</t>
    <phoneticPr fontId="18" type="noConversion"/>
  </si>
  <si>
    <t>AVG. No. of Videos Per Year</t>
    <phoneticPr fontId="18" type="noConversion"/>
  </si>
  <si>
    <t>AVG. Percentage of Hot Videos</t>
    <phoneticPr fontId="18" type="noConversion"/>
  </si>
  <si>
    <t>Title_language</t>
  </si>
  <si>
    <t>channel_name</t>
  </si>
  <si>
    <t>subscribers</t>
  </si>
  <si>
    <t>views</t>
  </si>
  <si>
    <t>total_videos</t>
  </si>
  <si>
    <t>playlist_id</t>
  </si>
  <si>
    <t>UU1OVYBbIxEFAzm_Hc4nvG9w</t>
  </si>
  <si>
    <t>UUkio4asleKcQVRVEM8RnXlQ</t>
  </si>
  <si>
    <t>UUvZ4seZaqaO_A_WPfL-d9WQ</t>
  </si>
  <si>
    <t>UUdRnXk2yE-4olVkgz0tECvw</t>
  </si>
  <si>
    <t>UUeG0cjZClabYTnYZldpCNwQ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</si>
</sst>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dd/mm/yyyy"/>
  </numFmts>
  <fonts count="25" x14ac:knownFonts="1">
    <font>
      <sz val="11"/>
      <color theme="1"/>
      <name val="新細明體"/>
      <family val="2"/>
      <scheme val="minor"/>
    </font>
    <font>
      <sz val="11"/>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1"/>
      <color rgb="FF006100"/>
      <name val="新細明體"/>
      <family val="2"/>
      <scheme val="minor"/>
    </font>
    <font>
      <sz val="11"/>
      <color rgb="FF9C0006"/>
      <name val="新細明體"/>
      <family val="2"/>
      <scheme val="minor"/>
    </font>
    <font>
      <sz val="11"/>
      <color rgb="FF9C5700"/>
      <name val="新細明體"/>
      <family val="2"/>
      <scheme val="minor"/>
    </font>
    <font>
      <sz val="11"/>
      <color rgb="FF3F3F76"/>
      <name val="新細明體"/>
      <family val="2"/>
      <scheme val="minor"/>
    </font>
    <font>
      <b/>
      <sz val="11"/>
      <color rgb="FF3F3F3F"/>
      <name val="新細明體"/>
      <family val="2"/>
      <scheme val="minor"/>
    </font>
    <font>
      <b/>
      <sz val="11"/>
      <color rgb="FFFA7D00"/>
      <name val="新細明體"/>
      <family val="2"/>
      <scheme val="minor"/>
    </font>
    <font>
      <sz val="11"/>
      <color rgb="FFFA7D00"/>
      <name val="新細明體"/>
      <family val="2"/>
      <scheme val="minor"/>
    </font>
    <font>
      <b/>
      <sz val="11"/>
      <color theme="0"/>
      <name val="新細明體"/>
      <family val="2"/>
      <scheme val="minor"/>
    </font>
    <font>
      <sz val="11"/>
      <color rgb="FFFF0000"/>
      <name val="新細明體"/>
      <family val="2"/>
      <scheme val="minor"/>
    </font>
    <font>
      <i/>
      <sz val="11"/>
      <color rgb="FF7F7F7F"/>
      <name val="新細明體"/>
      <family val="2"/>
      <scheme val="minor"/>
    </font>
    <font>
      <b/>
      <sz val="11"/>
      <color theme="1"/>
      <name val="新細明體"/>
      <family val="2"/>
      <scheme val="minor"/>
    </font>
    <font>
      <sz val="11"/>
      <color theme="0"/>
      <name val="新細明體"/>
      <family val="2"/>
      <scheme val="minor"/>
    </font>
    <font>
      <sz val="9"/>
      <name val="新細明體"/>
      <family val="3"/>
      <charset val="136"/>
      <scheme val="minor"/>
    </font>
    <font>
      <b/>
      <sz val="10"/>
      <color theme="1"/>
      <name val="Microsoft YaHei"/>
      <family val="2"/>
    </font>
    <font>
      <sz val="10"/>
      <color theme="1"/>
      <name val="Microsoft YaHei"/>
      <family val="2"/>
    </font>
    <font>
      <b/>
      <i/>
      <sz val="10"/>
      <color theme="1"/>
      <name val="Microsoft YaHei"/>
      <family val="2"/>
      <charset val="134"/>
    </font>
    <font>
      <i/>
      <sz val="10"/>
      <color theme="1"/>
      <name val="Microsoft YaHei"/>
      <family val="2"/>
    </font>
    <font>
      <sz val="11"/>
      <color theme="1"/>
      <name val="新細明體"/>
      <family val="2"/>
      <charset val="136"/>
      <scheme val="minor"/>
    </font>
    <font>
      <sz val="11"/>
      <color rgb="FF000000"/>
      <name val="新細明體"/>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E2EFDA"/>
        <bgColor rgb="FFE2EFDA"/>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rgb="FFA9D08E"/>
      </top>
      <bottom style="thin">
        <color rgb="FFA9D08E"/>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alignment vertical="center"/>
    </xf>
    <xf numFmtId="0" fontId="23" fillId="0" borderId="0">
      <alignment vertical="center"/>
    </xf>
  </cellStyleXfs>
  <cellXfs count="19">
    <xf numFmtId="0" fontId="0" fillId="0" borderId="0" xfId="0"/>
    <xf numFmtId="14" fontId="0" fillId="0" borderId="0" xfId="0" applyNumberFormat="1"/>
    <xf numFmtId="0" fontId="19" fillId="33" borderId="10" xfId="0" applyFont="1" applyFill="1" applyBorder="1" applyAlignment="1">
      <alignment horizontal="center" vertical="center"/>
    </xf>
    <xf numFmtId="0" fontId="19" fillId="33" borderId="10" xfId="0" applyFont="1" applyFill="1" applyBorder="1" applyAlignment="1">
      <alignment horizontal="left" vertical="center" wrapText="1"/>
    </xf>
    <xf numFmtId="0" fontId="21" fillId="34" borderId="10" xfId="0" applyFont="1" applyFill="1" applyBorder="1" applyAlignment="1">
      <alignment horizontal="center" vertical="center"/>
    </xf>
    <xf numFmtId="0" fontId="20" fillId="0" borderId="0" xfId="0" applyFont="1" applyAlignment="1">
      <alignment vertical="center"/>
    </xf>
    <xf numFmtId="0" fontId="19" fillId="0" borderId="10" xfId="0" applyFont="1" applyBorder="1" applyAlignment="1">
      <alignment horizontal="left" vertical="center"/>
    </xf>
    <xf numFmtId="176" fontId="20" fillId="0" borderId="10" xfId="0" applyNumberFormat="1" applyFont="1" applyBorder="1" applyAlignment="1">
      <alignment horizontal="center" vertical="center"/>
    </xf>
    <xf numFmtId="176" fontId="22" fillId="34" borderId="10" xfId="0" applyNumberFormat="1" applyFont="1" applyFill="1" applyBorder="1" applyAlignment="1">
      <alignment horizontal="center" vertical="center"/>
    </xf>
    <xf numFmtId="10" fontId="20" fillId="0" borderId="10" xfId="42" applyNumberFormat="1" applyFont="1" applyBorder="1" applyAlignment="1">
      <alignment horizontal="center" vertical="center"/>
    </xf>
    <xf numFmtId="10" fontId="22" fillId="34" borderId="10" xfId="42" applyNumberFormat="1" applyFont="1" applyFill="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9" fontId="20" fillId="0" borderId="10" xfId="42" applyFont="1" applyBorder="1" applyAlignment="1">
      <alignment horizontal="center" vertical="center"/>
    </xf>
    <xf numFmtId="0" fontId="23" fillId="0" borderId="0" xfId="43" applyAlignment="1"/>
    <xf numFmtId="0" fontId="23" fillId="0" borderId="0" xfId="43">
      <alignment vertical="center"/>
    </xf>
    <xf numFmtId="0" fontId="24" fillId="35" borderId="11" xfId="0" applyFont="1" applyFill="1" applyBorder="1"/>
    <xf numFmtId="0" fontId="0" fillId="0" borderId="0" xfId="0" applyNumberFormat="1"/>
    <xf numFmtId="177"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0B063EA2-DBF0-4F75-BA3C-9DAC7DCAACC3}"/>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177"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ouTube%20University%20Data_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ouTube University Data_Fin (2)"/>
    </sheetNames>
    <sheetDataSet>
      <sheetData sheetId="0"/>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7">
    <queryTableFields count="16">
      <queryTableField id="1" name="Column1" tableColumnId="1"/>
      <queryTableField id="2" name="Channel_name" tableColumnId="2"/>
      <queryTableField id="3" name="Title" tableColumnId="3"/>
      <queryTableField id="16" dataBound="0" tableColumnId="16"/>
      <queryTableField id="4" name="Description" tableColumnId="4"/>
      <queryTableField id="5" name="Category" tableColumnId="5"/>
      <queryTableField id="6" name="Published_date" tableColumnId="6"/>
      <queryTableField id="7" name="Duration" tableColumnId="7"/>
      <queryTableField id="8" name="Tags" tableColumnId="8"/>
      <queryTableField id="9" name="Views" tableColumnId="9"/>
      <queryTableField id="10" name="Likes" tableColumnId="10"/>
      <queryTableField id="11" name="Favourites" tableColumnId="11"/>
      <queryTableField id="12" name="Comments" tableColumnId="12"/>
      <queryTableField id="13" name="Month" tableColumnId="13"/>
      <queryTableField id="14" name="Year" tableColumnId="14"/>
      <queryTableField id="15" name="Category_name"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YouTube_University_Data_Final" displayName="YouTube_University_Data_Final" ref="A1:P1048576" tableType="queryTable" totalsRowShown="0">
  <autoFilter ref="A1:P1048576" xr:uid="{00000000-0009-0000-0100-000001000000}"/>
  <tableColumns count="16">
    <tableColumn id="1" xr3:uid="{00000000-0010-0000-0000-000001000000}" uniqueName="1" name="ID" queryTableFieldId="1"/>
    <tableColumn id="2" xr3:uid="{00000000-0010-0000-0000-000002000000}" uniqueName="2" name="Channel_name" queryTableFieldId="2" dataDxfId="7"/>
    <tableColumn id="3" xr3:uid="{00000000-0010-0000-0000-000003000000}" uniqueName="3" name="Title" queryTableFieldId="3" dataDxfId="6"/>
    <tableColumn id="16" xr3:uid="{B847932C-CF7B-4740-B979-1D3A4DABB6B0}" uniqueName="16" name="Title_language" queryTableFieldId="16" dataDxfId="0">
      <calculatedColumnFormula>VLOOKUP(YouTube_University_Data_Final[[#This Row],[Title]],[1]!YouTube_University_Data_Final[[Title]:[Title_language]],2,FALSE)</calculatedColumnFormula>
    </tableColumn>
    <tableColumn id="4" xr3:uid="{00000000-0010-0000-0000-000004000000}" uniqueName="4" name="Description" queryTableFieldId="4" dataDxfId="5"/>
    <tableColumn id="5" xr3:uid="{00000000-0010-0000-0000-000005000000}" uniqueName="5" name="Category" queryTableFieldId="5"/>
    <tableColumn id="6" xr3:uid="{00000000-0010-0000-0000-000006000000}" uniqueName="6" name="Published_date" queryTableFieldId="6" dataDxfId="4"/>
    <tableColumn id="7" xr3:uid="{00000000-0010-0000-0000-000007000000}" uniqueName="7" name="Duration" queryTableFieldId="7"/>
    <tableColumn id="8" xr3:uid="{00000000-0010-0000-0000-000008000000}" uniqueName="8" name="Tags" queryTableFieldId="8" dataDxfId="3"/>
    <tableColumn id="9" xr3:uid="{00000000-0010-0000-0000-000009000000}" uniqueName="9" name="Views" queryTableFieldId="9"/>
    <tableColumn id="10" xr3:uid="{00000000-0010-0000-0000-00000A000000}" uniqueName="10" name="Likes" queryTableFieldId="10"/>
    <tableColumn id="11" xr3:uid="{00000000-0010-0000-0000-00000B000000}" uniqueName="11" name="Favourites" queryTableFieldId="11"/>
    <tableColumn id="12" xr3:uid="{00000000-0010-0000-0000-00000C000000}" uniqueName="12" name="Comments" queryTableFieldId="12"/>
    <tableColumn id="13" xr3:uid="{00000000-0010-0000-0000-00000D000000}" uniqueName="13" name="Month" queryTableFieldId="13" dataDxfId="2"/>
    <tableColumn id="14" xr3:uid="{00000000-0010-0000-0000-00000E000000}" uniqueName="14" name="Year" queryTableFieldId="14"/>
    <tableColumn id="15" xr3:uid="{00000000-0010-0000-0000-00000F000000}" uniqueName="15" name="Category_name" queryTableFieldId="1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B17E-8754-4D64-A7DC-0180455CFF3D}">
  <dimension ref="A1:F6"/>
  <sheetViews>
    <sheetView tabSelected="1" workbookViewId="0">
      <selection activeCell="H14" sqref="H14"/>
    </sheetView>
  </sheetViews>
  <sheetFormatPr defaultRowHeight="15" x14ac:dyDescent="0.3"/>
  <cols>
    <col min="1" max="1" width="2.5" style="15" bestFit="1" customWidth="1"/>
    <col min="2" max="2" width="38" style="15" bestFit="1" customWidth="1"/>
    <col min="3" max="3" width="11.375" style="15" bestFit="1" customWidth="1"/>
    <col min="4" max="4" width="8.5" style="15" bestFit="1" customWidth="1"/>
    <col min="5" max="5" width="12.125" style="15" bestFit="1" customWidth="1"/>
    <col min="6" max="6" width="33.375" style="15" bestFit="1" customWidth="1"/>
    <col min="7" max="16384" width="9" style="15"/>
  </cols>
  <sheetData>
    <row r="1" spans="1:6" x14ac:dyDescent="0.3">
      <c r="B1" s="15" t="s">
        <v>5386</v>
      </c>
      <c r="C1" s="15" t="s">
        <v>5387</v>
      </c>
      <c r="D1" s="15" t="s">
        <v>5388</v>
      </c>
      <c r="E1" s="15" t="s">
        <v>5389</v>
      </c>
      <c r="F1" s="15" t="s">
        <v>5390</v>
      </c>
    </row>
    <row r="2" spans="1:6" x14ac:dyDescent="0.3">
      <c r="A2" s="15">
        <v>0</v>
      </c>
      <c r="B2" s="15" t="s">
        <v>1556</v>
      </c>
      <c r="C2" s="15">
        <v>3200</v>
      </c>
      <c r="D2" s="15">
        <v>4201343</v>
      </c>
      <c r="E2" s="15">
        <v>412</v>
      </c>
      <c r="F2" s="15" t="s">
        <v>5391</v>
      </c>
    </row>
    <row r="3" spans="1:6" x14ac:dyDescent="0.3">
      <c r="A3" s="15">
        <v>1</v>
      </c>
      <c r="B3" s="15" t="s">
        <v>1921</v>
      </c>
      <c r="C3" s="15">
        <v>7430</v>
      </c>
      <c r="D3" s="15">
        <v>3307005</v>
      </c>
      <c r="E3" s="15">
        <v>655</v>
      </c>
      <c r="F3" s="15" t="s">
        <v>5392</v>
      </c>
    </row>
    <row r="4" spans="1:6" x14ac:dyDescent="0.3">
      <c r="A4" s="15">
        <v>2</v>
      </c>
      <c r="B4" s="15" t="s">
        <v>520</v>
      </c>
      <c r="C4" s="15">
        <v>11400</v>
      </c>
      <c r="D4" s="15">
        <v>2303723</v>
      </c>
      <c r="E4" s="15">
        <v>692</v>
      </c>
      <c r="F4" s="15" t="s">
        <v>5393</v>
      </c>
    </row>
    <row r="5" spans="1:6" x14ac:dyDescent="0.3">
      <c r="A5" s="15">
        <v>3</v>
      </c>
      <c r="B5" s="15" t="s">
        <v>14</v>
      </c>
      <c r="C5" s="15">
        <v>4450</v>
      </c>
      <c r="D5" s="15">
        <v>707562</v>
      </c>
      <c r="E5" s="15">
        <v>414</v>
      </c>
      <c r="F5" s="15" t="s">
        <v>5394</v>
      </c>
    </row>
    <row r="6" spans="1:6" x14ac:dyDescent="0.3">
      <c r="A6" s="15">
        <v>4</v>
      </c>
      <c r="B6" s="15" t="s">
        <v>1443</v>
      </c>
      <c r="C6" s="15">
        <v>12300</v>
      </c>
      <c r="D6" s="15">
        <v>2130683</v>
      </c>
      <c r="E6" s="15">
        <v>531</v>
      </c>
      <c r="F6" s="15" t="s">
        <v>5395</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10"/>
  <sheetViews>
    <sheetView workbookViewId="0">
      <selection activeCell="D2708" sqref="D2708"/>
    </sheetView>
  </sheetViews>
  <sheetFormatPr defaultRowHeight="15" x14ac:dyDescent="0.3"/>
  <cols>
    <col min="1" max="1" width="10.5" bestFit="1" customWidth="1"/>
    <col min="2" max="2" width="16" style="17" customWidth="1"/>
    <col min="3" max="3" width="92.25" style="17" customWidth="1"/>
    <col min="4" max="4" width="14.875" bestFit="1" customWidth="1"/>
    <col min="5" max="5" width="80.75" style="17" bestFit="1" customWidth="1"/>
    <col min="6" max="6" width="10.5" bestFit="1" customWidth="1"/>
    <col min="7" max="7" width="16.125" style="18" bestFit="1" customWidth="1"/>
    <col min="8" max="8" width="10.5" bestFit="1" customWidth="1"/>
    <col min="9" max="9" width="80.75" style="17" bestFit="1" customWidth="1"/>
    <col min="10" max="10" width="8" bestFit="1" customWidth="1"/>
    <col min="11" max="11" width="7.125" bestFit="1" customWidth="1"/>
    <col min="12" max="12" width="11.875" bestFit="1" customWidth="1"/>
    <col min="13" max="13" width="12.125" bestFit="1" customWidth="1"/>
    <col min="14" max="14" width="8.875" style="17" bestFit="1" customWidth="1"/>
    <col min="15" max="15" width="6.875" bestFit="1" customWidth="1"/>
    <col min="16" max="16" width="18.875" style="17" bestFit="1" customWidth="1"/>
  </cols>
  <sheetData>
    <row r="1" spans="1:16" x14ac:dyDescent="0.3">
      <c r="A1" t="s">
        <v>5372</v>
      </c>
      <c r="B1" t="s">
        <v>0</v>
      </c>
      <c r="C1" t="s">
        <v>1</v>
      </c>
      <c r="D1" t="s">
        <v>5385</v>
      </c>
      <c r="E1" t="s">
        <v>2</v>
      </c>
      <c r="F1" t="s">
        <v>3</v>
      </c>
      <c r="G1" t="s">
        <v>4</v>
      </c>
      <c r="H1" t="s">
        <v>5</v>
      </c>
      <c r="I1" t="s">
        <v>6</v>
      </c>
      <c r="J1" t="s">
        <v>7</v>
      </c>
      <c r="K1" t="s">
        <v>8</v>
      </c>
      <c r="L1" t="s">
        <v>9</v>
      </c>
      <c r="M1" t="s">
        <v>10</v>
      </c>
      <c r="N1" t="s">
        <v>11</v>
      </c>
      <c r="O1" t="s">
        <v>12</v>
      </c>
      <c r="P1" t="s">
        <v>13</v>
      </c>
    </row>
    <row r="2" spans="1:16" x14ac:dyDescent="0.3">
      <c r="A2">
        <v>0</v>
      </c>
      <c r="B2" t="s">
        <v>14</v>
      </c>
      <c r="C2" t="s">
        <v>15</v>
      </c>
      <c r="D2" t="str">
        <f>VLOOKUP(YouTube_University_Data_Final[[#This Row],[Title]],[1]!YouTube_University_Data_Final[[Title]:[Title_language]],2,FALSE)</f>
        <v>English</v>
      </c>
      <c r="E2" t="s">
        <v>2940</v>
      </c>
      <c r="F2">
        <v>27</v>
      </c>
      <c r="G2" s="1">
        <v>44838</v>
      </c>
      <c r="H2">
        <v>147</v>
      </c>
      <c r="I2" t="s">
        <v>16</v>
      </c>
      <c r="J2">
        <v>35</v>
      </c>
      <c r="K2">
        <v>1</v>
      </c>
      <c r="L2">
        <v>0</v>
      </c>
      <c r="M2">
        <v>0</v>
      </c>
      <c r="N2" t="s">
        <v>17</v>
      </c>
      <c r="O2">
        <v>2022</v>
      </c>
      <c r="P2" t="s">
        <v>18</v>
      </c>
    </row>
    <row r="3" spans="1:16" x14ac:dyDescent="0.3">
      <c r="A3">
        <v>1</v>
      </c>
      <c r="B3" t="s">
        <v>14</v>
      </c>
      <c r="C3" t="s">
        <v>19</v>
      </c>
      <c r="D3" t="str">
        <f>VLOOKUP(YouTube_University_Data_Final[[#This Row],[Title]],[1]!YouTube_University_Data_Final[[Title]:[Title_language]],2,FALSE)</f>
        <v>English</v>
      </c>
      <c r="E3" t="s">
        <v>2941</v>
      </c>
      <c r="F3">
        <v>27</v>
      </c>
      <c r="G3" s="1">
        <v>44837</v>
      </c>
      <c r="H3">
        <v>155</v>
      </c>
      <c r="I3" t="s">
        <v>16</v>
      </c>
      <c r="J3">
        <v>70</v>
      </c>
      <c r="K3">
        <v>5</v>
      </c>
      <c r="L3">
        <v>0</v>
      </c>
      <c r="M3">
        <v>0</v>
      </c>
      <c r="N3" t="s">
        <v>17</v>
      </c>
      <c r="O3">
        <v>2022</v>
      </c>
      <c r="P3" t="s">
        <v>18</v>
      </c>
    </row>
    <row r="4" spans="1:16" x14ac:dyDescent="0.3">
      <c r="A4">
        <v>2</v>
      </c>
      <c r="B4" t="s">
        <v>14</v>
      </c>
      <c r="C4" t="s">
        <v>20</v>
      </c>
      <c r="D4" t="str">
        <f>VLOOKUP(YouTube_University_Data_Final[[#This Row],[Title]],[1]!YouTube_University_Data_Final[[Title]:[Title_language]],2,FALSE)</f>
        <v>English</v>
      </c>
      <c r="E4" t="s">
        <v>2942</v>
      </c>
      <c r="F4">
        <v>27</v>
      </c>
      <c r="G4" s="1">
        <v>44837</v>
      </c>
      <c r="H4">
        <v>144</v>
      </c>
      <c r="I4" t="s">
        <v>16</v>
      </c>
      <c r="J4">
        <v>77</v>
      </c>
      <c r="K4">
        <v>5</v>
      </c>
      <c r="L4">
        <v>0</v>
      </c>
      <c r="M4">
        <v>0</v>
      </c>
      <c r="N4" t="s">
        <v>17</v>
      </c>
      <c r="O4">
        <v>2022</v>
      </c>
      <c r="P4" t="s">
        <v>18</v>
      </c>
    </row>
    <row r="5" spans="1:16" x14ac:dyDescent="0.3">
      <c r="A5">
        <v>3</v>
      </c>
      <c r="B5" t="s">
        <v>14</v>
      </c>
      <c r="C5" t="s">
        <v>2943</v>
      </c>
      <c r="D5" t="str">
        <f>VLOOKUP(YouTube_University_Data_Final[[#This Row],[Title]],[1]!YouTube_University_Data_Final[[Title]:[Title_language]],2,FALSE)</f>
        <v>English</v>
      </c>
      <c r="E5" t="s">
        <v>2944</v>
      </c>
      <c r="F5">
        <v>27</v>
      </c>
      <c r="G5" s="1">
        <v>44835</v>
      </c>
      <c r="H5">
        <v>1054</v>
      </c>
      <c r="I5" t="s">
        <v>16</v>
      </c>
      <c r="J5">
        <v>697</v>
      </c>
      <c r="K5">
        <v>27</v>
      </c>
      <c r="L5">
        <v>0</v>
      </c>
      <c r="M5">
        <v>0</v>
      </c>
      <c r="N5" t="s">
        <v>17</v>
      </c>
      <c r="O5">
        <v>2022</v>
      </c>
      <c r="P5" t="s">
        <v>18</v>
      </c>
    </row>
    <row r="6" spans="1:16" x14ac:dyDescent="0.3">
      <c r="A6">
        <v>4</v>
      </c>
      <c r="B6" t="s">
        <v>14</v>
      </c>
      <c r="C6" t="s">
        <v>2945</v>
      </c>
      <c r="D6" t="str">
        <f>VLOOKUP(YouTube_University_Data_Final[[#This Row],[Title]],[1]!YouTube_University_Data_Final[[Title]:[Title_language]],2,FALSE)</f>
        <v>Chinese</v>
      </c>
      <c r="E6" t="s">
        <v>2944</v>
      </c>
      <c r="F6">
        <v>27</v>
      </c>
      <c r="G6" s="1">
        <v>44832</v>
      </c>
      <c r="H6">
        <v>91</v>
      </c>
      <c r="I6" t="s">
        <v>16</v>
      </c>
      <c r="J6">
        <v>34</v>
      </c>
      <c r="K6">
        <v>1</v>
      </c>
      <c r="L6">
        <v>0</v>
      </c>
      <c r="M6">
        <v>1</v>
      </c>
      <c r="N6" t="s">
        <v>21</v>
      </c>
      <c r="O6">
        <v>2022</v>
      </c>
      <c r="P6" t="s">
        <v>18</v>
      </c>
    </row>
    <row r="7" spans="1:16" x14ac:dyDescent="0.3">
      <c r="A7">
        <v>5</v>
      </c>
      <c r="B7" t="s">
        <v>14</v>
      </c>
      <c r="C7" t="s">
        <v>2946</v>
      </c>
      <c r="D7" t="str">
        <f>VLOOKUP(YouTube_University_Data_Final[[#This Row],[Title]],[1]!YouTube_University_Data_Final[[Title]:[Title_language]],2,FALSE)</f>
        <v>English</v>
      </c>
      <c r="E7" t="s">
        <v>22</v>
      </c>
      <c r="F7">
        <v>27</v>
      </c>
      <c r="G7" s="1">
        <v>44832</v>
      </c>
      <c r="H7">
        <v>91</v>
      </c>
      <c r="I7" t="s">
        <v>16</v>
      </c>
      <c r="J7">
        <v>16</v>
      </c>
      <c r="K7">
        <v>1</v>
      </c>
      <c r="L7">
        <v>0</v>
      </c>
      <c r="M7">
        <v>1</v>
      </c>
      <c r="N7" t="s">
        <v>21</v>
      </c>
      <c r="O7">
        <v>2022</v>
      </c>
      <c r="P7" t="s">
        <v>18</v>
      </c>
    </row>
    <row r="8" spans="1:16" x14ac:dyDescent="0.3">
      <c r="A8">
        <v>6</v>
      </c>
      <c r="B8" t="s">
        <v>14</v>
      </c>
      <c r="C8" t="s">
        <v>2947</v>
      </c>
      <c r="D8" t="str">
        <f>VLOOKUP(YouTube_University_Data_Final[[#This Row],[Title]],[1]!YouTube_University_Data_Final[[Title]:[Title_language]],2,FALSE)</f>
        <v>Chinese</v>
      </c>
      <c r="E8" t="s">
        <v>2944</v>
      </c>
      <c r="F8">
        <v>27</v>
      </c>
      <c r="G8" s="1">
        <v>44823</v>
      </c>
      <c r="H8">
        <v>60</v>
      </c>
      <c r="I8" t="s">
        <v>16</v>
      </c>
      <c r="J8">
        <v>29</v>
      </c>
      <c r="K8">
        <v>1</v>
      </c>
      <c r="L8">
        <v>0</v>
      </c>
      <c r="M8">
        <v>0</v>
      </c>
      <c r="N8" t="s">
        <v>21</v>
      </c>
      <c r="O8">
        <v>2022</v>
      </c>
      <c r="P8" t="s">
        <v>18</v>
      </c>
    </row>
    <row r="9" spans="1:16" x14ac:dyDescent="0.3">
      <c r="A9">
        <v>7</v>
      </c>
      <c r="B9" t="s">
        <v>14</v>
      </c>
      <c r="C9" t="s">
        <v>23</v>
      </c>
      <c r="D9" t="str">
        <f>VLOOKUP(YouTube_University_Data_Final[[#This Row],[Title]],[1]!YouTube_University_Data_Final[[Title]:[Title_language]],2,FALSE)</f>
        <v>English</v>
      </c>
      <c r="E9" t="s">
        <v>24</v>
      </c>
      <c r="F9">
        <v>27</v>
      </c>
      <c r="G9" s="1">
        <v>44823</v>
      </c>
      <c r="H9">
        <v>2</v>
      </c>
      <c r="I9" t="s">
        <v>16</v>
      </c>
      <c r="J9">
        <v>11</v>
      </c>
      <c r="K9">
        <v>0</v>
      </c>
      <c r="L9">
        <v>0</v>
      </c>
      <c r="M9">
        <v>0</v>
      </c>
      <c r="N9" t="s">
        <v>21</v>
      </c>
      <c r="O9">
        <v>2022</v>
      </c>
      <c r="P9" t="s">
        <v>18</v>
      </c>
    </row>
    <row r="10" spans="1:16" x14ac:dyDescent="0.3">
      <c r="A10">
        <v>8</v>
      </c>
      <c r="B10" t="s">
        <v>14</v>
      </c>
      <c r="C10" t="s">
        <v>2948</v>
      </c>
      <c r="D10" t="str">
        <f>VLOOKUP(YouTube_University_Data_Final[[#This Row],[Title]],[1]!YouTube_University_Data_Final[[Title]:[Title_language]],2,FALSE)</f>
        <v>Chinese</v>
      </c>
      <c r="E10" t="s">
        <v>2944</v>
      </c>
      <c r="F10">
        <v>27</v>
      </c>
      <c r="G10" s="1">
        <v>44818</v>
      </c>
      <c r="H10">
        <v>73</v>
      </c>
      <c r="I10" t="s">
        <v>16</v>
      </c>
      <c r="J10">
        <v>47</v>
      </c>
      <c r="K10">
        <v>1</v>
      </c>
      <c r="L10">
        <v>0</v>
      </c>
      <c r="M10">
        <v>0</v>
      </c>
      <c r="N10" t="s">
        <v>21</v>
      </c>
      <c r="O10">
        <v>2022</v>
      </c>
      <c r="P10" t="s">
        <v>18</v>
      </c>
    </row>
    <row r="11" spans="1:16" x14ac:dyDescent="0.3">
      <c r="A11">
        <v>9</v>
      </c>
      <c r="B11" t="s">
        <v>14</v>
      </c>
      <c r="C11" t="s">
        <v>25</v>
      </c>
      <c r="D11" t="str">
        <f>VLOOKUP(YouTube_University_Data_Final[[#This Row],[Title]],[1]!YouTube_University_Data_Final[[Title]:[Title_language]],2,FALSE)</f>
        <v>English</v>
      </c>
      <c r="E11" t="s">
        <v>26</v>
      </c>
      <c r="F11">
        <v>27</v>
      </c>
      <c r="G11" s="1">
        <v>44818</v>
      </c>
      <c r="H11">
        <v>74</v>
      </c>
      <c r="I11" t="s">
        <v>16</v>
      </c>
      <c r="J11">
        <v>59</v>
      </c>
      <c r="K11">
        <v>3</v>
      </c>
      <c r="L11">
        <v>0</v>
      </c>
      <c r="M11">
        <v>0</v>
      </c>
      <c r="N11" t="s">
        <v>21</v>
      </c>
      <c r="O11">
        <v>2022</v>
      </c>
      <c r="P11" t="s">
        <v>18</v>
      </c>
    </row>
    <row r="12" spans="1:16" x14ac:dyDescent="0.3">
      <c r="A12">
        <v>10</v>
      </c>
      <c r="B12" t="s">
        <v>14</v>
      </c>
      <c r="C12" t="s">
        <v>27</v>
      </c>
      <c r="D12" t="str">
        <f>VLOOKUP(YouTube_University_Data_Final[[#This Row],[Title]],[1]!YouTube_University_Data_Final[[Title]:[Title_language]],2,FALSE)</f>
        <v>English</v>
      </c>
      <c r="E12" t="s">
        <v>2949</v>
      </c>
      <c r="F12">
        <v>27</v>
      </c>
      <c r="G12" s="1">
        <v>44818</v>
      </c>
      <c r="H12">
        <v>165</v>
      </c>
      <c r="I12" t="s">
        <v>16</v>
      </c>
      <c r="J12">
        <v>39</v>
      </c>
      <c r="K12">
        <v>1</v>
      </c>
      <c r="L12">
        <v>0</v>
      </c>
      <c r="M12">
        <v>0</v>
      </c>
      <c r="N12" t="s">
        <v>21</v>
      </c>
      <c r="O12">
        <v>2022</v>
      </c>
      <c r="P12" t="s">
        <v>18</v>
      </c>
    </row>
    <row r="13" spans="1:16" x14ac:dyDescent="0.3">
      <c r="A13">
        <v>11</v>
      </c>
      <c r="B13" t="s">
        <v>14</v>
      </c>
      <c r="C13" t="s">
        <v>28</v>
      </c>
      <c r="D13" t="str">
        <f>VLOOKUP(YouTube_University_Data_Final[[#This Row],[Title]],[1]!YouTube_University_Data_Final[[Title]:[Title_language]],2,FALSE)</f>
        <v>English</v>
      </c>
      <c r="E13" t="s">
        <v>29</v>
      </c>
      <c r="F13">
        <v>27</v>
      </c>
      <c r="G13" s="1">
        <v>44818</v>
      </c>
      <c r="H13">
        <v>381</v>
      </c>
      <c r="I13" t="s">
        <v>16</v>
      </c>
      <c r="J13">
        <v>209</v>
      </c>
      <c r="K13">
        <v>5</v>
      </c>
      <c r="L13">
        <v>0</v>
      </c>
      <c r="M13">
        <v>0</v>
      </c>
      <c r="N13" t="s">
        <v>21</v>
      </c>
      <c r="O13">
        <v>2022</v>
      </c>
      <c r="P13" t="s">
        <v>18</v>
      </c>
    </row>
    <row r="14" spans="1:16" x14ac:dyDescent="0.3">
      <c r="A14">
        <v>12</v>
      </c>
      <c r="B14" t="s">
        <v>14</v>
      </c>
      <c r="C14" t="s">
        <v>30</v>
      </c>
      <c r="D14" t="str">
        <f>VLOOKUP(YouTube_University_Data_Final[[#This Row],[Title]],[1]!YouTube_University_Data_Final[[Title]:[Title_language]],2,FALSE)</f>
        <v>English</v>
      </c>
      <c r="E14" t="s">
        <v>31</v>
      </c>
      <c r="F14">
        <v>27</v>
      </c>
      <c r="G14" s="1">
        <v>44813</v>
      </c>
      <c r="H14">
        <v>119</v>
      </c>
      <c r="I14" t="s">
        <v>16</v>
      </c>
      <c r="J14">
        <v>124</v>
      </c>
      <c r="K14">
        <v>2</v>
      </c>
      <c r="L14">
        <v>0</v>
      </c>
      <c r="M14">
        <v>0</v>
      </c>
      <c r="N14" t="s">
        <v>21</v>
      </c>
      <c r="O14">
        <v>2022</v>
      </c>
      <c r="P14" t="s">
        <v>18</v>
      </c>
    </row>
    <row r="15" spans="1:16" x14ac:dyDescent="0.3">
      <c r="A15">
        <v>13</v>
      </c>
      <c r="B15" t="s">
        <v>14</v>
      </c>
      <c r="C15" t="s">
        <v>32</v>
      </c>
      <c r="D15" t="str">
        <f>VLOOKUP(YouTube_University_Data_Final[[#This Row],[Title]],[1]!YouTube_University_Data_Final[[Title]:[Title_language]],2,FALSE)</f>
        <v>English</v>
      </c>
      <c r="E15" t="s">
        <v>2944</v>
      </c>
      <c r="F15">
        <v>27</v>
      </c>
      <c r="G15" s="1">
        <v>44812</v>
      </c>
      <c r="H15">
        <v>573</v>
      </c>
      <c r="I15" t="s">
        <v>16</v>
      </c>
      <c r="J15">
        <v>190</v>
      </c>
      <c r="K15">
        <v>9</v>
      </c>
      <c r="L15">
        <v>0</v>
      </c>
      <c r="M15">
        <v>0</v>
      </c>
      <c r="N15" t="s">
        <v>21</v>
      </c>
      <c r="O15">
        <v>2022</v>
      </c>
      <c r="P15" t="s">
        <v>18</v>
      </c>
    </row>
    <row r="16" spans="1:16" x14ac:dyDescent="0.3">
      <c r="A16">
        <v>14</v>
      </c>
      <c r="B16" t="s">
        <v>14</v>
      </c>
      <c r="C16" t="s">
        <v>33</v>
      </c>
      <c r="D16" t="str">
        <f>VLOOKUP(YouTube_University_Data_Final[[#This Row],[Title]],[1]!YouTube_University_Data_Final[[Title]:[Title_language]],2,FALSE)</f>
        <v>English</v>
      </c>
      <c r="E16" t="s">
        <v>34</v>
      </c>
      <c r="F16">
        <v>27</v>
      </c>
      <c r="G16" s="1">
        <v>44812</v>
      </c>
      <c r="H16">
        <v>227</v>
      </c>
      <c r="I16" t="s">
        <v>16</v>
      </c>
      <c r="J16">
        <v>306</v>
      </c>
      <c r="K16">
        <v>8</v>
      </c>
      <c r="L16">
        <v>0</v>
      </c>
      <c r="M16">
        <v>1</v>
      </c>
      <c r="N16" t="s">
        <v>21</v>
      </c>
      <c r="O16">
        <v>2022</v>
      </c>
      <c r="P16" t="s">
        <v>18</v>
      </c>
    </row>
    <row r="17" spans="1:16" x14ac:dyDescent="0.3">
      <c r="A17">
        <v>15</v>
      </c>
      <c r="B17" t="s">
        <v>14</v>
      </c>
      <c r="C17" t="s">
        <v>35</v>
      </c>
      <c r="D17" t="str">
        <f>VLOOKUP(YouTube_University_Data_Final[[#This Row],[Title]],[1]!YouTube_University_Data_Final[[Title]:[Title_language]],2,FALSE)</f>
        <v>English</v>
      </c>
      <c r="E17" t="s">
        <v>2944</v>
      </c>
      <c r="F17">
        <v>27</v>
      </c>
      <c r="G17" s="1">
        <v>44811</v>
      </c>
      <c r="H17">
        <v>145</v>
      </c>
      <c r="I17" t="s">
        <v>16</v>
      </c>
      <c r="J17">
        <v>313</v>
      </c>
      <c r="K17">
        <v>6</v>
      </c>
      <c r="L17">
        <v>0</v>
      </c>
      <c r="M17">
        <v>0</v>
      </c>
      <c r="N17" t="s">
        <v>21</v>
      </c>
      <c r="O17">
        <v>2022</v>
      </c>
      <c r="P17" t="s">
        <v>18</v>
      </c>
    </row>
    <row r="18" spans="1:16" x14ac:dyDescent="0.3">
      <c r="A18">
        <v>16</v>
      </c>
      <c r="B18" t="s">
        <v>14</v>
      </c>
      <c r="C18" t="s">
        <v>36</v>
      </c>
      <c r="D18" t="str">
        <f>VLOOKUP(YouTube_University_Data_Final[[#This Row],[Title]],[1]!YouTube_University_Data_Final[[Title]:[Title_language]],2,FALSE)</f>
        <v>English</v>
      </c>
      <c r="E18" t="s">
        <v>2944</v>
      </c>
      <c r="F18">
        <v>27</v>
      </c>
      <c r="G18" s="1">
        <v>44810</v>
      </c>
      <c r="H18">
        <v>4760</v>
      </c>
      <c r="I18" t="s">
        <v>16</v>
      </c>
      <c r="J18">
        <v>147</v>
      </c>
      <c r="K18">
        <v>2</v>
      </c>
      <c r="L18">
        <v>0</v>
      </c>
      <c r="M18">
        <v>0</v>
      </c>
      <c r="N18" t="s">
        <v>21</v>
      </c>
      <c r="O18">
        <v>2022</v>
      </c>
      <c r="P18" t="s">
        <v>18</v>
      </c>
    </row>
    <row r="19" spans="1:16" x14ac:dyDescent="0.3">
      <c r="A19">
        <v>17</v>
      </c>
      <c r="B19" t="s">
        <v>14</v>
      </c>
      <c r="C19" t="s">
        <v>37</v>
      </c>
      <c r="D19" t="str">
        <f>VLOOKUP(YouTube_University_Data_Final[[#This Row],[Title]],[1]!YouTube_University_Data_Final[[Title]:[Title_language]],2,FALSE)</f>
        <v>English</v>
      </c>
      <c r="E19" t="s">
        <v>38</v>
      </c>
      <c r="F19">
        <v>27</v>
      </c>
      <c r="G19" s="1">
        <v>44806</v>
      </c>
      <c r="H19">
        <v>139</v>
      </c>
      <c r="I19" t="s">
        <v>16</v>
      </c>
      <c r="J19">
        <v>391</v>
      </c>
      <c r="K19">
        <v>6</v>
      </c>
      <c r="L19">
        <v>0</v>
      </c>
      <c r="M19">
        <v>0</v>
      </c>
      <c r="N19" t="s">
        <v>21</v>
      </c>
      <c r="O19">
        <v>2022</v>
      </c>
      <c r="P19" t="s">
        <v>18</v>
      </c>
    </row>
    <row r="20" spans="1:16" x14ac:dyDescent="0.3">
      <c r="A20">
        <v>18</v>
      </c>
      <c r="B20" t="s">
        <v>14</v>
      </c>
      <c r="C20" t="s">
        <v>39</v>
      </c>
      <c r="D20" t="str">
        <f>VLOOKUP(YouTube_University_Data_Final[[#This Row],[Title]],[1]!YouTube_University_Data_Final[[Title]:[Title_language]],2,FALSE)</f>
        <v>English</v>
      </c>
      <c r="E20" t="s">
        <v>40</v>
      </c>
      <c r="F20">
        <v>27</v>
      </c>
      <c r="G20" s="1">
        <v>44806</v>
      </c>
      <c r="H20">
        <v>744</v>
      </c>
      <c r="I20" t="s">
        <v>16</v>
      </c>
      <c r="J20">
        <v>208</v>
      </c>
      <c r="K20">
        <v>2</v>
      </c>
      <c r="L20">
        <v>0</v>
      </c>
      <c r="M20">
        <v>0</v>
      </c>
      <c r="N20" t="s">
        <v>21</v>
      </c>
      <c r="O20">
        <v>2022</v>
      </c>
      <c r="P20" t="s">
        <v>18</v>
      </c>
    </row>
    <row r="21" spans="1:16" x14ac:dyDescent="0.3">
      <c r="A21">
        <v>19</v>
      </c>
      <c r="B21" t="s">
        <v>14</v>
      </c>
      <c r="C21" t="s">
        <v>41</v>
      </c>
      <c r="D21" t="str">
        <f>VLOOKUP(YouTube_University_Data_Final[[#This Row],[Title]],[1]!YouTube_University_Data_Final[[Title]:[Title_language]],2,FALSE)</f>
        <v>English</v>
      </c>
      <c r="E21" t="s">
        <v>2944</v>
      </c>
      <c r="F21">
        <v>27</v>
      </c>
      <c r="G21" s="1">
        <v>44805</v>
      </c>
      <c r="H21">
        <v>1772</v>
      </c>
      <c r="I21" t="s">
        <v>16</v>
      </c>
      <c r="J21">
        <v>267</v>
      </c>
      <c r="K21">
        <v>1</v>
      </c>
      <c r="L21">
        <v>0</v>
      </c>
      <c r="M21">
        <v>1</v>
      </c>
      <c r="N21" t="s">
        <v>21</v>
      </c>
      <c r="O21">
        <v>2022</v>
      </c>
      <c r="P21" t="s">
        <v>18</v>
      </c>
    </row>
    <row r="22" spans="1:16" x14ac:dyDescent="0.3">
      <c r="A22">
        <v>20</v>
      </c>
      <c r="B22" t="s">
        <v>14</v>
      </c>
      <c r="C22" t="s">
        <v>42</v>
      </c>
      <c r="D22" t="str">
        <f>VLOOKUP(YouTube_University_Data_Final[[#This Row],[Title]],[1]!YouTube_University_Data_Final[[Title]:[Title_language]],2,FALSE)</f>
        <v>English</v>
      </c>
      <c r="E22" t="s">
        <v>2950</v>
      </c>
      <c r="F22">
        <v>27</v>
      </c>
      <c r="G22" s="1">
        <v>44805</v>
      </c>
      <c r="H22">
        <v>48</v>
      </c>
      <c r="I22" t="s">
        <v>16</v>
      </c>
      <c r="J22">
        <v>344</v>
      </c>
      <c r="K22">
        <v>1</v>
      </c>
      <c r="L22">
        <v>0</v>
      </c>
      <c r="M22">
        <v>0</v>
      </c>
      <c r="N22" t="s">
        <v>21</v>
      </c>
      <c r="O22">
        <v>2022</v>
      </c>
      <c r="P22" t="s">
        <v>18</v>
      </c>
    </row>
    <row r="23" spans="1:16" x14ac:dyDescent="0.3">
      <c r="A23">
        <v>21</v>
      </c>
      <c r="B23" t="s">
        <v>14</v>
      </c>
      <c r="C23" t="s">
        <v>43</v>
      </c>
      <c r="D23" t="str">
        <f>VLOOKUP(YouTube_University_Data_Final[[#This Row],[Title]],[1]!YouTube_University_Data_Final[[Title]:[Title_language]],2,FALSE)</f>
        <v>English</v>
      </c>
      <c r="E23" t="s">
        <v>44</v>
      </c>
      <c r="F23">
        <v>27</v>
      </c>
      <c r="G23" s="1">
        <v>44805</v>
      </c>
      <c r="H23">
        <v>403</v>
      </c>
      <c r="I23" t="s">
        <v>16</v>
      </c>
      <c r="J23">
        <v>411</v>
      </c>
      <c r="K23">
        <v>7</v>
      </c>
      <c r="L23">
        <v>0</v>
      </c>
      <c r="M23">
        <v>0</v>
      </c>
      <c r="N23" t="s">
        <v>21</v>
      </c>
      <c r="O23">
        <v>2022</v>
      </c>
      <c r="P23" t="s">
        <v>18</v>
      </c>
    </row>
    <row r="24" spans="1:16" x14ac:dyDescent="0.3">
      <c r="A24">
        <v>22</v>
      </c>
      <c r="B24" t="s">
        <v>14</v>
      </c>
      <c r="C24" t="s">
        <v>45</v>
      </c>
      <c r="D24" t="str">
        <f>VLOOKUP(YouTube_University_Data_Final[[#This Row],[Title]],[1]!YouTube_University_Data_Final[[Title]:[Title_language]],2,FALSE)</f>
        <v>English</v>
      </c>
      <c r="E24" t="s">
        <v>2944</v>
      </c>
      <c r="F24">
        <v>27</v>
      </c>
      <c r="G24" s="1">
        <v>44805</v>
      </c>
      <c r="H24">
        <v>101</v>
      </c>
      <c r="I24" t="s">
        <v>16</v>
      </c>
      <c r="J24">
        <v>478</v>
      </c>
      <c r="K24">
        <v>9</v>
      </c>
      <c r="L24">
        <v>0</v>
      </c>
      <c r="M24">
        <v>1</v>
      </c>
      <c r="N24" t="s">
        <v>21</v>
      </c>
      <c r="O24">
        <v>2022</v>
      </c>
      <c r="P24" t="s">
        <v>18</v>
      </c>
    </row>
    <row r="25" spans="1:16" x14ac:dyDescent="0.3">
      <c r="A25">
        <v>23</v>
      </c>
      <c r="B25" t="s">
        <v>14</v>
      </c>
      <c r="C25" t="s">
        <v>46</v>
      </c>
      <c r="D25" t="str">
        <f>VLOOKUP(YouTube_University_Data_Final[[#This Row],[Title]],[1]!YouTube_University_Data_Final[[Title]:[Title_language]],2,FALSE)</f>
        <v>English</v>
      </c>
      <c r="E25" t="s">
        <v>47</v>
      </c>
      <c r="F25">
        <v>27</v>
      </c>
      <c r="G25" s="1">
        <v>44803</v>
      </c>
      <c r="H25">
        <v>2</v>
      </c>
      <c r="I25" t="s">
        <v>16</v>
      </c>
      <c r="J25">
        <v>338</v>
      </c>
      <c r="K25">
        <v>6</v>
      </c>
      <c r="L25">
        <v>0</v>
      </c>
      <c r="M25">
        <v>0</v>
      </c>
      <c r="N25" t="s">
        <v>48</v>
      </c>
      <c r="O25">
        <v>2022</v>
      </c>
      <c r="P25" t="s">
        <v>18</v>
      </c>
    </row>
    <row r="26" spans="1:16" x14ac:dyDescent="0.3">
      <c r="A26">
        <v>24</v>
      </c>
      <c r="B26" t="s">
        <v>14</v>
      </c>
      <c r="C26" t="s">
        <v>49</v>
      </c>
      <c r="D26" t="str">
        <f>VLOOKUP(YouTube_University_Data_Final[[#This Row],[Title]],[1]!YouTube_University_Data_Final[[Title]:[Title_language]],2,FALSE)</f>
        <v>English</v>
      </c>
      <c r="E26" t="s">
        <v>2951</v>
      </c>
      <c r="F26">
        <v>27</v>
      </c>
      <c r="G26" s="1">
        <v>44800</v>
      </c>
      <c r="H26">
        <v>14111</v>
      </c>
      <c r="I26" t="s">
        <v>16</v>
      </c>
      <c r="J26">
        <v>244</v>
      </c>
      <c r="K26">
        <v>12</v>
      </c>
      <c r="L26">
        <v>0</v>
      </c>
      <c r="M26">
        <v>1</v>
      </c>
      <c r="N26" t="s">
        <v>48</v>
      </c>
      <c r="O26">
        <v>2022</v>
      </c>
      <c r="P26" t="s">
        <v>18</v>
      </c>
    </row>
    <row r="27" spans="1:16" x14ac:dyDescent="0.3">
      <c r="A27">
        <v>25</v>
      </c>
      <c r="B27" t="s">
        <v>14</v>
      </c>
      <c r="C27" t="s">
        <v>50</v>
      </c>
      <c r="D27" t="str">
        <f>VLOOKUP(YouTube_University_Data_Final[[#This Row],[Title]],[1]!YouTube_University_Data_Final[[Title]:[Title_language]],2,FALSE)</f>
        <v>English</v>
      </c>
      <c r="E27" t="s">
        <v>2944</v>
      </c>
      <c r="F27">
        <v>27</v>
      </c>
      <c r="G27" s="1">
        <v>44799</v>
      </c>
      <c r="H27">
        <v>503</v>
      </c>
      <c r="I27" t="s">
        <v>16</v>
      </c>
      <c r="J27">
        <v>198</v>
      </c>
      <c r="K27">
        <v>1</v>
      </c>
      <c r="L27">
        <v>0</v>
      </c>
      <c r="M27">
        <v>0</v>
      </c>
      <c r="N27" t="s">
        <v>48</v>
      </c>
      <c r="O27">
        <v>2022</v>
      </c>
      <c r="P27" t="s">
        <v>18</v>
      </c>
    </row>
    <row r="28" spans="1:16" x14ac:dyDescent="0.3">
      <c r="A28">
        <v>26</v>
      </c>
      <c r="B28" t="s">
        <v>14</v>
      </c>
      <c r="C28" t="s">
        <v>51</v>
      </c>
      <c r="D28" t="str">
        <f>VLOOKUP(YouTube_University_Data_Final[[#This Row],[Title]],[1]!YouTube_University_Data_Final[[Title]:[Title_language]],2,FALSE)</f>
        <v>English</v>
      </c>
      <c r="E28" t="s">
        <v>2944</v>
      </c>
      <c r="F28">
        <v>27</v>
      </c>
      <c r="G28" s="1">
        <v>44799</v>
      </c>
      <c r="H28">
        <v>16</v>
      </c>
      <c r="I28" t="s">
        <v>16</v>
      </c>
      <c r="J28">
        <v>66</v>
      </c>
      <c r="K28">
        <v>0</v>
      </c>
      <c r="L28">
        <v>0</v>
      </c>
      <c r="M28">
        <v>0</v>
      </c>
      <c r="N28" t="s">
        <v>48</v>
      </c>
      <c r="O28">
        <v>2022</v>
      </c>
      <c r="P28" t="s">
        <v>18</v>
      </c>
    </row>
    <row r="29" spans="1:16" x14ac:dyDescent="0.3">
      <c r="A29">
        <v>27</v>
      </c>
      <c r="B29" t="s">
        <v>14</v>
      </c>
      <c r="C29" t="s">
        <v>2952</v>
      </c>
      <c r="D29" t="str">
        <f>VLOOKUP(YouTube_University_Data_Final[[#This Row],[Title]],[1]!YouTube_University_Data_Final[[Title]:[Title_language]],2,FALSE)</f>
        <v>Chinese</v>
      </c>
      <c r="E29" t="s">
        <v>2953</v>
      </c>
      <c r="F29">
        <v>27</v>
      </c>
      <c r="G29" s="1">
        <v>44783</v>
      </c>
      <c r="H29">
        <v>130</v>
      </c>
      <c r="I29" t="s">
        <v>16</v>
      </c>
      <c r="J29">
        <v>570</v>
      </c>
      <c r="K29">
        <v>3</v>
      </c>
      <c r="L29">
        <v>0</v>
      </c>
      <c r="M29">
        <v>0</v>
      </c>
      <c r="N29" t="s">
        <v>48</v>
      </c>
      <c r="O29">
        <v>2022</v>
      </c>
      <c r="P29" t="s">
        <v>18</v>
      </c>
    </row>
    <row r="30" spans="1:16" x14ac:dyDescent="0.3">
      <c r="A30">
        <v>28</v>
      </c>
      <c r="B30" t="s">
        <v>14</v>
      </c>
      <c r="C30" t="s">
        <v>52</v>
      </c>
      <c r="D30" t="str">
        <f>VLOOKUP(YouTube_University_Data_Final[[#This Row],[Title]],[1]!YouTube_University_Data_Final[[Title]:[Title_language]],2,FALSE)</f>
        <v>English</v>
      </c>
      <c r="E30" t="s">
        <v>2954</v>
      </c>
      <c r="F30">
        <v>27</v>
      </c>
      <c r="G30" s="1">
        <v>44783</v>
      </c>
      <c r="H30">
        <v>97</v>
      </c>
      <c r="I30" t="s">
        <v>16</v>
      </c>
      <c r="J30">
        <v>198</v>
      </c>
      <c r="K30">
        <v>0</v>
      </c>
      <c r="L30">
        <v>0</v>
      </c>
      <c r="M30">
        <v>0</v>
      </c>
      <c r="N30" t="s">
        <v>48</v>
      </c>
      <c r="O30">
        <v>2022</v>
      </c>
      <c r="P30" t="s">
        <v>18</v>
      </c>
    </row>
    <row r="31" spans="1:16" x14ac:dyDescent="0.3">
      <c r="A31">
        <v>29</v>
      </c>
      <c r="B31" t="s">
        <v>14</v>
      </c>
      <c r="C31" t="s">
        <v>2955</v>
      </c>
      <c r="D31" t="str">
        <f>VLOOKUP(YouTube_University_Data_Final[[#This Row],[Title]],[1]!YouTube_University_Data_Final[[Title]:[Title_language]],2,FALSE)</f>
        <v>Bilingual</v>
      </c>
      <c r="E31" t="s">
        <v>2956</v>
      </c>
      <c r="F31">
        <v>27</v>
      </c>
      <c r="G31" s="1">
        <v>44783</v>
      </c>
      <c r="H31">
        <v>561</v>
      </c>
      <c r="I31" t="s">
        <v>16</v>
      </c>
      <c r="J31">
        <v>60</v>
      </c>
      <c r="K31">
        <v>0</v>
      </c>
      <c r="L31">
        <v>0</v>
      </c>
      <c r="M31">
        <v>0</v>
      </c>
      <c r="N31" t="s">
        <v>48</v>
      </c>
      <c r="O31">
        <v>2022</v>
      </c>
      <c r="P31" t="s">
        <v>18</v>
      </c>
    </row>
    <row r="32" spans="1:16" x14ac:dyDescent="0.3">
      <c r="A32">
        <v>30</v>
      </c>
      <c r="B32" t="s">
        <v>14</v>
      </c>
      <c r="C32" t="s">
        <v>2957</v>
      </c>
      <c r="D32" t="str">
        <f>VLOOKUP(YouTube_University_Data_Final[[#This Row],[Title]],[1]!YouTube_University_Data_Final[[Title]:[Title_language]],2,FALSE)</f>
        <v>English</v>
      </c>
      <c r="E32" t="s">
        <v>53</v>
      </c>
      <c r="F32">
        <v>27</v>
      </c>
      <c r="G32" s="1">
        <v>44775</v>
      </c>
      <c r="H32">
        <v>154</v>
      </c>
      <c r="I32" t="s">
        <v>16</v>
      </c>
      <c r="J32">
        <v>88</v>
      </c>
      <c r="K32">
        <v>2</v>
      </c>
      <c r="L32">
        <v>0</v>
      </c>
      <c r="M32">
        <v>0</v>
      </c>
      <c r="N32" t="s">
        <v>48</v>
      </c>
      <c r="O32">
        <v>2022</v>
      </c>
      <c r="P32" t="s">
        <v>18</v>
      </c>
    </row>
    <row r="33" spans="1:16" x14ac:dyDescent="0.3">
      <c r="A33">
        <v>31</v>
      </c>
      <c r="B33" t="s">
        <v>14</v>
      </c>
      <c r="C33" t="s">
        <v>54</v>
      </c>
      <c r="D33" t="str">
        <f>VLOOKUP(YouTube_University_Data_Final[[#This Row],[Title]],[1]!YouTube_University_Data_Final[[Title]:[Title_language]],2,FALSE)</f>
        <v>English</v>
      </c>
      <c r="E33" t="s">
        <v>55</v>
      </c>
      <c r="F33">
        <v>27</v>
      </c>
      <c r="G33" s="1">
        <v>44769</v>
      </c>
      <c r="H33">
        <v>30</v>
      </c>
      <c r="I33" t="s">
        <v>16</v>
      </c>
      <c r="J33">
        <v>217</v>
      </c>
      <c r="K33">
        <v>3</v>
      </c>
      <c r="L33">
        <v>0</v>
      </c>
      <c r="M33">
        <v>0</v>
      </c>
      <c r="N33" t="s">
        <v>56</v>
      </c>
      <c r="O33">
        <v>2022</v>
      </c>
      <c r="P33" t="s">
        <v>18</v>
      </c>
    </row>
    <row r="34" spans="1:16" x14ac:dyDescent="0.3">
      <c r="A34">
        <v>32</v>
      </c>
      <c r="B34" t="s">
        <v>14</v>
      </c>
      <c r="C34" t="s">
        <v>57</v>
      </c>
      <c r="D34" t="str">
        <f>VLOOKUP(YouTube_University_Data_Final[[#This Row],[Title]],[1]!YouTube_University_Data_Final[[Title]:[Title_language]],2,FALSE)</f>
        <v>English</v>
      </c>
      <c r="E34" t="s">
        <v>58</v>
      </c>
      <c r="F34">
        <v>27</v>
      </c>
      <c r="G34" s="1">
        <v>44769</v>
      </c>
      <c r="H34">
        <v>199</v>
      </c>
      <c r="I34" t="s">
        <v>16</v>
      </c>
      <c r="J34">
        <v>129</v>
      </c>
      <c r="K34">
        <v>3</v>
      </c>
      <c r="L34">
        <v>0</v>
      </c>
      <c r="M34">
        <v>0</v>
      </c>
      <c r="N34" t="s">
        <v>56</v>
      </c>
      <c r="O34">
        <v>2022</v>
      </c>
      <c r="P34" t="s">
        <v>18</v>
      </c>
    </row>
    <row r="35" spans="1:16" x14ac:dyDescent="0.3">
      <c r="A35">
        <v>33</v>
      </c>
      <c r="B35" t="s">
        <v>14</v>
      </c>
      <c r="C35" t="s">
        <v>59</v>
      </c>
      <c r="D35" t="str">
        <f>VLOOKUP(YouTube_University_Data_Final[[#This Row],[Title]],[1]!YouTube_University_Data_Final[[Title]:[Title_language]],2,FALSE)</f>
        <v>English</v>
      </c>
      <c r="E35" t="s">
        <v>60</v>
      </c>
      <c r="F35">
        <v>27</v>
      </c>
      <c r="G35" s="1">
        <v>44769</v>
      </c>
      <c r="H35">
        <v>179</v>
      </c>
      <c r="I35" t="s">
        <v>16</v>
      </c>
      <c r="J35">
        <v>154</v>
      </c>
      <c r="K35">
        <v>4</v>
      </c>
      <c r="L35">
        <v>0</v>
      </c>
      <c r="M35">
        <v>0</v>
      </c>
      <c r="N35" t="s">
        <v>56</v>
      </c>
      <c r="O35">
        <v>2022</v>
      </c>
      <c r="P35" t="s">
        <v>18</v>
      </c>
    </row>
    <row r="36" spans="1:16" x14ac:dyDescent="0.3">
      <c r="A36">
        <v>34</v>
      </c>
      <c r="B36" t="s">
        <v>14</v>
      </c>
      <c r="C36" t="s">
        <v>2958</v>
      </c>
      <c r="D36" t="str">
        <f>VLOOKUP(YouTube_University_Data_Final[[#This Row],[Title]],[1]!YouTube_University_Data_Final[[Title]:[Title_language]],2,FALSE)</f>
        <v>English</v>
      </c>
      <c r="E36" t="s">
        <v>61</v>
      </c>
      <c r="F36">
        <v>27</v>
      </c>
      <c r="G36" s="1">
        <v>44769</v>
      </c>
      <c r="H36">
        <v>158</v>
      </c>
      <c r="I36" t="s">
        <v>16</v>
      </c>
      <c r="J36">
        <v>64</v>
      </c>
      <c r="K36">
        <v>1</v>
      </c>
      <c r="L36">
        <v>0</v>
      </c>
      <c r="M36">
        <v>0</v>
      </c>
      <c r="N36" t="s">
        <v>56</v>
      </c>
      <c r="O36">
        <v>2022</v>
      </c>
      <c r="P36" t="s">
        <v>18</v>
      </c>
    </row>
    <row r="37" spans="1:16" x14ac:dyDescent="0.3">
      <c r="A37">
        <v>35</v>
      </c>
      <c r="B37" t="s">
        <v>14</v>
      </c>
      <c r="C37" t="s">
        <v>62</v>
      </c>
      <c r="D37" t="str">
        <f>VLOOKUP(YouTube_University_Data_Final[[#This Row],[Title]],[1]!YouTube_University_Data_Final[[Title]:[Title_language]],2,FALSE)</f>
        <v>English</v>
      </c>
      <c r="E37" t="s">
        <v>63</v>
      </c>
      <c r="F37">
        <v>27</v>
      </c>
      <c r="G37" s="1">
        <v>44769</v>
      </c>
      <c r="H37">
        <v>157</v>
      </c>
      <c r="I37" t="s">
        <v>16</v>
      </c>
      <c r="J37">
        <v>69</v>
      </c>
      <c r="K37">
        <v>0</v>
      </c>
      <c r="L37">
        <v>0</v>
      </c>
      <c r="M37">
        <v>0</v>
      </c>
      <c r="N37" t="s">
        <v>56</v>
      </c>
      <c r="O37">
        <v>2022</v>
      </c>
      <c r="P37" t="s">
        <v>18</v>
      </c>
    </row>
    <row r="38" spans="1:16" x14ac:dyDescent="0.3">
      <c r="A38">
        <v>36</v>
      </c>
      <c r="B38" t="s">
        <v>14</v>
      </c>
      <c r="C38" t="s">
        <v>64</v>
      </c>
      <c r="D38" t="str">
        <f>VLOOKUP(YouTube_University_Data_Final[[#This Row],[Title]],[1]!YouTube_University_Data_Final[[Title]:[Title_language]],2,FALSE)</f>
        <v>English</v>
      </c>
      <c r="E38" t="s">
        <v>65</v>
      </c>
      <c r="F38">
        <v>27</v>
      </c>
      <c r="G38" s="1">
        <v>44769</v>
      </c>
      <c r="H38">
        <v>186</v>
      </c>
      <c r="I38" t="s">
        <v>16</v>
      </c>
      <c r="J38">
        <v>85</v>
      </c>
      <c r="K38">
        <v>1</v>
      </c>
      <c r="L38">
        <v>0</v>
      </c>
      <c r="M38">
        <v>0</v>
      </c>
      <c r="N38" t="s">
        <v>56</v>
      </c>
      <c r="O38">
        <v>2022</v>
      </c>
      <c r="P38" t="s">
        <v>18</v>
      </c>
    </row>
    <row r="39" spans="1:16" x14ac:dyDescent="0.3">
      <c r="A39">
        <v>37</v>
      </c>
      <c r="B39" t="s">
        <v>14</v>
      </c>
      <c r="C39" t="s">
        <v>2959</v>
      </c>
      <c r="D39" t="str">
        <f>VLOOKUP(YouTube_University_Data_Final[[#This Row],[Title]],[1]!YouTube_University_Data_Final[[Title]:[Title_language]],2,FALSE)</f>
        <v>Bilingual</v>
      </c>
      <c r="E39" t="s">
        <v>2960</v>
      </c>
      <c r="F39">
        <v>27</v>
      </c>
      <c r="G39" s="1">
        <v>44762</v>
      </c>
      <c r="H39">
        <v>7108</v>
      </c>
      <c r="I39" t="s">
        <v>16</v>
      </c>
      <c r="J39">
        <v>78</v>
      </c>
      <c r="K39">
        <v>0</v>
      </c>
      <c r="L39">
        <v>0</v>
      </c>
      <c r="M39">
        <v>0</v>
      </c>
      <c r="N39" t="s">
        <v>56</v>
      </c>
      <c r="O39">
        <v>2022</v>
      </c>
      <c r="P39" t="s">
        <v>18</v>
      </c>
    </row>
    <row r="40" spans="1:16" x14ac:dyDescent="0.3">
      <c r="A40">
        <v>38</v>
      </c>
      <c r="B40" t="s">
        <v>14</v>
      </c>
      <c r="C40" t="s">
        <v>66</v>
      </c>
      <c r="D40" t="str">
        <f>VLOOKUP(YouTube_University_Data_Final[[#This Row],[Title]],[1]!YouTube_University_Data_Final[[Title]:[Title_language]],2,FALSE)</f>
        <v>English</v>
      </c>
      <c r="E40" t="s">
        <v>2944</v>
      </c>
      <c r="F40">
        <v>27</v>
      </c>
      <c r="G40" s="1">
        <v>44754</v>
      </c>
      <c r="H40">
        <v>32</v>
      </c>
      <c r="I40" t="s">
        <v>16</v>
      </c>
      <c r="J40">
        <v>521</v>
      </c>
      <c r="K40">
        <v>7</v>
      </c>
      <c r="L40">
        <v>0</v>
      </c>
      <c r="M40">
        <v>0</v>
      </c>
      <c r="N40" t="s">
        <v>56</v>
      </c>
      <c r="O40">
        <v>2022</v>
      </c>
      <c r="P40" t="s">
        <v>18</v>
      </c>
    </row>
    <row r="41" spans="1:16" x14ac:dyDescent="0.3">
      <c r="A41">
        <v>39</v>
      </c>
      <c r="B41" t="s">
        <v>14</v>
      </c>
      <c r="C41" t="s">
        <v>67</v>
      </c>
      <c r="D41" t="str">
        <f>VLOOKUP(YouTube_University_Data_Final[[#This Row],[Title]],[1]!YouTube_University_Data_Final[[Title]:[Title_language]],2,FALSE)</f>
        <v>English</v>
      </c>
      <c r="E41" t="s">
        <v>68</v>
      </c>
      <c r="F41">
        <v>27</v>
      </c>
      <c r="G41" s="1">
        <v>44754</v>
      </c>
      <c r="H41">
        <v>27</v>
      </c>
      <c r="I41" t="s">
        <v>16</v>
      </c>
      <c r="J41">
        <v>81</v>
      </c>
      <c r="K41">
        <v>3</v>
      </c>
      <c r="L41">
        <v>0</v>
      </c>
      <c r="M41">
        <v>0</v>
      </c>
      <c r="N41" t="s">
        <v>56</v>
      </c>
      <c r="O41">
        <v>2022</v>
      </c>
      <c r="P41" t="s">
        <v>18</v>
      </c>
    </row>
    <row r="42" spans="1:16" x14ac:dyDescent="0.3">
      <c r="A42">
        <v>40</v>
      </c>
      <c r="B42" t="s">
        <v>14</v>
      </c>
      <c r="C42" t="s">
        <v>69</v>
      </c>
      <c r="D42" t="str">
        <f>VLOOKUP(YouTube_University_Data_Final[[#This Row],[Title]],[1]!YouTube_University_Data_Final[[Title]:[Title_language]],2,FALSE)</f>
        <v>English</v>
      </c>
      <c r="E42" t="s">
        <v>2961</v>
      </c>
      <c r="F42">
        <v>27</v>
      </c>
      <c r="G42" s="1">
        <v>44754</v>
      </c>
      <c r="H42">
        <v>103</v>
      </c>
      <c r="I42" t="s">
        <v>16</v>
      </c>
      <c r="J42">
        <v>33</v>
      </c>
      <c r="K42">
        <v>3</v>
      </c>
      <c r="L42">
        <v>0</v>
      </c>
      <c r="M42">
        <v>0</v>
      </c>
      <c r="N42" t="s">
        <v>56</v>
      </c>
      <c r="O42">
        <v>2022</v>
      </c>
      <c r="P42" t="s">
        <v>18</v>
      </c>
    </row>
    <row r="43" spans="1:16" x14ac:dyDescent="0.3">
      <c r="A43">
        <v>41</v>
      </c>
      <c r="B43" t="s">
        <v>14</v>
      </c>
      <c r="C43" t="s">
        <v>69</v>
      </c>
      <c r="D43" t="str">
        <f>VLOOKUP(YouTube_University_Data_Final[[#This Row],[Title]],[1]!YouTube_University_Data_Final[[Title]:[Title_language]],2,FALSE)</f>
        <v>English</v>
      </c>
      <c r="E43" t="s">
        <v>2962</v>
      </c>
      <c r="F43">
        <v>27</v>
      </c>
      <c r="G43" s="1">
        <v>44754</v>
      </c>
      <c r="H43">
        <v>19</v>
      </c>
      <c r="I43" t="s">
        <v>16</v>
      </c>
      <c r="J43">
        <v>244</v>
      </c>
      <c r="K43">
        <v>2</v>
      </c>
      <c r="L43">
        <v>0</v>
      </c>
      <c r="M43">
        <v>0</v>
      </c>
      <c r="N43" t="s">
        <v>56</v>
      </c>
      <c r="O43">
        <v>2022</v>
      </c>
      <c r="P43" t="s">
        <v>18</v>
      </c>
    </row>
    <row r="44" spans="1:16" x14ac:dyDescent="0.3">
      <c r="A44">
        <v>42</v>
      </c>
      <c r="B44" t="s">
        <v>14</v>
      </c>
      <c r="C44" t="s">
        <v>69</v>
      </c>
      <c r="D44" t="str">
        <f>VLOOKUP(YouTube_University_Data_Final[[#This Row],[Title]],[1]!YouTube_University_Data_Final[[Title]:[Title_language]],2,FALSE)</f>
        <v>English</v>
      </c>
      <c r="E44" t="s">
        <v>2963</v>
      </c>
      <c r="F44">
        <v>27</v>
      </c>
      <c r="G44" s="1">
        <v>44754</v>
      </c>
      <c r="H44">
        <v>5</v>
      </c>
      <c r="I44" t="s">
        <v>16</v>
      </c>
      <c r="J44">
        <v>1113</v>
      </c>
      <c r="K44">
        <v>13</v>
      </c>
      <c r="L44">
        <v>0</v>
      </c>
      <c r="M44">
        <v>0</v>
      </c>
      <c r="N44" t="s">
        <v>56</v>
      </c>
      <c r="O44">
        <v>2022</v>
      </c>
      <c r="P44" t="s">
        <v>18</v>
      </c>
    </row>
    <row r="45" spans="1:16" x14ac:dyDescent="0.3">
      <c r="A45">
        <v>43</v>
      </c>
      <c r="B45" t="s">
        <v>14</v>
      </c>
      <c r="C45" t="s">
        <v>70</v>
      </c>
      <c r="D45" t="str">
        <f>VLOOKUP(YouTube_University_Data_Final[[#This Row],[Title]],[1]!YouTube_University_Data_Final[[Title]:[Title_language]],2,FALSE)</f>
        <v>English</v>
      </c>
      <c r="E45" t="s">
        <v>71</v>
      </c>
      <c r="F45">
        <v>27</v>
      </c>
      <c r="G45" s="1">
        <v>44754</v>
      </c>
      <c r="H45">
        <v>14</v>
      </c>
      <c r="I45" t="s">
        <v>16</v>
      </c>
      <c r="J45">
        <v>15</v>
      </c>
      <c r="K45">
        <v>2</v>
      </c>
      <c r="L45">
        <v>0</v>
      </c>
      <c r="M45">
        <v>0</v>
      </c>
      <c r="N45" t="s">
        <v>56</v>
      </c>
      <c r="O45">
        <v>2022</v>
      </c>
      <c r="P45" t="s">
        <v>18</v>
      </c>
    </row>
    <row r="46" spans="1:16" x14ac:dyDescent="0.3">
      <c r="A46">
        <v>44</v>
      </c>
      <c r="B46" t="s">
        <v>14</v>
      </c>
      <c r="C46" t="s">
        <v>70</v>
      </c>
      <c r="D46" t="str">
        <f>VLOOKUP(YouTube_University_Data_Final[[#This Row],[Title]],[1]!YouTube_University_Data_Final[[Title]:[Title_language]],2,FALSE)</f>
        <v>English</v>
      </c>
      <c r="E46" t="s">
        <v>2964</v>
      </c>
      <c r="F46">
        <v>27</v>
      </c>
      <c r="G46" s="1">
        <v>44754</v>
      </c>
      <c r="H46">
        <v>12</v>
      </c>
      <c r="I46" t="s">
        <v>16</v>
      </c>
      <c r="J46">
        <v>110</v>
      </c>
      <c r="K46">
        <v>3</v>
      </c>
      <c r="L46">
        <v>0</v>
      </c>
      <c r="M46">
        <v>0</v>
      </c>
      <c r="N46" t="s">
        <v>56</v>
      </c>
      <c r="O46">
        <v>2022</v>
      </c>
      <c r="P46" t="s">
        <v>18</v>
      </c>
    </row>
    <row r="47" spans="1:16" x14ac:dyDescent="0.3">
      <c r="A47">
        <v>45</v>
      </c>
      <c r="B47" t="s">
        <v>14</v>
      </c>
      <c r="C47" t="s">
        <v>70</v>
      </c>
      <c r="D47" t="str">
        <f>VLOOKUP(YouTube_University_Data_Final[[#This Row],[Title]],[1]!YouTube_University_Data_Final[[Title]:[Title_language]],2,FALSE)</f>
        <v>English</v>
      </c>
      <c r="E47" t="s">
        <v>72</v>
      </c>
      <c r="F47">
        <v>27</v>
      </c>
      <c r="G47" s="1">
        <v>44754</v>
      </c>
      <c r="H47">
        <v>4</v>
      </c>
      <c r="I47" t="s">
        <v>16</v>
      </c>
      <c r="J47">
        <v>205</v>
      </c>
      <c r="K47">
        <v>4</v>
      </c>
      <c r="L47">
        <v>0</v>
      </c>
      <c r="M47">
        <v>0</v>
      </c>
      <c r="N47" t="s">
        <v>56</v>
      </c>
      <c r="O47">
        <v>2022</v>
      </c>
      <c r="P47" t="s">
        <v>18</v>
      </c>
    </row>
    <row r="48" spans="1:16" x14ac:dyDescent="0.3">
      <c r="A48">
        <v>46</v>
      </c>
      <c r="B48" t="s">
        <v>14</v>
      </c>
      <c r="C48" t="s">
        <v>73</v>
      </c>
      <c r="D48" t="str">
        <f>VLOOKUP(YouTube_University_Data_Final[[#This Row],[Title]],[1]!YouTube_University_Data_Final[[Title]:[Title_language]],2,FALSE)</f>
        <v>English</v>
      </c>
      <c r="E48" t="s">
        <v>74</v>
      </c>
      <c r="F48">
        <v>27</v>
      </c>
      <c r="G48" s="1">
        <v>44754</v>
      </c>
      <c r="H48">
        <v>13</v>
      </c>
      <c r="I48" t="s">
        <v>16</v>
      </c>
      <c r="J48">
        <v>32</v>
      </c>
      <c r="K48">
        <v>3</v>
      </c>
      <c r="L48">
        <v>0</v>
      </c>
      <c r="M48">
        <v>0</v>
      </c>
      <c r="N48" t="s">
        <v>56</v>
      </c>
      <c r="O48">
        <v>2022</v>
      </c>
      <c r="P48" t="s">
        <v>18</v>
      </c>
    </row>
    <row r="49" spans="1:16" x14ac:dyDescent="0.3">
      <c r="A49">
        <v>47</v>
      </c>
      <c r="B49" t="s">
        <v>14</v>
      </c>
      <c r="C49" t="s">
        <v>75</v>
      </c>
      <c r="D49" t="str">
        <f>VLOOKUP(YouTube_University_Data_Final[[#This Row],[Title]],[1]!YouTube_University_Data_Final[[Title]:[Title_language]],2,FALSE)</f>
        <v>English</v>
      </c>
      <c r="E49" t="s">
        <v>2944</v>
      </c>
      <c r="F49">
        <v>27</v>
      </c>
      <c r="G49" s="1">
        <v>44747</v>
      </c>
      <c r="H49">
        <v>422</v>
      </c>
      <c r="I49" t="s">
        <v>16</v>
      </c>
      <c r="J49">
        <v>891</v>
      </c>
      <c r="K49">
        <v>7</v>
      </c>
      <c r="L49">
        <v>0</v>
      </c>
      <c r="M49">
        <v>2</v>
      </c>
      <c r="N49" t="s">
        <v>56</v>
      </c>
      <c r="O49">
        <v>2022</v>
      </c>
      <c r="P49" t="s">
        <v>18</v>
      </c>
    </row>
    <row r="50" spans="1:16" x14ac:dyDescent="0.3">
      <c r="A50">
        <v>48</v>
      </c>
      <c r="B50" t="s">
        <v>14</v>
      </c>
      <c r="C50" t="s">
        <v>76</v>
      </c>
      <c r="D50" t="str">
        <f>VLOOKUP(YouTube_University_Data_Final[[#This Row],[Title]],[1]!YouTube_University_Data_Final[[Title]:[Title_language]],2,FALSE)</f>
        <v>English</v>
      </c>
      <c r="E50" t="s">
        <v>77</v>
      </c>
      <c r="F50">
        <v>27</v>
      </c>
      <c r="G50" s="1">
        <v>44736</v>
      </c>
      <c r="H50">
        <v>70</v>
      </c>
      <c r="I50" t="s">
        <v>16</v>
      </c>
      <c r="J50">
        <v>161</v>
      </c>
      <c r="K50">
        <v>7</v>
      </c>
      <c r="L50">
        <v>0</v>
      </c>
      <c r="M50">
        <v>0</v>
      </c>
      <c r="N50" t="s">
        <v>78</v>
      </c>
      <c r="O50">
        <v>2022</v>
      </c>
      <c r="P50" t="s">
        <v>18</v>
      </c>
    </row>
    <row r="51" spans="1:16" x14ac:dyDescent="0.3">
      <c r="A51">
        <v>49</v>
      </c>
      <c r="B51" t="s">
        <v>14</v>
      </c>
      <c r="C51" t="s">
        <v>79</v>
      </c>
      <c r="D51" t="str">
        <f>VLOOKUP(YouTube_University_Data_Final[[#This Row],[Title]],[1]!YouTube_University_Data_Final[[Title]:[Title_language]],2,FALSE)</f>
        <v>English</v>
      </c>
      <c r="E51" t="s">
        <v>80</v>
      </c>
      <c r="F51">
        <v>27</v>
      </c>
      <c r="G51" s="1">
        <v>44713</v>
      </c>
      <c r="H51">
        <v>119</v>
      </c>
      <c r="I51" t="s">
        <v>16</v>
      </c>
      <c r="J51">
        <v>188</v>
      </c>
      <c r="K51">
        <v>2</v>
      </c>
      <c r="L51">
        <v>0</v>
      </c>
      <c r="M51">
        <v>2</v>
      </c>
      <c r="N51" t="s">
        <v>78</v>
      </c>
      <c r="O51">
        <v>2022</v>
      </c>
      <c r="P51" t="s">
        <v>18</v>
      </c>
    </row>
    <row r="52" spans="1:16" x14ac:dyDescent="0.3">
      <c r="A52">
        <v>50</v>
      </c>
      <c r="B52" t="s">
        <v>14</v>
      </c>
      <c r="C52" t="s">
        <v>2965</v>
      </c>
      <c r="D52" t="str">
        <f>VLOOKUP(YouTube_University_Data_Final[[#This Row],[Title]],[1]!YouTube_University_Data_Final[[Title]:[Title_language]],2,FALSE)</f>
        <v>Chinese</v>
      </c>
      <c r="E52" t="s">
        <v>2944</v>
      </c>
      <c r="F52">
        <v>27</v>
      </c>
      <c r="G52" s="1">
        <v>44709</v>
      </c>
      <c r="H52">
        <v>3494</v>
      </c>
      <c r="I52" t="s">
        <v>2944</v>
      </c>
      <c r="J52">
        <v>249</v>
      </c>
      <c r="K52">
        <v>5</v>
      </c>
      <c r="L52">
        <v>0</v>
      </c>
      <c r="M52">
        <v>0</v>
      </c>
      <c r="N52" t="s">
        <v>81</v>
      </c>
      <c r="O52">
        <v>2022</v>
      </c>
      <c r="P52" t="s">
        <v>18</v>
      </c>
    </row>
    <row r="53" spans="1:16" x14ac:dyDescent="0.3">
      <c r="A53">
        <v>51</v>
      </c>
      <c r="B53" t="s">
        <v>14</v>
      </c>
      <c r="C53" t="s">
        <v>82</v>
      </c>
      <c r="D53" t="str">
        <f>VLOOKUP(YouTube_University_Data_Final[[#This Row],[Title]],[1]!YouTube_University_Data_Final[[Title]:[Title_language]],2,FALSE)</f>
        <v>English</v>
      </c>
      <c r="E53" t="s">
        <v>2944</v>
      </c>
      <c r="F53">
        <v>27</v>
      </c>
      <c r="G53" s="1">
        <v>44706</v>
      </c>
      <c r="H53">
        <v>127</v>
      </c>
      <c r="I53" t="s">
        <v>16</v>
      </c>
      <c r="J53">
        <v>108</v>
      </c>
      <c r="K53">
        <v>0</v>
      </c>
      <c r="L53">
        <v>0</v>
      </c>
      <c r="M53">
        <v>0</v>
      </c>
      <c r="N53" t="s">
        <v>81</v>
      </c>
      <c r="O53">
        <v>2022</v>
      </c>
      <c r="P53" t="s">
        <v>18</v>
      </c>
    </row>
    <row r="54" spans="1:16" x14ac:dyDescent="0.3">
      <c r="A54">
        <v>52</v>
      </c>
      <c r="B54" t="s">
        <v>14</v>
      </c>
      <c r="C54" t="s">
        <v>83</v>
      </c>
      <c r="D54" t="str">
        <f>VLOOKUP(YouTube_University_Data_Final[[#This Row],[Title]],[1]!YouTube_University_Data_Final[[Title]:[Title_language]],2,FALSE)</f>
        <v>English</v>
      </c>
      <c r="E54" t="s">
        <v>2944</v>
      </c>
      <c r="F54">
        <v>27</v>
      </c>
      <c r="G54" s="1">
        <v>44706</v>
      </c>
      <c r="H54">
        <v>173</v>
      </c>
      <c r="I54" t="s">
        <v>16</v>
      </c>
      <c r="J54">
        <v>87</v>
      </c>
      <c r="K54">
        <v>3</v>
      </c>
      <c r="L54">
        <v>0</v>
      </c>
      <c r="M54">
        <v>0</v>
      </c>
      <c r="N54" t="s">
        <v>81</v>
      </c>
      <c r="O54">
        <v>2022</v>
      </c>
      <c r="P54" t="s">
        <v>18</v>
      </c>
    </row>
    <row r="55" spans="1:16" x14ac:dyDescent="0.3">
      <c r="A55">
        <v>53</v>
      </c>
      <c r="B55" t="s">
        <v>14</v>
      </c>
      <c r="C55" t="s">
        <v>84</v>
      </c>
      <c r="D55" t="str">
        <f>VLOOKUP(YouTube_University_Data_Final[[#This Row],[Title]],[1]!YouTube_University_Data_Final[[Title]:[Title_language]],2,FALSE)</f>
        <v>English</v>
      </c>
      <c r="E55" t="s">
        <v>2944</v>
      </c>
      <c r="F55">
        <v>27</v>
      </c>
      <c r="G55" s="1">
        <v>44706</v>
      </c>
      <c r="H55">
        <v>221</v>
      </c>
      <c r="I55" t="s">
        <v>16</v>
      </c>
      <c r="J55">
        <v>86</v>
      </c>
      <c r="K55">
        <v>0</v>
      </c>
      <c r="L55">
        <v>0</v>
      </c>
      <c r="M55">
        <v>0</v>
      </c>
      <c r="N55" t="s">
        <v>81</v>
      </c>
      <c r="O55">
        <v>2022</v>
      </c>
      <c r="P55" t="s">
        <v>18</v>
      </c>
    </row>
    <row r="56" spans="1:16" x14ac:dyDescent="0.3">
      <c r="A56">
        <v>54</v>
      </c>
      <c r="B56" t="s">
        <v>14</v>
      </c>
      <c r="C56" t="s">
        <v>85</v>
      </c>
      <c r="D56" t="str">
        <f>VLOOKUP(YouTube_University_Data_Final[[#This Row],[Title]],[1]!YouTube_University_Data_Final[[Title]:[Title_language]],2,FALSE)</f>
        <v>English</v>
      </c>
      <c r="E56" t="s">
        <v>2944</v>
      </c>
      <c r="F56">
        <v>27</v>
      </c>
      <c r="G56" s="1">
        <v>44706</v>
      </c>
      <c r="H56">
        <v>151</v>
      </c>
      <c r="I56" t="s">
        <v>16</v>
      </c>
      <c r="J56">
        <v>133</v>
      </c>
      <c r="K56">
        <v>1</v>
      </c>
      <c r="L56">
        <v>0</v>
      </c>
      <c r="M56">
        <v>0</v>
      </c>
      <c r="N56" t="s">
        <v>81</v>
      </c>
      <c r="O56">
        <v>2022</v>
      </c>
      <c r="P56" t="s">
        <v>18</v>
      </c>
    </row>
    <row r="57" spans="1:16" x14ac:dyDescent="0.3">
      <c r="A57">
        <v>55</v>
      </c>
      <c r="B57" t="s">
        <v>14</v>
      </c>
      <c r="C57" t="s">
        <v>86</v>
      </c>
      <c r="D57" t="str">
        <f>VLOOKUP(YouTube_University_Data_Final[[#This Row],[Title]],[1]!YouTube_University_Data_Final[[Title]:[Title_language]],2,FALSE)</f>
        <v>English</v>
      </c>
      <c r="E57" t="s">
        <v>2966</v>
      </c>
      <c r="F57">
        <v>27</v>
      </c>
      <c r="G57" s="1">
        <v>44673</v>
      </c>
      <c r="H57">
        <v>24</v>
      </c>
      <c r="I57" t="s">
        <v>16</v>
      </c>
      <c r="J57">
        <v>281</v>
      </c>
      <c r="K57">
        <v>5</v>
      </c>
      <c r="L57">
        <v>0</v>
      </c>
      <c r="M57">
        <v>0</v>
      </c>
      <c r="N57" t="s">
        <v>87</v>
      </c>
      <c r="O57">
        <v>2022</v>
      </c>
      <c r="P57" t="s">
        <v>18</v>
      </c>
    </row>
    <row r="58" spans="1:16" x14ac:dyDescent="0.3">
      <c r="A58">
        <v>56</v>
      </c>
      <c r="B58" t="s">
        <v>14</v>
      </c>
      <c r="C58" t="s">
        <v>88</v>
      </c>
      <c r="D58" t="str">
        <f>VLOOKUP(YouTube_University_Data_Final[[#This Row],[Title]],[1]!YouTube_University_Data_Final[[Title]:[Title_language]],2,FALSE)</f>
        <v>English</v>
      </c>
      <c r="E58" t="s">
        <v>2944</v>
      </c>
      <c r="F58">
        <v>27</v>
      </c>
      <c r="G58" s="1">
        <v>44671</v>
      </c>
      <c r="H58">
        <v>84</v>
      </c>
      <c r="I58" t="s">
        <v>16</v>
      </c>
      <c r="J58">
        <v>272</v>
      </c>
      <c r="K58">
        <v>4</v>
      </c>
      <c r="L58">
        <v>0</v>
      </c>
      <c r="M58">
        <v>0</v>
      </c>
      <c r="N58" t="s">
        <v>87</v>
      </c>
      <c r="O58">
        <v>2022</v>
      </c>
      <c r="P58" t="s">
        <v>18</v>
      </c>
    </row>
    <row r="59" spans="1:16" x14ac:dyDescent="0.3">
      <c r="A59">
        <v>57</v>
      </c>
      <c r="B59" t="s">
        <v>14</v>
      </c>
      <c r="C59" t="s">
        <v>89</v>
      </c>
      <c r="D59" t="str">
        <f>VLOOKUP(YouTube_University_Data_Final[[#This Row],[Title]],[1]!YouTube_University_Data_Final[[Title]:[Title_language]],2,FALSE)</f>
        <v>English</v>
      </c>
      <c r="E59" t="s">
        <v>2967</v>
      </c>
      <c r="F59">
        <v>27</v>
      </c>
      <c r="G59" s="1">
        <v>44638</v>
      </c>
      <c r="H59">
        <v>317</v>
      </c>
      <c r="I59" t="s">
        <v>16</v>
      </c>
      <c r="J59">
        <v>142</v>
      </c>
      <c r="K59">
        <v>1</v>
      </c>
      <c r="L59">
        <v>0</v>
      </c>
      <c r="M59">
        <v>0</v>
      </c>
      <c r="N59" t="s">
        <v>90</v>
      </c>
      <c r="O59">
        <v>2022</v>
      </c>
      <c r="P59" t="s">
        <v>18</v>
      </c>
    </row>
    <row r="60" spans="1:16" x14ac:dyDescent="0.3">
      <c r="A60">
        <v>58</v>
      </c>
      <c r="B60" t="s">
        <v>14</v>
      </c>
      <c r="C60" t="s">
        <v>91</v>
      </c>
      <c r="D60" t="str">
        <f>VLOOKUP(YouTube_University_Data_Final[[#This Row],[Title]],[1]!YouTube_University_Data_Final[[Title]:[Title_language]],2,FALSE)</f>
        <v>English</v>
      </c>
      <c r="E60" t="s">
        <v>92</v>
      </c>
      <c r="F60">
        <v>27</v>
      </c>
      <c r="G60" s="1">
        <v>44589</v>
      </c>
      <c r="H60">
        <v>239</v>
      </c>
      <c r="I60" t="s">
        <v>16</v>
      </c>
      <c r="J60">
        <v>782</v>
      </c>
      <c r="K60">
        <v>19</v>
      </c>
      <c r="L60">
        <v>0</v>
      </c>
      <c r="M60">
        <v>0</v>
      </c>
      <c r="N60" t="s">
        <v>93</v>
      </c>
      <c r="O60">
        <v>2022</v>
      </c>
      <c r="P60" t="s">
        <v>18</v>
      </c>
    </row>
    <row r="61" spans="1:16" x14ac:dyDescent="0.3">
      <c r="A61">
        <v>59</v>
      </c>
      <c r="B61" t="s">
        <v>14</v>
      </c>
      <c r="C61" t="s">
        <v>94</v>
      </c>
      <c r="D61" t="str">
        <f>VLOOKUP(YouTube_University_Data_Final[[#This Row],[Title]],[1]!YouTube_University_Data_Final[[Title]:[Title_language]],2,FALSE)</f>
        <v>English</v>
      </c>
      <c r="E61" t="s">
        <v>2944</v>
      </c>
      <c r="F61">
        <v>27</v>
      </c>
      <c r="G61" s="1">
        <v>44566</v>
      </c>
      <c r="H61">
        <v>119</v>
      </c>
      <c r="I61" t="s">
        <v>16</v>
      </c>
      <c r="J61">
        <v>1052</v>
      </c>
      <c r="K61">
        <v>10</v>
      </c>
      <c r="L61">
        <v>0</v>
      </c>
      <c r="M61">
        <v>0</v>
      </c>
      <c r="N61" t="s">
        <v>93</v>
      </c>
      <c r="O61">
        <v>2022</v>
      </c>
      <c r="P61" t="s">
        <v>18</v>
      </c>
    </row>
    <row r="62" spans="1:16" x14ac:dyDescent="0.3">
      <c r="A62">
        <v>60</v>
      </c>
      <c r="B62" t="s">
        <v>14</v>
      </c>
      <c r="C62" t="s">
        <v>95</v>
      </c>
      <c r="D62" t="str">
        <f>VLOOKUP(YouTube_University_Data_Final[[#This Row],[Title]],[1]!YouTube_University_Data_Final[[Title]:[Title_language]],2,FALSE)</f>
        <v>English</v>
      </c>
      <c r="E62" t="s">
        <v>2944</v>
      </c>
      <c r="F62">
        <v>27</v>
      </c>
      <c r="G62" s="1">
        <v>44565</v>
      </c>
      <c r="H62">
        <v>104</v>
      </c>
      <c r="I62" t="s">
        <v>16</v>
      </c>
      <c r="J62">
        <v>276</v>
      </c>
      <c r="K62">
        <v>5</v>
      </c>
      <c r="L62">
        <v>0</v>
      </c>
      <c r="M62">
        <v>0</v>
      </c>
      <c r="N62" t="s">
        <v>93</v>
      </c>
      <c r="O62">
        <v>2022</v>
      </c>
      <c r="P62" t="s">
        <v>18</v>
      </c>
    </row>
    <row r="63" spans="1:16" x14ac:dyDescent="0.3">
      <c r="A63">
        <v>61</v>
      </c>
      <c r="B63" t="s">
        <v>14</v>
      </c>
      <c r="C63" t="s">
        <v>96</v>
      </c>
      <c r="D63" t="str">
        <f>VLOOKUP(YouTube_University_Data_Final[[#This Row],[Title]],[1]!YouTube_University_Data_Final[[Title]:[Title_language]],2,FALSE)</f>
        <v>English</v>
      </c>
      <c r="E63" t="s">
        <v>97</v>
      </c>
      <c r="F63">
        <v>27</v>
      </c>
      <c r="G63" s="1">
        <v>44554</v>
      </c>
      <c r="H63">
        <v>94</v>
      </c>
      <c r="I63" t="s">
        <v>16</v>
      </c>
      <c r="J63">
        <v>323</v>
      </c>
      <c r="K63">
        <v>3</v>
      </c>
      <c r="L63">
        <v>0</v>
      </c>
      <c r="M63">
        <v>0</v>
      </c>
      <c r="N63" t="s">
        <v>98</v>
      </c>
      <c r="O63">
        <v>2021</v>
      </c>
      <c r="P63" t="s">
        <v>18</v>
      </c>
    </row>
    <row r="64" spans="1:16" x14ac:dyDescent="0.3">
      <c r="A64">
        <v>62</v>
      </c>
      <c r="B64" t="s">
        <v>14</v>
      </c>
      <c r="C64" t="s">
        <v>99</v>
      </c>
      <c r="D64" t="str">
        <f>VLOOKUP(YouTube_University_Data_Final[[#This Row],[Title]],[1]!YouTube_University_Data_Final[[Title]:[Title_language]],2,FALSE)</f>
        <v>English</v>
      </c>
      <c r="E64" t="s">
        <v>2968</v>
      </c>
      <c r="F64">
        <v>27</v>
      </c>
      <c r="G64" s="1">
        <v>44554</v>
      </c>
      <c r="H64">
        <v>169</v>
      </c>
      <c r="I64" t="s">
        <v>16</v>
      </c>
      <c r="J64">
        <v>274</v>
      </c>
      <c r="K64">
        <v>6</v>
      </c>
      <c r="L64">
        <v>0</v>
      </c>
      <c r="M64">
        <v>0</v>
      </c>
      <c r="N64" t="s">
        <v>98</v>
      </c>
      <c r="O64">
        <v>2021</v>
      </c>
      <c r="P64" t="s">
        <v>18</v>
      </c>
    </row>
    <row r="65" spans="1:16" x14ac:dyDescent="0.3">
      <c r="A65">
        <v>63</v>
      </c>
      <c r="B65" t="s">
        <v>14</v>
      </c>
      <c r="C65" t="s">
        <v>100</v>
      </c>
      <c r="D65" t="str">
        <f>VLOOKUP(YouTube_University_Data_Final[[#This Row],[Title]],[1]!YouTube_University_Data_Final[[Title]:[Title_language]],2,FALSE)</f>
        <v>English</v>
      </c>
      <c r="E65" t="s">
        <v>2944</v>
      </c>
      <c r="F65">
        <v>27</v>
      </c>
      <c r="G65" s="1">
        <v>44522</v>
      </c>
      <c r="H65">
        <v>180</v>
      </c>
      <c r="I65" t="s">
        <v>16</v>
      </c>
      <c r="J65">
        <v>520</v>
      </c>
      <c r="K65">
        <v>8</v>
      </c>
      <c r="L65">
        <v>0</v>
      </c>
      <c r="M65">
        <v>0</v>
      </c>
      <c r="N65" t="s">
        <v>101</v>
      </c>
      <c r="O65">
        <v>2021</v>
      </c>
      <c r="P65" t="s">
        <v>18</v>
      </c>
    </row>
    <row r="66" spans="1:16" x14ac:dyDescent="0.3">
      <c r="A66">
        <v>64</v>
      </c>
      <c r="B66" t="s">
        <v>14</v>
      </c>
      <c r="C66" t="s">
        <v>102</v>
      </c>
      <c r="D66" t="str">
        <f>VLOOKUP(YouTube_University_Data_Final[[#This Row],[Title]],[1]!YouTube_University_Data_Final[[Title]:[Title_language]],2,FALSE)</f>
        <v>English</v>
      </c>
      <c r="E66" t="s">
        <v>2944</v>
      </c>
      <c r="F66">
        <v>27</v>
      </c>
      <c r="G66" s="1">
        <v>44519</v>
      </c>
      <c r="H66">
        <v>105</v>
      </c>
      <c r="I66" t="s">
        <v>16</v>
      </c>
      <c r="J66">
        <v>1824</v>
      </c>
      <c r="K66">
        <v>26</v>
      </c>
      <c r="L66">
        <v>0</v>
      </c>
      <c r="M66">
        <v>0</v>
      </c>
      <c r="N66" t="s">
        <v>101</v>
      </c>
      <c r="O66">
        <v>2021</v>
      </c>
      <c r="P66" t="s">
        <v>18</v>
      </c>
    </row>
    <row r="67" spans="1:16" x14ac:dyDescent="0.3">
      <c r="A67">
        <v>65</v>
      </c>
      <c r="B67" t="s">
        <v>14</v>
      </c>
      <c r="C67" t="s">
        <v>103</v>
      </c>
      <c r="D67" t="str">
        <f>VLOOKUP(YouTube_University_Data_Final[[#This Row],[Title]],[1]!YouTube_University_Data_Final[[Title]:[Title_language]],2,FALSE)</f>
        <v>English</v>
      </c>
      <c r="E67" t="s">
        <v>2969</v>
      </c>
      <c r="F67">
        <v>27</v>
      </c>
      <c r="G67" s="1">
        <v>44518</v>
      </c>
      <c r="H67">
        <v>215</v>
      </c>
      <c r="I67" t="s">
        <v>16</v>
      </c>
      <c r="J67">
        <v>1066</v>
      </c>
      <c r="K67">
        <v>5</v>
      </c>
      <c r="L67">
        <v>0</v>
      </c>
      <c r="M67">
        <v>0</v>
      </c>
      <c r="N67" t="s">
        <v>101</v>
      </c>
      <c r="O67">
        <v>2021</v>
      </c>
      <c r="P67" t="s">
        <v>18</v>
      </c>
    </row>
    <row r="68" spans="1:16" x14ac:dyDescent="0.3">
      <c r="A68">
        <v>66</v>
      </c>
      <c r="B68" t="s">
        <v>14</v>
      </c>
      <c r="C68" t="s">
        <v>104</v>
      </c>
      <c r="D68" t="str">
        <f>VLOOKUP(YouTube_University_Data_Final[[#This Row],[Title]],[1]!YouTube_University_Data_Final[[Title]:[Title_language]],2,FALSE)</f>
        <v>English</v>
      </c>
      <c r="E68" t="s">
        <v>104</v>
      </c>
      <c r="F68">
        <v>27</v>
      </c>
      <c r="G68" s="1">
        <v>44518</v>
      </c>
      <c r="H68">
        <v>190</v>
      </c>
      <c r="I68" t="s">
        <v>16</v>
      </c>
      <c r="J68">
        <v>1360</v>
      </c>
      <c r="K68">
        <v>7</v>
      </c>
      <c r="L68">
        <v>0</v>
      </c>
      <c r="M68">
        <v>0</v>
      </c>
      <c r="N68" t="s">
        <v>101</v>
      </c>
      <c r="O68">
        <v>2021</v>
      </c>
      <c r="P68" t="s">
        <v>18</v>
      </c>
    </row>
    <row r="69" spans="1:16" x14ac:dyDescent="0.3">
      <c r="A69">
        <v>67</v>
      </c>
      <c r="B69" t="s">
        <v>14</v>
      </c>
      <c r="C69" t="s">
        <v>105</v>
      </c>
      <c r="D69" t="str">
        <f>VLOOKUP(YouTube_University_Data_Final[[#This Row],[Title]],[1]!YouTube_University_Data_Final[[Title]:[Title_language]],2,FALSE)</f>
        <v>English</v>
      </c>
      <c r="E69" t="s">
        <v>2970</v>
      </c>
      <c r="F69">
        <v>27</v>
      </c>
      <c r="G69" s="1">
        <v>44517</v>
      </c>
      <c r="H69">
        <v>119</v>
      </c>
      <c r="I69" t="s">
        <v>16</v>
      </c>
      <c r="J69">
        <v>626</v>
      </c>
      <c r="K69">
        <v>5</v>
      </c>
      <c r="L69">
        <v>0</v>
      </c>
      <c r="M69">
        <v>0</v>
      </c>
      <c r="N69" t="s">
        <v>101</v>
      </c>
      <c r="O69">
        <v>2021</v>
      </c>
      <c r="P69" t="s">
        <v>18</v>
      </c>
    </row>
    <row r="70" spans="1:16" x14ac:dyDescent="0.3">
      <c r="A70">
        <v>68</v>
      </c>
      <c r="B70" t="s">
        <v>14</v>
      </c>
      <c r="C70" t="s">
        <v>106</v>
      </c>
      <c r="D70" t="str">
        <f>VLOOKUP(YouTube_University_Data_Final[[#This Row],[Title]],[1]!YouTube_University_Data_Final[[Title]:[Title_language]],2,FALSE)</f>
        <v>English</v>
      </c>
      <c r="E70" t="s">
        <v>2944</v>
      </c>
      <c r="F70">
        <v>27</v>
      </c>
      <c r="G70" s="1">
        <v>44504</v>
      </c>
      <c r="H70">
        <v>161</v>
      </c>
      <c r="I70" t="s">
        <v>16</v>
      </c>
      <c r="J70">
        <v>705</v>
      </c>
      <c r="K70">
        <v>5</v>
      </c>
      <c r="L70">
        <v>0</v>
      </c>
      <c r="M70">
        <v>0</v>
      </c>
      <c r="N70" t="s">
        <v>101</v>
      </c>
      <c r="O70">
        <v>2021</v>
      </c>
      <c r="P70" t="s">
        <v>18</v>
      </c>
    </row>
    <row r="71" spans="1:16" x14ac:dyDescent="0.3">
      <c r="A71">
        <v>69</v>
      </c>
      <c r="B71" t="s">
        <v>14</v>
      </c>
      <c r="C71" t="s">
        <v>107</v>
      </c>
      <c r="D71" t="str">
        <f>VLOOKUP(YouTube_University_Data_Final[[#This Row],[Title]],[1]!YouTube_University_Data_Final[[Title]:[Title_language]],2,FALSE)</f>
        <v>English</v>
      </c>
      <c r="E71" t="s">
        <v>2944</v>
      </c>
      <c r="F71">
        <v>27</v>
      </c>
      <c r="G71" s="1">
        <v>44459</v>
      </c>
      <c r="H71">
        <v>132</v>
      </c>
      <c r="I71" t="s">
        <v>16</v>
      </c>
      <c r="J71">
        <v>140</v>
      </c>
      <c r="K71">
        <v>0</v>
      </c>
      <c r="L71">
        <v>0</v>
      </c>
      <c r="M71">
        <v>0</v>
      </c>
      <c r="N71" t="s">
        <v>21</v>
      </c>
      <c r="O71">
        <v>2021</v>
      </c>
      <c r="P71" t="s">
        <v>18</v>
      </c>
    </row>
    <row r="72" spans="1:16" x14ac:dyDescent="0.3">
      <c r="A72">
        <v>70</v>
      </c>
      <c r="B72" t="s">
        <v>14</v>
      </c>
      <c r="C72" t="s">
        <v>108</v>
      </c>
      <c r="D72" t="str">
        <f>VLOOKUP(YouTube_University_Data_Final[[#This Row],[Title]],[1]!YouTube_University_Data_Final[[Title]:[Title_language]],2,FALSE)</f>
        <v>English</v>
      </c>
      <c r="E72" t="s">
        <v>2944</v>
      </c>
      <c r="F72">
        <v>27</v>
      </c>
      <c r="G72" s="1">
        <v>44459</v>
      </c>
      <c r="H72">
        <v>132</v>
      </c>
      <c r="I72" t="s">
        <v>16</v>
      </c>
      <c r="J72">
        <v>120</v>
      </c>
      <c r="K72">
        <v>0</v>
      </c>
      <c r="L72">
        <v>0</v>
      </c>
      <c r="M72">
        <v>0</v>
      </c>
      <c r="N72" t="s">
        <v>21</v>
      </c>
      <c r="O72">
        <v>2021</v>
      </c>
      <c r="P72" t="s">
        <v>18</v>
      </c>
    </row>
    <row r="73" spans="1:16" x14ac:dyDescent="0.3">
      <c r="A73">
        <v>71</v>
      </c>
      <c r="B73" t="s">
        <v>14</v>
      </c>
      <c r="C73" t="s">
        <v>109</v>
      </c>
      <c r="D73" t="str">
        <f>VLOOKUP(YouTube_University_Data_Final[[#This Row],[Title]],[1]!YouTube_University_Data_Final[[Title]:[Title_language]],2,FALSE)</f>
        <v>English</v>
      </c>
      <c r="E73" t="s">
        <v>2944</v>
      </c>
      <c r="F73">
        <v>27</v>
      </c>
      <c r="G73" s="1">
        <v>44448</v>
      </c>
      <c r="H73">
        <v>193</v>
      </c>
      <c r="I73" t="s">
        <v>16</v>
      </c>
      <c r="J73">
        <v>285</v>
      </c>
      <c r="K73">
        <v>1</v>
      </c>
      <c r="L73">
        <v>0</v>
      </c>
      <c r="M73">
        <v>0</v>
      </c>
      <c r="N73" t="s">
        <v>21</v>
      </c>
      <c r="O73">
        <v>2021</v>
      </c>
      <c r="P73" t="s">
        <v>18</v>
      </c>
    </row>
    <row r="74" spans="1:16" x14ac:dyDescent="0.3">
      <c r="A74">
        <v>72</v>
      </c>
      <c r="B74" t="s">
        <v>14</v>
      </c>
      <c r="C74" t="s">
        <v>110</v>
      </c>
      <c r="D74" t="str">
        <f>VLOOKUP(YouTube_University_Data_Final[[#This Row],[Title]],[1]!YouTube_University_Data_Final[[Title]:[Title_language]],2,FALSE)</f>
        <v>English</v>
      </c>
      <c r="E74" t="s">
        <v>2944</v>
      </c>
      <c r="F74">
        <v>27</v>
      </c>
      <c r="G74" s="1">
        <v>44441</v>
      </c>
      <c r="H74">
        <v>57</v>
      </c>
      <c r="I74" t="s">
        <v>16</v>
      </c>
      <c r="J74">
        <v>1152</v>
      </c>
      <c r="K74">
        <v>19</v>
      </c>
      <c r="L74">
        <v>0</v>
      </c>
      <c r="M74">
        <v>0</v>
      </c>
      <c r="N74" t="s">
        <v>21</v>
      </c>
      <c r="O74">
        <v>2021</v>
      </c>
      <c r="P74" t="s">
        <v>18</v>
      </c>
    </row>
    <row r="75" spans="1:16" x14ac:dyDescent="0.3">
      <c r="A75">
        <v>73</v>
      </c>
      <c r="B75" t="s">
        <v>14</v>
      </c>
      <c r="C75" t="s">
        <v>111</v>
      </c>
      <c r="D75" t="str">
        <f>VLOOKUP(YouTube_University_Data_Final[[#This Row],[Title]],[1]!YouTube_University_Data_Final[[Title]:[Title_language]],2,FALSE)</f>
        <v>English</v>
      </c>
      <c r="E75" t="s">
        <v>2944</v>
      </c>
      <c r="F75">
        <v>27</v>
      </c>
      <c r="G75" s="1">
        <v>44435</v>
      </c>
      <c r="H75">
        <v>120</v>
      </c>
      <c r="I75" t="s">
        <v>16</v>
      </c>
      <c r="J75">
        <v>329</v>
      </c>
      <c r="K75">
        <v>2</v>
      </c>
      <c r="L75">
        <v>0</v>
      </c>
      <c r="M75">
        <v>0</v>
      </c>
      <c r="N75" t="s">
        <v>48</v>
      </c>
      <c r="O75">
        <v>2021</v>
      </c>
      <c r="P75" t="s">
        <v>18</v>
      </c>
    </row>
    <row r="76" spans="1:16" x14ac:dyDescent="0.3">
      <c r="A76">
        <v>74</v>
      </c>
      <c r="B76" t="s">
        <v>14</v>
      </c>
      <c r="C76" t="s">
        <v>112</v>
      </c>
      <c r="D76" t="str">
        <f>VLOOKUP(YouTube_University_Data_Final[[#This Row],[Title]],[1]!YouTube_University_Data_Final[[Title]:[Title_language]],2,FALSE)</f>
        <v>English</v>
      </c>
      <c r="E76" t="s">
        <v>2944</v>
      </c>
      <c r="F76">
        <v>27</v>
      </c>
      <c r="G76" s="1">
        <v>44405</v>
      </c>
      <c r="H76">
        <v>331</v>
      </c>
      <c r="I76" t="s">
        <v>16</v>
      </c>
      <c r="J76">
        <v>673</v>
      </c>
      <c r="K76">
        <v>10</v>
      </c>
      <c r="L76">
        <v>0</v>
      </c>
      <c r="M76">
        <v>3</v>
      </c>
      <c r="N76" t="s">
        <v>56</v>
      </c>
      <c r="O76">
        <v>2021</v>
      </c>
      <c r="P76" t="s">
        <v>18</v>
      </c>
    </row>
    <row r="77" spans="1:16" x14ac:dyDescent="0.3">
      <c r="A77">
        <v>75</v>
      </c>
      <c r="B77" t="s">
        <v>14</v>
      </c>
      <c r="C77" t="s">
        <v>113</v>
      </c>
      <c r="D77" t="str">
        <f>VLOOKUP(YouTube_University_Data_Final[[#This Row],[Title]],[1]!YouTube_University_Data_Final[[Title]:[Title_language]],2,FALSE)</f>
        <v>English</v>
      </c>
      <c r="E77" t="s">
        <v>2944</v>
      </c>
      <c r="F77">
        <v>27</v>
      </c>
      <c r="G77" s="1">
        <v>44398</v>
      </c>
      <c r="H77">
        <v>56</v>
      </c>
      <c r="I77" t="s">
        <v>16</v>
      </c>
      <c r="J77">
        <v>463</v>
      </c>
      <c r="K77">
        <v>9</v>
      </c>
      <c r="L77">
        <v>0</v>
      </c>
      <c r="M77">
        <v>1</v>
      </c>
      <c r="N77" t="s">
        <v>56</v>
      </c>
      <c r="O77">
        <v>2021</v>
      </c>
      <c r="P77" t="s">
        <v>18</v>
      </c>
    </row>
    <row r="78" spans="1:16" x14ac:dyDescent="0.3">
      <c r="A78">
        <v>76</v>
      </c>
      <c r="B78" t="s">
        <v>14</v>
      </c>
      <c r="C78" t="s">
        <v>114</v>
      </c>
      <c r="D78" t="str">
        <f>VLOOKUP(YouTube_University_Data_Final[[#This Row],[Title]],[1]!YouTube_University_Data_Final[[Title]:[Title_language]],2,FALSE)</f>
        <v>English</v>
      </c>
      <c r="E78" t="s">
        <v>2944</v>
      </c>
      <c r="F78">
        <v>27</v>
      </c>
      <c r="G78" s="1">
        <v>44397</v>
      </c>
      <c r="H78">
        <v>171</v>
      </c>
      <c r="I78" t="s">
        <v>16</v>
      </c>
      <c r="J78">
        <v>359</v>
      </c>
      <c r="K78">
        <v>6</v>
      </c>
      <c r="L78">
        <v>0</v>
      </c>
      <c r="M78">
        <v>2</v>
      </c>
      <c r="N78" t="s">
        <v>56</v>
      </c>
      <c r="O78">
        <v>2021</v>
      </c>
      <c r="P78" t="s">
        <v>18</v>
      </c>
    </row>
    <row r="79" spans="1:16" x14ac:dyDescent="0.3">
      <c r="A79">
        <v>77</v>
      </c>
      <c r="B79" t="s">
        <v>14</v>
      </c>
      <c r="C79" t="s">
        <v>115</v>
      </c>
      <c r="D79" t="str">
        <f>VLOOKUP(YouTube_University_Data_Final[[#This Row],[Title]],[1]!YouTube_University_Data_Final[[Title]:[Title_language]],2,FALSE)</f>
        <v>English</v>
      </c>
      <c r="E79" t="s">
        <v>2944</v>
      </c>
      <c r="F79">
        <v>27</v>
      </c>
      <c r="G79" s="1">
        <v>44396</v>
      </c>
      <c r="H79">
        <v>215</v>
      </c>
      <c r="I79" t="s">
        <v>16</v>
      </c>
      <c r="J79">
        <v>427</v>
      </c>
      <c r="K79">
        <v>6</v>
      </c>
      <c r="L79">
        <v>0</v>
      </c>
      <c r="M79">
        <v>1</v>
      </c>
      <c r="N79" t="s">
        <v>56</v>
      </c>
      <c r="O79">
        <v>2021</v>
      </c>
      <c r="P79" t="s">
        <v>18</v>
      </c>
    </row>
    <row r="80" spans="1:16" x14ac:dyDescent="0.3">
      <c r="A80">
        <v>78</v>
      </c>
      <c r="B80" t="s">
        <v>14</v>
      </c>
      <c r="C80" t="s">
        <v>116</v>
      </c>
      <c r="D80" t="str">
        <f>VLOOKUP(YouTube_University_Data_Final[[#This Row],[Title]],[1]!YouTube_University_Data_Final[[Title]:[Title_language]],2,FALSE)</f>
        <v>English</v>
      </c>
      <c r="E80" t="s">
        <v>2944</v>
      </c>
      <c r="F80">
        <v>27</v>
      </c>
      <c r="G80" s="1">
        <v>44396</v>
      </c>
      <c r="H80">
        <v>164</v>
      </c>
      <c r="I80" t="s">
        <v>16</v>
      </c>
      <c r="J80">
        <v>585</v>
      </c>
      <c r="K80">
        <v>3</v>
      </c>
      <c r="L80">
        <v>0</v>
      </c>
      <c r="M80">
        <v>1</v>
      </c>
      <c r="N80" t="s">
        <v>56</v>
      </c>
      <c r="O80">
        <v>2021</v>
      </c>
      <c r="P80" t="s">
        <v>18</v>
      </c>
    </row>
    <row r="81" spans="1:16" x14ac:dyDescent="0.3">
      <c r="A81">
        <v>79</v>
      </c>
      <c r="B81" t="s">
        <v>14</v>
      </c>
      <c r="C81" t="s">
        <v>117</v>
      </c>
      <c r="D81" t="str">
        <f>VLOOKUP(YouTube_University_Data_Final[[#This Row],[Title]],[1]!YouTube_University_Data_Final[[Title]:[Title_language]],2,FALSE)</f>
        <v>English</v>
      </c>
      <c r="E81" t="s">
        <v>2971</v>
      </c>
      <c r="F81">
        <v>27</v>
      </c>
      <c r="G81" s="1">
        <v>44393</v>
      </c>
      <c r="H81">
        <v>423</v>
      </c>
      <c r="I81" t="s">
        <v>16</v>
      </c>
      <c r="J81">
        <v>267</v>
      </c>
      <c r="K81">
        <v>2</v>
      </c>
      <c r="L81">
        <v>0</v>
      </c>
      <c r="M81">
        <v>0</v>
      </c>
      <c r="N81" t="s">
        <v>56</v>
      </c>
      <c r="O81">
        <v>2021</v>
      </c>
      <c r="P81" t="s">
        <v>18</v>
      </c>
    </row>
    <row r="82" spans="1:16" x14ac:dyDescent="0.3">
      <c r="A82">
        <v>80</v>
      </c>
      <c r="B82" t="s">
        <v>14</v>
      </c>
      <c r="C82" t="s">
        <v>118</v>
      </c>
      <c r="D82" t="str">
        <f>VLOOKUP(YouTube_University_Data_Final[[#This Row],[Title]],[1]!YouTube_University_Data_Final[[Title]:[Title_language]],2,FALSE)</f>
        <v>English</v>
      </c>
      <c r="E82" t="s">
        <v>119</v>
      </c>
      <c r="F82">
        <v>27</v>
      </c>
      <c r="G82" s="1">
        <v>44390</v>
      </c>
      <c r="H82">
        <v>929</v>
      </c>
      <c r="I82" t="s">
        <v>16</v>
      </c>
      <c r="J82">
        <v>290</v>
      </c>
      <c r="K82">
        <v>3</v>
      </c>
      <c r="L82">
        <v>0</v>
      </c>
      <c r="M82">
        <v>0</v>
      </c>
      <c r="N82" t="s">
        <v>56</v>
      </c>
      <c r="O82">
        <v>2021</v>
      </c>
      <c r="P82" t="s">
        <v>18</v>
      </c>
    </row>
    <row r="83" spans="1:16" x14ac:dyDescent="0.3">
      <c r="A83">
        <v>81</v>
      </c>
      <c r="B83" t="s">
        <v>14</v>
      </c>
      <c r="C83" t="s">
        <v>120</v>
      </c>
      <c r="D83" t="str">
        <f>VLOOKUP(YouTube_University_Data_Final[[#This Row],[Title]],[1]!YouTube_University_Data_Final[[Title]:[Title_language]],2,FALSE)</f>
        <v>English</v>
      </c>
      <c r="E83" t="s">
        <v>121</v>
      </c>
      <c r="F83">
        <v>27</v>
      </c>
      <c r="G83" s="1">
        <v>44382</v>
      </c>
      <c r="H83">
        <v>194</v>
      </c>
      <c r="I83" t="s">
        <v>16</v>
      </c>
      <c r="J83">
        <v>371</v>
      </c>
      <c r="K83">
        <v>12</v>
      </c>
      <c r="L83">
        <v>0</v>
      </c>
      <c r="M83">
        <v>4</v>
      </c>
      <c r="N83" t="s">
        <v>56</v>
      </c>
      <c r="O83">
        <v>2021</v>
      </c>
      <c r="P83" t="s">
        <v>18</v>
      </c>
    </row>
    <row r="84" spans="1:16" x14ac:dyDescent="0.3">
      <c r="A84">
        <v>82</v>
      </c>
      <c r="B84" t="s">
        <v>14</v>
      </c>
      <c r="C84" t="s">
        <v>122</v>
      </c>
      <c r="D84" t="str">
        <f>VLOOKUP(YouTube_University_Data_Final[[#This Row],[Title]],[1]!YouTube_University_Data_Final[[Title]:[Title_language]],2,FALSE)</f>
        <v>English</v>
      </c>
      <c r="E84" t="s">
        <v>2944</v>
      </c>
      <c r="F84">
        <v>27</v>
      </c>
      <c r="G84" s="1">
        <v>44327</v>
      </c>
      <c r="H84">
        <v>2198</v>
      </c>
      <c r="I84" t="s">
        <v>16</v>
      </c>
      <c r="J84">
        <v>247</v>
      </c>
      <c r="K84">
        <v>6</v>
      </c>
      <c r="L84">
        <v>0</v>
      </c>
      <c r="M84">
        <v>0</v>
      </c>
      <c r="N84" t="s">
        <v>81</v>
      </c>
      <c r="O84">
        <v>2021</v>
      </c>
      <c r="P84" t="s">
        <v>18</v>
      </c>
    </row>
    <row r="85" spans="1:16" x14ac:dyDescent="0.3">
      <c r="A85">
        <v>83</v>
      </c>
      <c r="B85" t="s">
        <v>14</v>
      </c>
      <c r="C85" t="s">
        <v>123</v>
      </c>
      <c r="D85" t="str">
        <f>VLOOKUP(YouTube_University_Data_Final[[#This Row],[Title]],[1]!YouTube_University_Data_Final[[Title]:[Title_language]],2,FALSE)</f>
        <v>English</v>
      </c>
      <c r="E85" t="s">
        <v>2944</v>
      </c>
      <c r="F85">
        <v>27</v>
      </c>
      <c r="G85" s="1">
        <v>44326</v>
      </c>
      <c r="H85">
        <v>113</v>
      </c>
      <c r="I85" t="s">
        <v>16</v>
      </c>
      <c r="J85">
        <v>990</v>
      </c>
      <c r="K85">
        <v>14</v>
      </c>
      <c r="L85">
        <v>0</v>
      </c>
      <c r="M85">
        <v>1</v>
      </c>
      <c r="N85" t="s">
        <v>81</v>
      </c>
      <c r="O85">
        <v>2021</v>
      </c>
      <c r="P85" t="s">
        <v>18</v>
      </c>
    </row>
    <row r="86" spans="1:16" x14ac:dyDescent="0.3">
      <c r="A86">
        <v>84</v>
      </c>
      <c r="B86" t="s">
        <v>14</v>
      </c>
      <c r="C86" t="s">
        <v>124</v>
      </c>
      <c r="D86" t="str">
        <f>VLOOKUP(YouTube_University_Data_Final[[#This Row],[Title]],[1]!YouTube_University_Data_Final[[Title]:[Title_language]],2,FALSE)</f>
        <v>English</v>
      </c>
      <c r="E86" t="s">
        <v>2944</v>
      </c>
      <c r="F86">
        <v>27</v>
      </c>
      <c r="G86" s="1">
        <v>44315</v>
      </c>
      <c r="H86">
        <v>359</v>
      </c>
      <c r="I86" t="s">
        <v>16</v>
      </c>
      <c r="J86">
        <v>599</v>
      </c>
      <c r="K86">
        <v>7</v>
      </c>
      <c r="L86">
        <v>0</v>
      </c>
      <c r="M86">
        <v>0</v>
      </c>
      <c r="N86" t="s">
        <v>87</v>
      </c>
      <c r="O86">
        <v>2021</v>
      </c>
      <c r="P86" t="s">
        <v>18</v>
      </c>
    </row>
    <row r="87" spans="1:16" x14ac:dyDescent="0.3">
      <c r="A87">
        <v>85</v>
      </c>
      <c r="B87" t="s">
        <v>14</v>
      </c>
      <c r="C87" t="s">
        <v>125</v>
      </c>
      <c r="D87" t="str">
        <f>VLOOKUP(YouTube_University_Data_Final[[#This Row],[Title]],[1]!YouTube_University_Data_Final[[Title]:[Title_language]],2,FALSE)</f>
        <v>English</v>
      </c>
      <c r="E87" t="s">
        <v>126</v>
      </c>
      <c r="F87">
        <v>27</v>
      </c>
      <c r="G87" s="1">
        <v>44278</v>
      </c>
      <c r="H87">
        <v>181</v>
      </c>
      <c r="I87" t="s">
        <v>16</v>
      </c>
      <c r="J87">
        <v>746</v>
      </c>
      <c r="K87">
        <v>8</v>
      </c>
      <c r="L87">
        <v>0</v>
      </c>
      <c r="M87">
        <v>2</v>
      </c>
      <c r="N87" t="s">
        <v>90</v>
      </c>
      <c r="O87">
        <v>2021</v>
      </c>
      <c r="P87" t="s">
        <v>18</v>
      </c>
    </row>
    <row r="88" spans="1:16" x14ac:dyDescent="0.3">
      <c r="A88">
        <v>86</v>
      </c>
      <c r="B88" t="s">
        <v>14</v>
      </c>
      <c r="C88" t="s">
        <v>127</v>
      </c>
      <c r="D88" t="str">
        <f>VLOOKUP(YouTube_University_Data_Final[[#This Row],[Title]],[1]!YouTube_University_Data_Final[[Title]:[Title_language]],2,FALSE)</f>
        <v>English</v>
      </c>
      <c r="E88" t="s">
        <v>2944</v>
      </c>
      <c r="F88">
        <v>27</v>
      </c>
      <c r="G88" s="1">
        <v>44271</v>
      </c>
      <c r="H88">
        <v>503</v>
      </c>
      <c r="I88" t="s">
        <v>16</v>
      </c>
      <c r="J88">
        <v>2359</v>
      </c>
      <c r="K88">
        <v>33</v>
      </c>
      <c r="L88">
        <v>0</v>
      </c>
      <c r="M88">
        <v>1</v>
      </c>
      <c r="N88" t="s">
        <v>90</v>
      </c>
      <c r="O88">
        <v>2021</v>
      </c>
      <c r="P88" t="s">
        <v>18</v>
      </c>
    </row>
    <row r="89" spans="1:16" x14ac:dyDescent="0.3">
      <c r="A89">
        <v>87</v>
      </c>
      <c r="B89" t="s">
        <v>14</v>
      </c>
      <c r="C89" t="s">
        <v>128</v>
      </c>
      <c r="D89" t="str">
        <f>VLOOKUP(YouTube_University_Data_Final[[#This Row],[Title]],[1]!YouTube_University_Data_Final[[Title]:[Title_language]],2,FALSE)</f>
        <v>English</v>
      </c>
      <c r="E89" t="s">
        <v>129</v>
      </c>
      <c r="F89">
        <v>27</v>
      </c>
      <c r="G89" s="1">
        <v>44263</v>
      </c>
      <c r="H89">
        <v>393</v>
      </c>
      <c r="I89" t="s">
        <v>16</v>
      </c>
      <c r="J89">
        <v>951</v>
      </c>
      <c r="K89">
        <v>11</v>
      </c>
      <c r="L89">
        <v>0</v>
      </c>
      <c r="M89">
        <v>0</v>
      </c>
      <c r="N89" t="s">
        <v>90</v>
      </c>
      <c r="O89">
        <v>2021</v>
      </c>
      <c r="P89" t="s">
        <v>18</v>
      </c>
    </row>
    <row r="90" spans="1:16" x14ac:dyDescent="0.3">
      <c r="A90">
        <v>88</v>
      </c>
      <c r="B90" t="s">
        <v>14</v>
      </c>
      <c r="C90" t="s">
        <v>2972</v>
      </c>
      <c r="D90" t="str">
        <f>VLOOKUP(YouTube_University_Data_Final[[#This Row],[Title]],[1]!YouTube_University_Data_Final[[Title]:[Title_language]],2,FALSE)</f>
        <v>English</v>
      </c>
      <c r="E90" t="s">
        <v>130</v>
      </c>
      <c r="F90">
        <v>27</v>
      </c>
      <c r="G90" s="1">
        <v>44186</v>
      </c>
      <c r="H90">
        <v>90</v>
      </c>
      <c r="I90" t="s">
        <v>16</v>
      </c>
      <c r="J90">
        <v>1632</v>
      </c>
      <c r="K90">
        <v>13</v>
      </c>
      <c r="L90">
        <v>0</v>
      </c>
      <c r="M90">
        <v>0</v>
      </c>
      <c r="N90" t="s">
        <v>98</v>
      </c>
      <c r="O90">
        <v>2020</v>
      </c>
      <c r="P90" t="s">
        <v>18</v>
      </c>
    </row>
    <row r="91" spans="1:16" x14ac:dyDescent="0.3">
      <c r="A91">
        <v>89</v>
      </c>
      <c r="B91" t="s">
        <v>14</v>
      </c>
      <c r="C91" t="s">
        <v>2973</v>
      </c>
      <c r="D91" t="str">
        <f>VLOOKUP(YouTube_University_Data_Final[[#This Row],[Title]],[1]!YouTube_University_Data_Final[[Title]:[Title_language]],2,FALSE)</f>
        <v>Chinese</v>
      </c>
      <c r="E91" t="s">
        <v>2944</v>
      </c>
      <c r="F91">
        <v>27</v>
      </c>
      <c r="G91" s="1">
        <v>44167</v>
      </c>
      <c r="H91">
        <v>326</v>
      </c>
      <c r="I91" t="s">
        <v>16</v>
      </c>
      <c r="J91">
        <v>311</v>
      </c>
      <c r="K91">
        <v>0</v>
      </c>
      <c r="L91">
        <v>0</v>
      </c>
      <c r="M91">
        <v>0</v>
      </c>
      <c r="N91" t="s">
        <v>98</v>
      </c>
      <c r="O91">
        <v>2020</v>
      </c>
      <c r="P91" t="s">
        <v>18</v>
      </c>
    </row>
    <row r="92" spans="1:16" x14ac:dyDescent="0.3">
      <c r="A92">
        <v>90</v>
      </c>
      <c r="B92" t="s">
        <v>14</v>
      </c>
      <c r="C92" t="s">
        <v>2974</v>
      </c>
      <c r="D92" t="str">
        <f>VLOOKUP(YouTube_University_Data_Final[[#This Row],[Title]],[1]!YouTube_University_Data_Final[[Title]:[Title_language]],2,FALSE)</f>
        <v>English</v>
      </c>
      <c r="E92" t="s">
        <v>2944</v>
      </c>
      <c r="F92">
        <v>27</v>
      </c>
      <c r="G92" s="1">
        <v>44167</v>
      </c>
      <c r="H92">
        <v>326</v>
      </c>
      <c r="I92" t="s">
        <v>16</v>
      </c>
      <c r="J92">
        <v>129</v>
      </c>
      <c r="K92">
        <v>3</v>
      </c>
      <c r="L92">
        <v>0</v>
      </c>
      <c r="M92">
        <v>0</v>
      </c>
      <c r="N92" t="s">
        <v>98</v>
      </c>
      <c r="O92">
        <v>2020</v>
      </c>
      <c r="P92" t="s">
        <v>18</v>
      </c>
    </row>
    <row r="93" spans="1:16" x14ac:dyDescent="0.3">
      <c r="A93">
        <v>91</v>
      </c>
      <c r="B93" t="s">
        <v>14</v>
      </c>
      <c r="C93" t="s">
        <v>2975</v>
      </c>
      <c r="D93" t="str">
        <f>VLOOKUP(YouTube_University_Data_Final[[#This Row],[Title]],[1]!YouTube_University_Data_Final[[Title]:[Title_language]],2,FALSE)</f>
        <v>Chinese</v>
      </c>
      <c r="E93" t="s">
        <v>2944</v>
      </c>
      <c r="F93">
        <v>27</v>
      </c>
      <c r="G93" s="1">
        <v>44167</v>
      </c>
      <c r="H93">
        <v>325</v>
      </c>
      <c r="I93" t="s">
        <v>16</v>
      </c>
      <c r="J93">
        <v>77</v>
      </c>
      <c r="K93">
        <v>0</v>
      </c>
      <c r="L93">
        <v>0</v>
      </c>
      <c r="M93">
        <v>1</v>
      </c>
      <c r="N93" t="s">
        <v>98</v>
      </c>
      <c r="O93">
        <v>2020</v>
      </c>
      <c r="P93" t="s">
        <v>18</v>
      </c>
    </row>
    <row r="94" spans="1:16" x14ac:dyDescent="0.3">
      <c r="A94">
        <v>92</v>
      </c>
      <c r="B94" t="s">
        <v>14</v>
      </c>
      <c r="C94" t="s">
        <v>131</v>
      </c>
      <c r="D94" t="str">
        <f>VLOOKUP(YouTube_University_Data_Final[[#This Row],[Title]],[1]!YouTube_University_Data_Final[[Title]:[Title_language]],2,FALSE)</f>
        <v>English</v>
      </c>
      <c r="E94" t="s">
        <v>2944</v>
      </c>
      <c r="F94">
        <v>27</v>
      </c>
      <c r="G94" s="1">
        <v>44141</v>
      </c>
      <c r="H94">
        <v>3193</v>
      </c>
      <c r="I94" t="s">
        <v>16</v>
      </c>
      <c r="J94">
        <v>2710</v>
      </c>
      <c r="K94">
        <v>31</v>
      </c>
      <c r="L94">
        <v>0</v>
      </c>
      <c r="M94">
        <v>0</v>
      </c>
      <c r="N94" t="s">
        <v>101</v>
      </c>
      <c r="O94">
        <v>2020</v>
      </c>
      <c r="P94" t="s">
        <v>18</v>
      </c>
    </row>
    <row r="95" spans="1:16" x14ac:dyDescent="0.3">
      <c r="A95">
        <v>93</v>
      </c>
      <c r="B95" t="s">
        <v>14</v>
      </c>
      <c r="C95" t="s">
        <v>2976</v>
      </c>
      <c r="D95" t="str">
        <f>VLOOKUP(YouTube_University_Data_Final[[#This Row],[Title]],[1]!YouTube_University_Data_Final[[Title]:[Title_language]],2,FALSE)</f>
        <v>Chinese</v>
      </c>
      <c r="E95" t="s">
        <v>2944</v>
      </c>
      <c r="F95">
        <v>27</v>
      </c>
      <c r="G95" s="1">
        <v>44121</v>
      </c>
      <c r="H95">
        <v>2</v>
      </c>
      <c r="I95" t="s">
        <v>16</v>
      </c>
      <c r="J95">
        <v>323</v>
      </c>
      <c r="K95">
        <v>5</v>
      </c>
      <c r="L95">
        <v>0</v>
      </c>
      <c r="M95">
        <v>0</v>
      </c>
      <c r="N95" t="s">
        <v>17</v>
      </c>
      <c r="O95">
        <v>2020</v>
      </c>
      <c r="P95" t="s">
        <v>18</v>
      </c>
    </row>
    <row r="96" spans="1:16" x14ac:dyDescent="0.3">
      <c r="A96">
        <v>94</v>
      </c>
      <c r="B96" t="s">
        <v>14</v>
      </c>
      <c r="C96" t="s">
        <v>2977</v>
      </c>
      <c r="D96" t="str">
        <f>VLOOKUP(YouTube_University_Data_Final[[#This Row],[Title]],[1]!YouTube_University_Data_Final[[Title]:[Title_language]],2,FALSE)</f>
        <v>Chinese</v>
      </c>
      <c r="E96" t="s">
        <v>2944</v>
      </c>
      <c r="F96">
        <v>27</v>
      </c>
      <c r="G96" s="1">
        <v>44121</v>
      </c>
      <c r="H96">
        <v>2</v>
      </c>
      <c r="I96" t="s">
        <v>16</v>
      </c>
      <c r="J96">
        <v>369</v>
      </c>
      <c r="K96">
        <v>5</v>
      </c>
      <c r="L96">
        <v>0</v>
      </c>
      <c r="M96">
        <v>0</v>
      </c>
      <c r="N96" t="s">
        <v>17</v>
      </c>
      <c r="O96">
        <v>2020</v>
      </c>
      <c r="P96" t="s">
        <v>18</v>
      </c>
    </row>
    <row r="97" spans="1:16" x14ac:dyDescent="0.3">
      <c r="A97">
        <v>95</v>
      </c>
      <c r="B97" t="s">
        <v>14</v>
      </c>
      <c r="C97" t="s">
        <v>132</v>
      </c>
      <c r="D97" t="str">
        <f>VLOOKUP(YouTube_University_Data_Final[[#This Row],[Title]],[1]!YouTube_University_Data_Final[[Title]:[Title_language]],2,FALSE)</f>
        <v>English</v>
      </c>
      <c r="E97" t="s">
        <v>2944</v>
      </c>
      <c r="F97">
        <v>27</v>
      </c>
      <c r="G97" s="1">
        <v>44121</v>
      </c>
      <c r="H97">
        <v>60</v>
      </c>
      <c r="I97" t="s">
        <v>16</v>
      </c>
      <c r="J97">
        <v>280</v>
      </c>
      <c r="K97">
        <v>3</v>
      </c>
      <c r="L97">
        <v>0</v>
      </c>
      <c r="M97">
        <v>0</v>
      </c>
      <c r="N97" t="s">
        <v>17</v>
      </c>
      <c r="O97">
        <v>2020</v>
      </c>
      <c r="P97" t="s">
        <v>18</v>
      </c>
    </row>
    <row r="98" spans="1:16" x14ac:dyDescent="0.3">
      <c r="A98">
        <v>96</v>
      </c>
      <c r="B98" t="s">
        <v>14</v>
      </c>
      <c r="C98" t="s">
        <v>133</v>
      </c>
      <c r="D98" t="str">
        <f>VLOOKUP(YouTube_University_Data_Final[[#This Row],[Title]],[1]!YouTube_University_Data_Final[[Title]:[Title_language]],2,FALSE)</f>
        <v>English</v>
      </c>
      <c r="E98" t="s">
        <v>134</v>
      </c>
      <c r="F98">
        <v>27</v>
      </c>
      <c r="G98" s="1">
        <v>44081</v>
      </c>
      <c r="H98">
        <v>113</v>
      </c>
      <c r="I98" t="s">
        <v>16</v>
      </c>
      <c r="J98">
        <v>722</v>
      </c>
      <c r="K98">
        <v>6</v>
      </c>
      <c r="L98">
        <v>0</v>
      </c>
      <c r="M98">
        <v>0</v>
      </c>
      <c r="N98" t="s">
        <v>21</v>
      </c>
      <c r="O98">
        <v>2020</v>
      </c>
      <c r="P98" t="s">
        <v>18</v>
      </c>
    </row>
    <row r="99" spans="1:16" x14ac:dyDescent="0.3">
      <c r="A99">
        <v>97</v>
      </c>
      <c r="B99" t="s">
        <v>14</v>
      </c>
      <c r="C99" t="s">
        <v>135</v>
      </c>
      <c r="D99" t="str">
        <f>VLOOKUP(YouTube_University_Data_Final[[#This Row],[Title]],[1]!YouTube_University_Data_Final[[Title]:[Title_language]],2,FALSE)</f>
        <v>English</v>
      </c>
      <c r="E99" t="s">
        <v>2944</v>
      </c>
      <c r="F99">
        <v>27</v>
      </c>
      <c r="G99" s="1">
        <v>44081</v>
      </c>
      <c r="H99">
        <v>139</v>
      </c>
      <c r="I99" t="s">
        <v>16</v>
      </c>
      <c r="J99">
        <v>5204</v>
      </c>
      <c r="K99">
        <v>94</v>
      </c>
      <c r="L99">
        <v>0</v>
      </c>
      <c r="M99">
        <v>3</v>
      </c>
      <c r="N99" t="s">
        <v>21</v>
      </c>
      <c r="O99">
        <v>2020</v>
      </c>
      <c r="P99" t="s">
        <v>18</v>
      </c>
    </row>
    <row r="100" spans="1:16" x14ac:dyDescent="0.3">
      <c r="A100">
        <v>98</v>
      </c>
      <c r="B100" t="s">
        <v>14</v>
      </c>
      <c r="C100" t="s">
        <v>136</v>
      </c>
      <c r="D100" t="str">
        <f>VLOOKUP(YouTube_University_Data_Final[[#This Row],[Title]],[1]!YouTube_University_Data_Final[[Title]:[Title_language]],2,FALSE)</f>
        <v>English</v>
      </c>
      <c r="E100" t="s">
        <v>2944</v>
      </c>
      <c r="F100">
        <v>27</v>
      </c>
      <c r="G100" s="1">
        <v>44076</v>
      </c>
      <c r="H100">
        <v>97</v>
      </c>
      <c r="I100" t="s">
        <v>16</v>
      </c>
      <c r="J100">
        <v>1208</v>
      </c>
      <c r="K100">
        <v>5</v>
      </c>
      <c r="L100">
        <v>0</v>
      </c>
      <c r="M100">
        <v>0</v>
      </c>
      <c r="N100" t="s">
        <v>21</v>
      </c>
      <c r="O100">
        <v>2020</v>
      </c>
      <c r="P100" t="s">
        <v>18</v>
      </c>
    </row>
    <row r="101" spans="1:16" x14ac:dyDescent="0.3">
      <c r="A101">
        <v>99</v>
      </c>
      <c r="B101" t="s">
        <v>14</v>
      </c>
      <c r="C101" t="s">
        <v>137</v>
      </c>
      <c r="D101" t="str">
        <f>VLOOKUP(YouTube_University_Data_Final[[#This Row],[Title]],[1]!YouTube_University_Data_Final[[Title]:[Title_language]],2,FALSE)</f>
        <v>English</v>
      </c>
      <c r="E101" t="s">
        <v>2978</v>
      </c>
      <c r="F101">
        <v>27</v>
      </c>
      <c r="G101" s="1">
        <v>44064</v>
      </c>
      <c r="H101">
        <v>119</v>
      </c>
      <c r="I101" t="s">
        <v>16</v>
      </c>
      <c r="J101">
        <v>621</v>
      </c>
      <c r="K101">
        <v>6</v>
      </c>
      <c r="L101">
        <v>0</v>
      </c>
      <c r="M101">
        <v>0</v>
      </c>
      <c r="N101" t="s">
        <v>48</v>
      </c>
      <c r="O101">
        <v>2020</v>
      </c>
      <c r="P101" t="s">
        <v>18</v>
      </c>
    </row>
    <row r="102" spans="1:16" x14ac:dyDescent="0.3">
      <c r="A102">
        <v>100</v>
      </c>
      <c r="B102" t="s">
        <v>14</v>
      </c>
      <c r="C102" t="s">
        <v>138</v>
      </c>
      <c r="D102" t="str">
        <f>VLOOKUP(YouTube_University_Data_Final[[#This Row],[Title]],[1]!YouTube_University_Data_Final[[Title]:[Title_language]],2,FALSE)</f>
        <v>English</v>
      </c>
      <c r="E102" t="s">
        <v>2979</v>
      </c>
      <c r="F102">
        <v>27</v>
      </c>
      <c r="G102" s="1">
        <v>44064</v>
      </c>
      <c r="H102">
        <v>110</v>
      </c>
      <c r="I102" t="s">
        <v>16</v>
      </c>
      <c r="J102">
        <v>552</v>
      </c>
      <c r="K102">
        <v>6</v>
      </c>
      <c r="L102">
        <v>0</v>
      </c>
      <c r="M102">
        <v>1</v>
      </c>
      <c r="N102" t="s">
        <v>48</v>
      </c>
      <c r="O102">
        <v>2020</v>
      </c>
      <c r="P102" t="s">
        <v>18</v>
      </c>
    </row>
    <row r="103" spans="1:16" x14ac:dyDescent="0.3">
      <c r="A103">
        <v>101</v>
      </c>
      <c r="B103" t="s">
        <v>14</v>
      </c>
      <c r="C103" t="s">
        <v>139</v>
      </c>
      <c r="D103" t="str">
        <f>VLOOKUP(YouTube_University_Data_Final[[#This Row],[Title]],[1]!YouTube_University_Data_Final[[Title]:[Title_language]],2,FALSE)</f>
        <v>English</v>
      </c>
      <c r="E103" t="s">
        <v>140</v>
      </c>
      <c r="F103">
        <v>27</v>
      </c>
      <c r="G103" s="1">
        <v>44064</v>
      </c>
      <c r="H103">
        <v>110</v>
      </c>
      <c r="I103" t="s">
        <v>16</v>
      </c>
      <c r="J103">
        <v>277</v>
      </c>
      <c r="K103">
        <v>1</v>
      </c>
      <c r="L103">
        <v>0</v>
      </c>
      <c r="M103">
        <v>1</v>
      </c>
      <c r="N103" t="s">
        <v>48</v>
      </c>
      <c r="O103">
        <v>2020</v>
      </c>
      <c r="P103" t="s">
        <v>18</v>
      </c>
    </row>
    <row r="104" spans="1:16" x14ac:dyDescent="0.3">
      <c r="A104">
        <v>102</v>
      </c>
      <c r="B104" t="s">
        <v>14</v>
      </c>
      <c r="C104" t="s">
        <v>141</v>
      </c>
      <c r="D104" t="str">
        <f>VLOOKUP(YouTube_University_Data_Final[[#This Row],[Title]],[1]!YouTube_University_Data_Final[[Title]:[Title_language]],2,FALSE)</f>
        <v>English</v>
      </c>
      <c r="E104" t="s">
        <v>2980</v>
      </c>
      <c r="F104">
        <v>27</v>
      </c>
      <c r="G104" s="1">
        <v>44064</v>
      </c>
      <c r="H104">
        <v>130</v>
      </c>
      <c r="I104" t="s">
        <v>16</v>
      </c>
      <c r="J104">
        <v>362</v>
      </c>
      <c r="K104">
        <v>1</v>
      </c>
      <c r="L104">
        <v>0</v>
      </c>
      <c r="M104">
        <v>1</v>
      </c>
      <c r="N104" t="s">
        <v>48</v>
      </c>
      <c r="O104">
        <v>2020</v>
      </c>
      <c r="P104" t="s">
        <v>18</v>
      </c>
    </row>
    <row r="105" spans="1:16" x14ac:dyDescent="0.3">
      <c r="A105">
        <v>103</v>
      </c>
      <c r="B105" t="s">
        <v>14</v>
      </c>
      <c r="C105" t="s">
        <v>142</v>
      </c>
      <c r="D105" t="str">
        <f>VLOOKUP(YouTube_University_Data_Final[[#This Row],[Title]],[1]!YouTube_University_Data_Final[[Title]:[Title_language]],2,FALSE)</f>
        <v>English</v>
      </c>
      <c r="E105" t="s">
        <v>2981</v>
      </c>
      <c r="F105">
        <v>27</v>
      </c>
      <c r="G105" s="1">
        <v>44064</v>
      </c>
      <c r="H105">
        <v>141</v>
      </c>
      <c r="I105" t="s">
        <v>16</v>
      </c>
      <c r="J105">
        <v>339</v>
      </c>
      <c r="K105">
        <v>0</v>
      </c>
      <c r="L105">
        <v>0</v>
      </c>
      <c r="M105">
        <v>0</v>
      </c>
      <c r="N105" t="s">
        <v>48</v>
      </c>
      <c r="O105">
        <v>2020</v>
      </c>
      <c r="P105" t="s">
        <v>18</v>
      </c>
    </row>
    <row r="106" spans="1:16" x14ac:dyDescent="0.3">
      <c r="A106">
        <v>104</v>
      </c>
      <c r="B106" t="s">
        <v>14</v>
      </c>
      <c r="C106" t="s">
        <v>143</v>
      </c>
      <c r="D106" t="str">
        <f>VLOOKUP(YouTube_University_Data_Final[[#This Row],[Title]],[1]!YouTube_University_Data_Final[[Title]:[Title_language]],2,FALSE)</f>
        <v>English</v>
      </c>
      <c r="E106" t="s">
        <v>2982</v>
      </c>
      <c r="F106">
        <v>27</v>
      </c>
      <c r="G106" s="1">
        <v>44064</v>
      </c>
      <c r="H106">
        <v>118</v>
      </c>
      <c r="I106" t="s">
        <v>16</v>
      </c>
      <c r="J106">
        <v>652</v>
      </c>
      <c r="K106">
        <v>3</v>
      </c>
      <c r="L106">
        <v>0</v>
      </c>
      <c r="M106">
        <v>1</v>
      </c>
      <c r="N106" t="s">
        <v>48</v>
      </c>
      <c r="O106">
        <v>2020</v>
      </c>
      <c r="P106" t="s">
        <v>18</v>
      </c>
    </row>
    <row r="107" spans="1:16" x14ac:dyDescent="0.3">
      <c r="A107">
        <v>105</v>
      </c>
      <c r="B107" t="s">
        <v>14</v>
      </c>
      <c r="C107" t="s">
        <v>144</v>
      </c>
      <c r="D107" t="str">
        <f>VLOOKUP(YouTube_University_Data_Final[[#This Row],[Title]],[1]!YouTube_University_Data_Final[[Title]:[Title_language]],2,FALSE)</f>
        <v>English</v>
      </c>
      <c r="E107" t="s">
        <v>145</v>
      </c>
      <c r="F107">
        <v>27</v>
      </c>
      <c r="G107" s="1">
        <v>44064</v>
      </c>
      <c r="H107">
        <v>113</v>
      </c>
      <c r="I107" t="s">
        <v>16</v>
      </c>
      <c r="J107">
        <v>1276</v>
      </c>
      <c r="K107">
        <v>4</v>
      </c>
      <c r="L107">
        <v>0</v>
      </c>
      <c r="M107">
        <v>1</v>
      </c>
      <c r="N107" t="s">
        <v>48</v>
      </c>
      <c r="O107">
        <v>2020</v>
      </c>
      <c r="P107" t="s">
        <v>18</v>
      </c>
    </row>
    <row r="108" spans="1:16" x14ac:dyDescent="0.3">
      <c r="A108">
        <v>106</v>
      </c>
      <c r="B108" t="s">
        <v>14</v>
      </c>
      <c r="C108" t="s">
        <v>146</v>
      </c>
      <c r="D108" t="str">
        <f>VLOOKUP(YouTube_University_Data_Final[[#This Row],[Title]],[1]!YouTube_University_Data_Final[[Title]:[Title_language]],2,FALSE)</f>
        <v>English</v>
      </c>
      <c r="E108" t="s">
        <v>2983</v>
      </c>
      <c r="F108">
        <v>27</v>
      </c>
      <c r="G108" s="1">
        <v>44064</v>
      </c>
      <c r="H108">
        <v>110</v>
      </c>
      <c r="I108" t="s">
        <v>16</v>
      </c>
      <c r="J108">
        <v>523</v>
      </c>
      <c r="K108">
        <v>6</v>
      </c>
      <c r="L108">
        <v>0</v>
      </c>
      <c r="M108">
        <v>1</v>
      </c>
      <c r="N108" t="s">
        <v>48</v>
      </c>
      <c r="O108">
        <v>2020</v>
      </c>
      <c r="P108" t="s">
        <v>18</v>
      </c>
    </row>
    <row r="109" spans="1:16" x14ac:dyDescent="0.3">
      <c r="A109">
        <v>107</v>
      </c>
      <c r="B109" t="s">
        <v>14</v>
      </c>
      <c r="C109" t="s">
        <v>147</v>
      </c>
      <c r="D109" t="str">
        <f>VLOOKUP(YouTube_University_Data_Final[[#This Row],[Title]],[1]!YouTube_University_Data_Final[[Title]:[Title_language]],2,FALSE)</f>
        <v>English</v>
      </c>
      <c r="E109" t="s">
        <v>148</v>
      </c>
      <c r="F109">
        <v>27</v>
      </c>
      <c r="G109" s="1">
        <v>44064</v>
      </c>
      <c r="H109">
        <v>108</v>
      </c>
      <c r="I109" t="s">
        <v>16</v>
      </c>
      <c r="J109">
        <v>344</v>
      </c>
      <c r="K109">
        <v>1</v>
      </c>
      <c r="L109">
        <v>0</v>
      </c>
      <c r="M109">
        <v>0</v>
      </c>
      <c r="N109" t="s">
        <v>48</v>
      </c>
      <c r="O109">
        <v>2020</v>
      </c>
      <c r="P109" t="s">
        <v>18</v>
      </c>
    </row>
    <row r="110" spans="1:16" x14ac:dyDescent="0.3">
      <c r="A110">
        <v>108</v>
      </c>
      <c r="B110" t="s">
        <v>14</v>
      </c>
      <c r="C110" t="s">
        <v>149</v>
      </c>
      <c r="D110" t="str">
        <f>VLOOKUP(YouTube_University_Data_Final[[#This Row],[Title]],[1]!YouTube_University_Data_Final[[Title]:[Title_language]],2,FALSE)</f>
        <v>English</v>
      </c>
      <c r="E110" t="s">
        <v>2984</v>
      </c>
      <c r="F110">
        <v>27</v>
      </c>
      <c r="G110" s="1">
        <v>44034</v>
      </c>
      <c r="H110">
        <v>70</v>
      </c>
      <c r="I110" t="s">
        <v>16</v>
      </c>
      <c r="J110">
        <v>245</v>
      </c>
      <c r="K110">
        <v>1</v>
      </c>
      <c r="L110">
        <v>0</v>
      </c>
      <c r="M110">
        <v>0</v>
      </c>
      <c r="N110" t="s">
        <v>56</v>
      </c>
      <c r="O110">
        <v>2020</v>
      </c>
      <c r="P110" t="s">
        <v>18</v>
      </c>
    </row>
    <row r="111" spans="1:16" x14ac:dyDescent="0.3">
      <c r="A111">
        <v>109</v>
      </c>
      <c r="B111" t="s">
        <v>14</v>
      </c>
      <c r="C111" t="s">
        <v>2985</v>
      </c>
      <c r="D111" t="str">
        <f>VLOOKUP(YouTube_University_Data_Final[[#This Row],[Title]],[1]!YouTube_University_Data_Final[[Title]:[Title_language]],2,FALSE)</f>
        <v>Chinese</v>
      </c>
      <c r="E111" t="s">
        <v>2984</v>
      </c>
      <c r="F111">
        <v>27</v>
      </c>
      <c r="G111" s="1">
        <v>44015</v>
      </c>
      <c r="H111">
        <v>70</v>
      </c>
      <c r="I111" t="s">
        <v>16</v>
      </c>
      <c r="J111">
        <v>285</v>
      </c>
      <c r="K111">
        <v>3</v>
      </c>
      <c r="L111">
        <v>0</v>
      </c>
      <c r="M111">
        <v>0</v>
      </c>
      <c r="N111" t="s">
        <v>56</v>
      </c>
      <c r="O111">
        <v>2020</v>
      </c>
      <c r="P111" t="s">
        <v>18</v>
      </c>
    </row>
    <row r="112" spans="1:16" x14ac:dyDescent="0.3">
      <c r="A112">
        <v>110</v>
      </c>
      <c r="B112" t="s">
        <v>14</v>
      </c>
      <c r="C112" t="s">
        <v>149</v>
      </c>
      <c r="D112" t="str">
        <f>VLOOKUP(YouTube_University_Data_Final[[#This Row],[Title]],[1]!YouTube_University_Data_Final[[Title]:[Title_language]],2,FALSE)</f>
        <v>English</v>
      </c>
      <c r="E112" t="s">
        <v>2984</v>
      </c>
      <c r="F112">
        <v>27</v>
      </c>
      <c r="G112" s="1">
        <v>44015</v>
      </c>
      <c r="H112">
        <v>70</v>
      </c>
      <c r="I112" t="s">
        <v>16</v>
      </c>
      <c r="J112">
        <v>572</v>
      </c>
      <c r="K112">
        <v>2</v>
      </c>
      <c r="L112">
        <v>0</v>
      </c>
      <c r="M112">
        <v>1</v>
      </c>
      <c r="N112" t="s">
        <v>56</v>
      </c>
      <c r="O112">
        <v>2020</v>
      </c>
      <c r="P112" t="s">
        <v>18</v>
      </c>
    </row>
    <row r="113" spans="1:16" x14ac:dyDescent="0.3">
      <c r="A113">
        <v>111</v>
      </c>
      <c r="B113" t="s">
        <v>14</v>
      </c>
      <c r="C113" t="s">
        <v>2986</v>
      </c>
      <c r="D113" t="str">
        <f>VLOOKUP(YouTube_University_Data_Final[[#This Row],[Title]],[1]!YouTube_University_Data_Final[[Title]:[Title_language]],2,FALSE)</f>
        <v>Chinese</v>
      </c>
      <c r="E113" t="s">
        <v>2984</v>
      </c>
      <c r="F113">
        <v>27</v>
      </c>
      <c r="G113" s="1">
        <v>44015</v>
      </c>
      <c r="H113">
        <v>70</v>
      </c>
      <c r="I113" t="s">
        <v>16</v>
      </c>
      <c r="J113">
        <v>141</v>
      </c>
      <c r="K113">
        <v>3</v>
      </c>
      <c r="L113">
        <v>0</v>
      </c>
      <c r="M113">
        <v>0</v>
      </c>
      <c r="N113" t="s">
        <v>56</v>
      </c>
      <c r="O113">
        <v>2020</v>
      </c>
      <c r="P113" t="s">
        <v>18</v>
      </c>
    </row>
    <row r="114" spans="1:16" x14ac:dyDescent="0.3">
      <c r="A114">
        <v>112</v>
      </c>
      <c r="B114" t="s">
        <v>14</v>
      </c>
      <c r="C114" t="s">
        <v>150</v>
      </c>
      <c r="D114" t="str">
        <f>VLOOKUP(YouTube_University_Data_Final[[#This Row],[Title]],[1]!YouTube_University_Data_Final[[Title]:[Title_language]],2,FALSE)</f>
        <v>English</v>
      </c>
      <c r="E114" t="s">
        <v>2987</v>
      </c>
      <c r="F114">
        <v>27</v>
      </c>
      <c r="G114" s="1">
        <v>43985</v>
      </c>
      <c r="H114">
        <v>117</v>
      </c>
      <c r="I114" t="s">
        <v>16</v>
      </c>
      <c r="J114">
        <v>1245</v>
      </c>
      <c r="K114">
        <v>6</v>
      </c>
      <c r="L114">
        <v>0</v>
      </c>
      <c r="M114">
        <v>0</v>
      </c>
      <c r="N114" t="s">
        <v>78</v>
      </c>
      <c r="O114">
        <v>2020</v>
      </c>
      <c r="P114" t="s">
        <v>18</v>
      </c>
    </row>
    <row r="115" spans="1:16" x14ac:dyDescent="0.3">
      <c r="A115">
        <v>113</v>
      </c>
      <c r="B115" t="s">
        <v>14</v>
      </c>
      <c r="C115" t="s">
        <v>151</v>
      </c>
      <c r="D115" t="str">
        <f>VLOOKUP(YouTube_University_Data_Final[[#This Row],[Title]],[1]!YouTube_University_Data_Final[[Title]:[Title_language]],2,FALSE)</f>
        <v>English</v>
      </c>
      <c r="E115" t="s">
        <v>152</v>
      </c>
      <c r="F115">
        <v>27</v>
      </c>
      <c r="G115" s="1">
        <v>43978</v>
      </c>
      <c r="H115">
        <v>49</v>
      </c>
      <c r="I115" t="s">
        <v>16</v>
      </c>
      <c r="J115">
        <v>298</v>
      </c>
      <c r="K115">
        <v>5</v>
      </c>
      <c r="L115">
        <v>0</v>
      </c>
      <c r="M115">
        <v>0</v>
      </c>
      <c r="N115" t="s">
        <v>81</v>
      </c>
      <c r="O115">
        <v>2020</v>
      </c>
      <c r="P115" t="s">
        <v>18</v>
      </c>
    </row>
    <row r="116" spans="1:16" x14ac:dyDescent="0.3">
      <c r="A116">
        <v>114</v>
      </c>
      <c r="B116" t="s">
        <v>14</v>
      </c>
      <c r="C116" t="s">
        <v>2988</v>
      </c>
      <c r="D116" t="str">
        <f>VLOOKUP(YouTube_University_Data_Final[[#This Row],[Title]],[1]!YouTube_University_Data_Final[[Title]:[Title_language]],2,FALSE)</f>
        <v>Chinese</v>
      </c>
      <c r="E116" t="s">
        <v>152</v>
      </c>
      <c r="F116">
        <v>27</v>
      </c>
      <c r="G116" s="1">
        <v>43973</v>
      </c>
      <c r="H116">
        <v>49</v>
      </c>
      <c r="I116" t="s">
        <v>16</v>
      </c>
      <c r="J116">
        <v>353</v>
      </c>
      <c r="K116">
        <v>4</v>
      </c>
      <c r="L116">
        <v>0</v>
      </c>
      <c r="M116">
        <v>0</v>
      </c>
      <c r="N116" t="s">
        <v>81</v>
      </c>
      <c r="O116">
        <v>2020</v>
      </c>
      <c r="P116" t="s">
        <v>18</v>
      </c>
    </row>
    <row r="117" spans="1:16" x14ac:dyDescent="0.3">
      <c r="A117">
        <v>115</v>
      </c>
      <c r="B117" t="s">
        <v>14</v>
      </c>
      <c r="C117" t="s">
        <v>151</v>
      </c>
      <c r="D117" t="str">
        <f>VLOOKUP(YouTube_University_Data_Final[[#This Row],[Title]],[1]!YouTube_University_Data_Final[[Title]:[Title_language]],2,FALSE)</f>
        <v>English</v>
      </c>
      <c r="E117" t="s">
        <v>152</v>
      </c>
      <c r="F117">
        <v>27</v>
      </c>
      <c r="G117" s="1">
        <v>43973</v>
      </c>
      <c r="H117">
        <v>49</v>
      </c>
      <c r="I117" t="s">
        <v>16</v>
      </c>
      <c r="J117">
        <v>284</v>
      </c>
      <c r="K117">
        <v>2</v>
      </c>
      <c r="L117">
        <v>0</v>
      </c>
      <c r="M117">
        <v>0</v>
      </c>
      <c r="N117" t="s">
        <v>81</v>
      </c>
      <c r="O117">
        <v>2020</v>
      </c>
      <c r="P117" t="s">
        <v>18</v>
      </c>
    </row>
    <row r="118" spans="1:16" x14ac:dyDescent="0.3">
      <c r="A118">
        <v>116</v>
      </c>
      <c r="B118" t="s">
        <v>14</v>
      </c>
      <c r="C118" t="s">
        <v>2989</v>
      </c>
      <c r="D118" t="str">
        <f>VLOOKUP(YouTube_University_Data_Final[[#This Row],[Title]],[1]!YouTube_University_Data_Final[[Title]:[Title_language]],2,FALSE)</f>
        <v>Chinese</v>
      </c>
      <c r="E118" t="s">
        <v>152</v>
      </c>
      <c r="F118">
        <v>27</v>
      </c>
      <c r="G118" s="1">
        <v>43973</v>
      </c>
      <c r="H118">
        <v>49</v>
      </c>
      <c r="I118" t="s">
        <v>16</v>
      </c>
      <c r="J118">
        <v>137</v>
      </c>
      <c r="K118">
        <v>1</v>
      </c>
      <c r="L118">
        <v>0</v>
      </c>
      <c r="M118">
        <v>0</v>
      </c>
      <c r="N118" t="s">
        <v>81</v>
      </c>
      <c r="O118">
        <v>2020</v>
      </c>
      <c r="P118" t="s">
        <v>18</v>
      </c>
    </row>
    <row r="119" spans="1:16" x14ac:dyDescent="0.3">
      <c r="A119">
        <v>117</v>
      </c>
      <c r="B119" t="s">
        <v>14</v>
      </c>
      <c r="C119" t="s">
        <v>2990</v>
      </c>
      <c r="D119" t="str">
        <f>VLOOKUP(YouTube_University_Data_Final[[#This Row],[Title]],[1]!YouTube_University_Data_Final[[Title]:[Title_language]],2,FALSE)</f>
        <v>Chinese</v>
      </c>
      <c r="E119" t="s">
        <v>2991</v>
      </c>
      <c r="F119">
        <v>27</v>
      </c>
      <c r="G119" s="1">
        <v>43973</v>
      </c>
      <c r="H119">
        <v>97</v>
      </c>
      <c r="I119" t="s">
        <v>16</v>
      </c>
      <c r="J119">
        <v>378</v>
      </c>
      <c r="K119">
        <v>3</v>
      </c>
      <c r="L119">
        <v>0</v>
      </c>
      <c r="M119">
        <v>0</v>
      </c>
      <c r="N119" t="s">
        <v>81</v>
      </c>
      <c r="O119">
        <v>2020</v>
      </c>
      <c r="P119" t="s">
        <v>18</v>
      </c>
    </row>
    <row r="120" spans="1:16" x14ac:dyDescent="0.3">
      <c r="A120">
        <v>118</v>
      </c>
      <c r="B120" t="s">
        <v>14</v>
      </c>
      <c r="C120" t="s">
        <v>153</v>
      </c>
      <c r="D120" t="str">
        <f>VLOOKUP(YouTube_University_Data_Final[[#This Row],[Title]],[1]!YouTube_University_Data_Final[[Title]:[Title_language]],2,FALSE)</f>
        <v>English</v>
      </c>
      <c r="E120" t="s">
        <v>2991</v>
      </c>
      <c r="F120">
        <v>27</v>
      </c>
      <c r="G120" s="1">
        <v>43973</v>
      </c>
      <c r="H120">
        <v>97</v>
      </c>
      <c r="I120" t="s">
        <v>16</v>
      </c>
      <c r="J120">
        <v>569</v>
      </c>
      <c r="K120">
        <v>4</v>
      </c>
      <c r="L120">
        <v>0</v>
      </c>
      <c r="M120">
        <v>0</v>
      </c>
      <c r="N120" t="s">
        <v>81</v>
      </c>
      <c r="O120">
        <v>2020</v>
      </c>
      <c r="P120" t="s">
        <v>18</v>
      </c>
    </row>
    <row r="121" spans="1:16" x14ac:dyDescent="0.3">
      <c r="A121">
        <v>119</v>
      </c>
      <c r="B121" t="s">
        <v>14</v>
      </c>
      <c r="C121" t="s">
        <v>2992</v>
      </c>
      <c r="D121" t="str">
        <f>VLOOKUP(YouTube_University_Data_Final[[#This Row],[Title]],[1]!YouTube_University_Data_Final[[Title]:[Title_language]],2,FALSE)</f>
        <v>Chinese</v>
      </c>
      <c r="E121" t="s">
        <v>2991</v>
      </c>
      <c r="F121">
        <v>27</v>
      </c>
      <c r="G121" s="1">
        <v>43973</v>
      </c>
      <c r="H121">
        <v>97</v>
      </c>
      <c r="I121" t="s">
        <v>16</v>
      </c>
      <c r="J121">
        <v>166</v>
      </c>
      <c r="K121">
        <v>0</v>
      </c>
      <c r="L121">
        <v>0</v>
      </c>
      <c r="M121">
        <v>0</v>
      </c>
      <c r="N121" t="s">
        <v>81</v>
      </c>
      <c r="O121">
        <v>2020</v>
      </c>
      <c r="P121" t="s">
        <v>18</v>
      </c>
    </row>
    <row r="122" spans="1:16" x14ac:dyDescent="0.3">
      <c r="A122">
        <v>120</v>
      </c>
      <c r="B122" t="s">
        <v>14</v>
      </c>
      <c r="C122" t="s">
        <v>154</v>
      </c>
      <c r="D122" t="str">
        <f>VLOOKUP(YouTube_University_Data_Final[[#This Row],[Title]],[1]!YouTube_University_Data_Final[[Title]:[Title_language]],2,FALSE)</f>
        <v>English</v>
      </c>
      <c r="E122" t="s">
        <v>2993</v>
      </c>
      <c r="F122">
        <v>27</v>
      </c>
      <c r="G122" s="1">
        <v>43973</v>
      </c>
      <c r="H122">
        <v>79</v>
      </c>
      <c r="I122" t="s">
        <v>16</v>
      </c>
      <c r="J122">
        <v>711</v>
      </c>
      <c r="K122">
        <v>6</v>
      </c>
      <c r="L122">
        <v>0</v>
      </c>
      <c r="M122">
        <v>0</v>
      </c>
      <c r="N122" t="s">
        <v>81</v>
      </c>
      <c r="O122">
        <v>2020</v>
      </c>
      <c r="P122" t="s">
        <v>18</v>
      </c>
    </row>
    <row r="123" spans="1:16" x14ac:dyDescent="0.3">
      <c r="A123">
        <v>121</v>
      </c>
      <c r="B123" t="s">
        <v>14</v>
      </c>
      <c r="C123" t="s">
        <v>2994</v>
      </c>
      <c r="D123" t="str">
        <f>VLOOKUP(YouTube_University_Data_Final[[#This Row],[Title]],[1]!YouTube_University_Data_Final[[Title]:[Title_language]],2,FALSE)</f>
        <v>Chinese</v>
      </c>
      <c r="E123" t="s">
        <v>2993</v>
      </c>
      <c r="F123">
        <v>27</v>
      </c>
      <c r="G123" s="1">
        <v>43973</v>
      </c>
      <c r="H123">
        <v>79</v>
      </c>
      <c r="I123" t="s">
        <v>16</v>
      </c>
      <c r="J123">
        <v>97</v>
      </c>
      <c r="K123">
        <v>0</v>
      </c>
      <c r="L123">
        <v>0</v>
      </c>
      <c r="M123">
        <v>0</v>
      </c>
      <c r="N123" t="s">
        <v>81</v>
      </c>
      <c r="O123">
        <v>2020</v>
      </c>
      <c r="P123" t="s">
        <v>18</v>
      </c>
    </row>
    <row r="124" spans="1:16" x14ac:dyDescent="0.3">
      <c r="A124">
        <v>122</v>
      </c>
      <c r="B124" t="s">
        <v>14</v>
      </c>
      <c r="C124" t="s">
        <v>2995</v>
      </c>
      <c r="D124" t="str">
        <f>VLOOKUP(YouTube_University_Data_Final[[#This Row],[Title]],[1]!YouTube_University_Data_Final[[Title]:[Title_language]],2,FALSE)</f>
        <v>Chinese</v>
      </c>
      <c r="E124" t="s">
        <v>2993</v>
      </c>
      <c r="F124">
        <v>27</v>
      </c>
      <c r="G124" s="1">
        <v>43973</v>
      </c>
      <c r="H124">
        <v>79</v>
      </c>
      <c r="I124" t="s">
        <v>16</v>
      </c>
      <c r="J124">
        <v>186</v>
      </c>
      <c r="K124">
        <v>1</v>
      </c>
      <c r="L124">
        <v>0</v>
      </c>
      <c r="M124">
        <v>0</v>
      </c>
      <c r="N124" t="s">
        <v>81</v>
      </c>
      <c r="O124">
        <v>2020</v>
      </c>
      <c r="P124" t="s">
        <v>18</v>
      </c>
    </row>
    <row r="125" spans="1:16" x14ac:dyDescent="0.3">
      <c r="A125">
        <v>123</v>
      </c>
      <c r="B125" t="s">
        <v>14</v>
      </c>
      <c r="C125" t="s">
        <v>2996</v>
      </c>
      <c r="D125" t="str">
        <f>VLOOKUP(YouTube_University_Data_Final[[#This Row],[Title]],[1]!YouTube_University_Data_Final[[Title]:[Title_language]],2,FALSE)</f>
        <v>Chinese</v>
      </c>
      <c r="E125" t="s">
        <v>2997</v>
      </c>
      <c r="F125">
        <v>27</v>
      </c>
      <c r="G125" s="1">
        <v>43973</v>
      </c>
      <c r="H125">
        <v>113</v>
      </c>
      <c r="I125" t="s">
        <v>16</v>
      </c>
      <c r="J125">
        <v>185</v>
      </c>
      <c r="K125">
        <v>0</v>
      </c>
      <c r="L125">
        <v>0</v>
      </c>
      <c r="M125">
        <v>1</v>
      </c>
      <c r="N125" t="s">
        <v>81</v>
      </c>
      <c r="O125">
        <v>2020</v>
      </c>
      <c r="P125" t="s">
        <v>18</v>
      </c>
    </row>
    <row r="126" spans="1:16" x14ac:dyDescent="0.3">
      <c r="A126">
        <v>124</v>
      </c>
      <c r="B126" t="s">
        <v>14</v>
      </c>
      <c r="C126" t="s">
        <v>2998</v>
      </c>
      <c r="D126" t="str">
        <f>VLOOKUP(YouTube_University_Data_Final[[#This Row],[Title]],[1]!YouTube_University_Data_Final[[Title]:[Title_language]],2,FALSE)</f>
        <v>Chinese</v>
      </c>
      <c r="E126" t="s">
        <v>2997</v>
      </c>
      <c r="F126">
        <v>27</v>
      </c>
      <c r="G126" s="1">
        <v>43973</v>
      </c>
      <c r="H126">
        <v>113</v>
      </c>
      <c r="I126" t="s">
        <v>16</v>
      </c>
      <c r="J126">
        <v>217</v>
      </c>
      <c r="K126">
        <v>3</v>
      </c>
      <c r="L126">
        <v>0</v>
      </c>
      <c r="M126">
        <v>0</v>
      </c>
      <c r="N126" t="s">
        <v>81</v>
      </c>
      <c r="O126">
        <v>2020</v>
      </c>
      <c r="P126" t="s">
        <v>18</v>
      </c>
    </row>
    <row r="127" spans="1:16" x14ac:dyDescent="0.3">
      <c r="A127">
        <v>125</v>
      </c>
      <c r="B127" t="s">
        <v>14</v>
      </c>
      <c r="C127" t="s">
        <v>155</v>
      </c>
      <c r="D127" t="str">
        <f>VLOOKUP(YouTube_University_Data_Final[[#This Row],[Title]],[1]!YouTube_University_Data_Final[[Title]:[Title_language]],2,FALSE)</f>
        <v>English</v>
      </c>
      <c r="E127" t="s">
        <v>2997</v>
      </c>
      <c r="F127">
        <v>27</v>
      </c>
      <c r="G127" s="1">
        <v>43973</v>
      </c>
      <c r="H127">
        <v>113</v>
      </c>
      <c r="I127" t="s">
        <v>16</v>
      </c>
      <c r="J127">
        <v>873</v>
      </c>
      <c r="K127">
        <v>4</v>
      </c>
      <c r="L127">
        <v>0</v>
      </c>
      <c r="M127">
        <v>0</v>
      </c>
      <c r="N127" t="s">
        <v>81</v>
      </c>
      <c r="O127">
        <v>2020</v>
      </c>
      <c r="P127" t="s">
        <v>18</v>
      </c>
    </row>
    <row r="128" spans="1:16" x14ac:dyDescent="0.3">
      <c r="A128">
        <v>126</v>
      </c>
      <c r="B128" t="s">
        <v>14</v>
      </c>
      <c r="C128" t="s">
        <v>2986</v>
      </c>
      <c r="D128" t="str">
        <f>VLOOKUP(YouTube_University_Data_Final[[#This Row],[Title]],[1]!YouTube_University_Data_Final[[Title]:[Title_language]],2,FALSE)</f>
        <v>Chinese</v>
      </c>
      <c r="E128" t="s">
        <v>2984</v>
      </c>
      <c r="F128">
        <v>27</v>
      </c>
      <c r="G128" s="1">
        <v>43973</v>
      </c>
      <c r="H128">
        <v>70</v>
      </c>
      <c r="I128" t="s">
        <v>16</v>
      </c>
      <c r="J128">
        <v>93</v>
      </c>
      <c r="K128">
        <v>0</v>
      </c>
      <c r="L128">
        <v>0</v>
      </c>
      <c r="M128">
        <v>0</v>
      </c>
      <c r="N128" t="s">
        <v>81</v>
      </c>
      <c r="O128">
        <v>2020</v>
      </c>
      <c r="P128" t="s">
        <v>18</v>
      </c>
    </row>
    <row r="129" spans="1:16" x14ac:dyDescent="0.3">
      <c r="A129">
        <v>127</v>
      </c>
      <c r="B129" t="s">
        <v>14</v>
      </c>
      <c r="C129" t="s">
        <v>2985</v>
      </c>
      <c r="D129" t="str">
        <f>VLOOKUP(YouTube_University_Data_Final[[#This Row],[Title]],[1]!YouTube_University_Data_Final[[Title]:[Title_language]],2,FALSE)</f>
        <v>Chinese</v>
      </c>
      <c r="E129" t="s">
        <v>2984</v>
      </c>
      <c r="F129">
        <v>27</v>
      </c>
      <c r="G129" s="1">
        <v>43973</v>
      </c>
      <c r="H129">
        <v>70</v>
      </c>
      <c r="I129" t="s">
        <v>16</v>
      </c>
      <c r="J129">
        <v>227</v>
      </c>
      <c r="K129">
        <v>2</v>
      </c>
      <c r="L129">
        <v>0</v>
      </c>
      <c r="M129">
        <v>0</v>
      </c>
      <c r="N129" t="s">
        <v>81</v>
      </c>
      <c r="O129">
        <v>2020</v>
      </c>
      <c r="P129" t="s">
        <v>18</v>
      </c>
    </row>
    <row r="130" spans="1:16" x14ac:dyDescent="0.3">
      <c r="A130">
        <v>128</v>
      </c>
      <c r="B130" t="s">
        <v>14</v>
      </c>
      <c r="C130" t="s">
        <v>149</v>
      </c>
      <c r="D130" t="str">
        <f>VLOOKUP(YouTube_University_Data_Final[[#This Row],[Title]],[1]!YouTube_University_Data_Final[[Title]:[Title_language]],2,FALSE)</f>
        <v>English</v>
      </c>
      <c r="E130" t="s">
        <v>2984</v>
      </c>
      <c r="F130">
        <v>27</v>
      </c>
      <c r="G130" s="1">
        <v>43973</v>
      </c>
      <c r="H130">
        <v>69</v>
      </c>
      <c r="I130" t="s">
        <v>16</v>
      </c>
      <c r="J130">
        <v>221</v>
      </c>
      <c r="K130">
        <v>5</v>
      </c>
      <c r="L130">
        <v>0</v>
      </c>
      <c r="M130">
        <v>0</v>
      </c>
      <c r="N130" t="s">
        <v>81</v>
      </c>
      <c r="O130">
        <v>2020</v>
      </c>
      <c r="P130" t="s">
        <v>18</v>
      </c>
    </row>
    <row r="131" spans="1:16" x14ac:dyDescent="0.3">
      <c r="A131">
        <v>129</v>
      </c>
      <c r="B131" t="s">
        <v>14</v>
      </c>
      <c r="C131" t="s">
        <v>149</v>
      </c>
      <c r="D131" t="str">
        <f>VLOOKUP(YouTube_University_Data_Final[[#This Row],[Title]],[1]!YouTube_University_Data_Final[[Title]:[Title_language]],2,FALSE)</f>
        <v>English</v>
      </c>
      <c r="E131" t="s">
        <v>2984</v>
      </c>
      <c r="F131">
        <v>27</v>
      </c>
      <c r="G131" s="1">
        <v>43969</v>
      </c>
      <c r="H131">
        <v>69</v>
      </c>
      <c r="I131" t="s">
        <v>16</v>
      </c>
      <c r="J131">
        <v>164</v>
      </c>
      <c r="K131">
        <v>1</v>
      </c>
      <c r="L131">
        <v>0</v>
      </c>
      <c r="M131">
        <v>0</v>
      </c>
      <c r="N131" t="s">
        <v>81</v>
      </c>
      <c r="O131">
        <v>2020</v>
      </c>
      <c r="P131" t="s">
        <v>18</v>
      </c>
    </row>
    <row r="132" spans="1:16" x14ac:dyDescent="0.3">
      <c r="A132">
        <v>130</v>
      </c>
      <c r="B132" t="s">
        <v>14</v>
      </c>
      <c r="C132" t="s">
        <v>153</v>
      </c>
      <c r="D132" t="str">
        <f>VLOOKUP(YouTube_University_Data_Final[[#This Row],[Title]],[1]!YouTube_University_Data_Final[[Title]:[Title_language]],2,FALSE)</f>
        <v>English</v>
      </c>
      <c r="E132" t="s">
        <v>2991</v>
      </c>
      <c r="F132">
        <v>27</v>
      </c>
      <c r="G132" s="1">
        <v>43969</v>
      </c>
      <c r="H132">
        <v>97</v>
      </c>
      <c r="I132" t="s">
        <v>16</v>
      </c>
      <c r="J132">
        <v>252</v>
      </c>
      <c r="K132">
        <v>3</v>
      </c>
      <c r="L132">
        <v>0</v>
      </c>
      <c r="M132">
        <v>0</v>
      </c>
      <c r="N132" t="s">
        <v>81</v>
      </c>
      <c r="O132">
        <v>2020</v>
      </c>
      <c r="P132" t="s">
        <v>18</v>
      </c>
    </row>
    <row r="133" spans="1:16" x14ac:dyDescent="0.3">
      <c r="A133">
        <v>131</v>
      </c>
      <c r="B133" t="s">
        <v>14</v>
      </c>
      <c r="C133" t="s">
        <v>154</v>
      </c>
      <c r="D133" t="str">
        <f>VLOOKUP(YouTube_University_Data_Final[[#This Row],[Title]],[1]!YouTube_University_Data_Final[[Title]:[Title_language]],2,FALSE)</f>
        <v>English</v>
      </c>
      <c r="E133" t="s">
        <v>2993</v>
      </c>
      <c r="F133">
        <v>27</v>
      </c>
      <c r="G133" s="1">
        <v>43969</v>
      </c>
      <c r="H133">
        <v>79</v>
      </c>
      <c r="I133" t="s">
        <v>16</v>
      </c>
      <c r="J133">
        <v>221</v>
      </c>
      <c r="K133">
        <v>0</v>
      </c>
      <c r="L133">
        <v>0</v>
      </c>
      <c r="M133">
        <v>0</v>
      </c>
      <c r="N133" t="s">
        <v>81</v>
      </c>
      <c r="O133">
        <v>2020</v>
      </c>
      <c r="P133" t="s">
        <v>18</v>
      </c>
    </row>
    <row r="134" spans="1:16" x14ac:dyDescent="0.3">
      <c r="A134">
        <v>132</v>
      </c>
      <c r="B134" t="s">
        <v>14</v>
      </c>
      <c r="C134" t="s">
        <v>155</v>
      </c>
      <c r="D134" t="str">
        <f>VLOOKUP(YouTube_University_Data_Final[[#This Row],[Title]],[1]!YouTube_University_Data_Final[[Title]:[Title_language]],2,FALSE)</f>
        <v>English</v>
      </c>
      <c r="E134" t="s">
        <v>2997</v>
      </c>
      <c r="F134">
        <v>27</v>
      </c>
      <c r="G134" s="1">
        <v>43969</v>
      </c>
      <c r="H134">
        <v>113</v>
      </c>
      <c r="I134" t="s">
        <v>16</v>
      </c>
      <c r="J134">
        <v>415</v>
      </c>
      <c r="K134">
        <v>3</v>
      </c>
      <c r="L134">
        <v>0</v>
      </c>
      <c r="M134">
        <v>0</v>
      </c>
      <c r="N134" t="s">
        <v>81</v>
      </c>
      <c r="O134">
        <v>2020</v>
      </c>
      <c r="P134" t="s">
        <v>18</v>
      </c>
    </row>
    <row r="135" spans="1:16" x14ac:dyDescent="0.3">
      <c r="A135">
        <v>133</v>
      </c>
      <c r="B135" t="s">
        <v>14</v>
      </c>
      <c r="C135" t="s">
        <v>2999</v>
      </c>
      <c r="D135" t="str">
        <f>VLOOKUP(YouTube_University_Data_Final[[#This Row],[Title]],[1]!YouTube_University_Data_Final[[Title]:[Title_language]],2,FALSE)</f>
        <v>Chinese</v>
      </c>
      <c r="E135" t="s">
        <v>3000</v>
      </c>
      <c r="F135">
        <v>27</v>
      </c>
      <c r="G135" s="1">
        <v>43969</v>
      </c>
      <c r="H135">
        <v>117</v>
      </c>
      <c r="I135" t="s">
        <v>16</v>
      </c>
      <c r="J135">
        <v>552</v>
      </c>
      <c r="K135">
        <v>4</v>
      </c>
      <c r="L135">
        <v>0</v>
      </c>
      <c r="M135">
        <v>0</v>
      </c>
      <c r="N135" t="s">
        <v>81</v>
      </c>
      <c r="O135">
        <v>2020</v>
      </c>
      <c r="P135" t="s">
        <v>18</v>
      </c>
    </row>
    <row r="136" spans="1:16" x14ac:dyDescent="0.3">
      <c r="A136">
        <v>134</v>
      </c>
      <c r="B136" t="s">
        <v>14</v>
      </c>
      <c r="C136" t="s">
        <v>3001</v>
      </c>
      <c r="D136" t="str">
        <f>VLOOKUP(YouTube_University_Data_Final[[#This Row],[Title]],[1]!YouTube_University_Data_Final[[Title]:[Title_language]],2,FALSE)</f>
        <v>Chinese</v>
      </c>
      <c r="E136" t="s">
        <v>3000</v>
      </c>
      <c r="F136">
        <v>27</v>
      </c>
      <c r="G136" s="1">
        <v>43969</v>
      </c>
      <c r="H136">
        <v>117</v>
      </c>
      <c r="I136" t="s">
        <v>16</v>
      </c>
      <c r="J136">
        <v>1225</v>
      </c>
      <c r="K136">
        <v>3</v>
      </c>
      <c r="L136">
        <v>0</v>
      </c>
      <c r="M136">
        <v>0</v>
      </c>
      <c r="N136" t="s">
        <v>81</v>
      </c>
      <c r="O136">
        <v>2020</v>
      </c>
      <c r="P136" t="s">
        <v>18</v>
      </c>
    </row>
    <row r="137" spans="1:16" x14ac:dyDescent="0.3">
      <c r="A137">
        <v>135</v>
      </c>
      <c r="B137" t="s">
        <v>14</v>
      </c>
      <c r="C137" t="s">
        <v>150</v>
      </c>
      <c r="D137" t="str">
        <f>VLOOKUP(YouTube_University_Data_Final[[#This Row],[Title]],[1]!YouTube_University_Data_Final[[Title]:[Title_language]],2,FALSE)</f>
        <v>English</v>
      </c>
      <c r="E137" t="s">
        <v>3000</v>
      </c>
      <c r="F137">
        <v>27</v>
      </c>
      <c r="G137" s="1">
        <v>43969</v>
      </c>
      <c r="H137">
        <v>117</v>
      </c>
      <c r="I137" t="s">
        <v>16</v>
      </c>
      <c r="J137">
        <v>9174</v>
      </c>
      <c r="K137">
        <v>40</v>
      </c>
      <c r="L137">
        <v>0</v>
      </c>
      <c r="M137">
        <v>1</v>
      </c>
      <c r="N137" t="s">
        <v>81</v>
      </c>
      <c r="O137">
        <v>2020</v>
      </c>
      <c r="P137" t="s">
        <v>18</v>
      </c>
    </row>
    <row r="138" spans="1:16" x14ac:dyDescent="0.3">
      <c r="A138">
        <v>136</v>
      </c>
      <c r="B138" t="s">
        <v>14</v>
      </c>
      <c r="C138" t="s">
        <v>2975</v>
      </c>
      <c r="D138" t="str">
        <f>VLOOKUP(YouTube_University_Data_Final[[#This Row],[Title]],[1]!YouTube_University_Data_Final[[Title]:[Title_language]],2,FALSE)</f>
        <v>Chinese</v>
      </c>
      <c r="E138" t="s">
        <v>2944</v>
      </c>
      <c r="F138">
        <v>27</v>
      </c>
      <c r="G138" s="1">
        <v>43957</v>
      </c>
      <c r="H138">
        <v>263</v>
      </c>
      <c r="I138" t="s">
        <v>16</v>
      </c>
      <c r="J138">
        <v>396</v>
      </c>
      <c r="K138">
        <v>2</v>
      </c>
      <c r="L138">
        <v>0</v>
      </c>
      <c r="M138">
        <v>0</v>
      </c>
      <c r="N138" t="s">
        <v>81</v>
      </c>
      <c r="O138">
        <v>2020</v>
      </c>
      <c r="P138" t="s">
        <v>18</v>
      </c>
    </row>
    <row r="139" spans="1:16" x14ac:dyDescent="0.3">
      <c r="A139">
        <v>137</v>
      </c>
      <c r="B139" t="s">
        <v>14</v>
      </c>
      <c r="C139" t="s">
        <v>2973</v>
      </c>
      <c r="D139" t="str">
        <f>VLOOKUP(YouTube_University_Data_Final[[#This Row],[Title]],[1]!YouTube_University_Data_Final[[Title]:[Title_language]],2,FALSE)</f>
        <v>Chinese</v>
      </c>
      <c r="E139" t="s">
        <v>2944</v>
      </c>
      <c r="F139">
        <v>27</v>
      </c>
      <c r="G139" s="1">
        <v>43957</v>
      </c>
      <c r="H139">
        <v>264</v>
      </c>
      <c r="I139" t="s">
        <v>16</v>
      </c>
      <c r="J139">
        <v>342</v>
      </c>
      <c r="K139">
        <v>4</v>
      </c>
      <c r="L139">
        <v>0</v>
      </c>
      <c r="M139">
        <v>0</v>
      </c>
      <c r="N139" t="s">
        <v>81</v>
      </c>
      <c r="O139">
        <v>2020</v>
      </c>
      <c r="P139" t="s">
        <v>18</v>
      </c>
    </row>
    <row r="140" spans="1:16" x14ac:dyDescent="0.3">
      <c r="A140">
        <v>138</v>
      </c>
      <c r="B140" t="s">
        <v>14</v>
      </c>
      <c r="C140" t="s">
        <v>2974</v>
      </c>
      <c r="D140" t="str">
        <f>VLOOKUP(YouTube_University_Data_Final[[#This Row],[Title]],[1]!YouTube_University_Data_Final[[Title]:[Title_language]],2,FALSE)</f>
        <v>English</v>
      </c>
      <c r="E140" t="s">
        <v>156</v>
      </c>
      <c r="F140">
        <v>27</v>
      </c>
      <c r="G140" s="1">
        <v>43925</v>
      </c>
      <c r="H140">
        <v>264</v>
      </c>
      <c r="I140" t="s">
        <v>157</v>
      </c>
      <c r="J140">
        <v>3097</v>
      </c>
      <c r="K140">
        <v>24</v>
      </c>
      <c r="L140">
        <v>0</v>
      </c>
      <c r="M140">
        <v>1</v>
      </c>
      <c r="N140" t="s">
        <v>87</v>
      </c>
      <c r="O140">
        <v>2020</v>
      </c>
      <c r="P140" t="s">
        <v>18</v>
      </c>
    </row>
    <row r="141" spans="1:16" x14ac:dyDescent="0.3">
      <c r="A141">
        <v>139</v>
      </c>
      <c r="B141" t="s">
        <v>14</v>
      </c>
      <c r="C141" t="s">
        <v>158</v>
      </c>
      <c r="D141" t="str">
        <f>VLOOKUP(YouTube_University_Data_Final[[#This Row],[Title]],[1]!YouTube_University_Data_Final[[Title]:[Title_language]],2,FALSE)</f>
        <v>English</v>
      </c>
      <c r="E141" t="s">
        <v>158</v>
      </c>
      <c r="F141">
        <v>27</v>
      </c>
      <c r="G141" s="1">
        <v>43914</v>
      </c>
      <c r="H141">
        <v>114</v>
      </c>
      <c r="I141" t="s">
        <v>16</v>
      </c>
      <c r="J141">
        <v>2113</v>
      </c>
      <c r="K141">
        <v>9</v>
      </c>
      <c r="L141">
        <v>0</v>
      </c>
      <c r="M141">
        <v>1</v>
      </c>
      <c r="N141" t="s">
        <v>90</v>
      </c>
      <c r="O141">
        <v>2020</v>
      </c>
      <c r="P141" t="s">
        <v>18</v>
      </c>
    </row>
    <row r="142" spans="1:16" x14ac:dyDescent="0.3">
      <c r="A142">
        <v>140</v>
      </c>
      <c r="B142" t="s">
        <v>14</v>
      </c>
      <c r="C142" t="s">
        <v>159</v>
      </c>
      <c r="D142" t="str">
        <f>VLOOKUP(YouTube_University_Data_Final[[#This Row],[Title]],[1]!YouTube_University_Data_Final[[Title]:[Title_language]],2,FALSE)</f>
        <v>English</v>
      </c>
      <c r="E142" t="s">
        <v>160</v>
      </c>
      <c r="F142">
        <v>27</v>
      </c>
      <c r="G142" s="1">
        <v>43914</v>
      </c>
      <c r="H142">
        <v>365</v>
      </c>
      <c r="I142" t="s">
        <v>16</v>
      </c>
      <c r="J142">
        <v>1081</v>
      </c>
      <c r="K142">
        <v>13</v>
      </c>
      <c r="L142">
        <v>0</v>
      </c>
      <c r="M142">
        <v>0</v>
      </c>
      <c r="N142" t="s">
        <v>90</v>
      </c>
      <c r="O142">
        <v>2020</v>
      </c>
      <c r="P142" t="s">
        <v>18</v>
      </c>
    </row>
    <row r="143" spans="1:16" x14ac:dyDescent="0.3">
      <c r="A143">
        <v>141</v>
      </c>
      <c r="B143" t="s">
        <v>14</v>
      </c>
      <c r="C143" t="s">
        <v>161</v>
      </c>
      <c r="D143" t="str">
        <f>VLOOKUP(YouTube_University_Data_Final[[#This Row],[Title]],[1]!YouTube_University_Data_Final[[Title]:[Title_language]],2,FALSE)</f>
        <v>English</v>
      </c>
      <c r="E143" t="s">
        <v>2944</v>
      </c>
      <c r="F143">
        <v>27</v>
      </c>
      <c r="G143" s="1">
        <v>43898</v>
      </c>
      <c r="H143">
        <v>32</v>
      </c>
      <c r="I143" t="s">
        <v>16</v>
      </c>
      <c r="J143">
        <v>201</v>
      </c>
      <c r="K143">
        <v>2</v>
      </c>
      <c r="L143">
        <v>0</v>
      </c>
      <c r="M143">
        <v>0</v>
      </c>
      <c r="N143" t="s">
        <v>90</v>
      </c>
      <c r="O143">
        <v>2020</v>
      </c>
      <c r="P143" t="s">
        <v>18</v>
      </c>
    </row>
    <row r="144" spans="1:16" x14ac:dyDescent="0.3">
      <c r="A144">
        <v>142</v>
      </c>
      <c r="B144" t="s">
        <v>14</v>
      </c>
      <c r="C144" t="s">
        <v>3002</v>
      </c>
      <c r="D144" t="str">
        <f>VLOOKUP(YouTube_University_Data_Final[[#This Row],[Title]],[1]!YouTube_University_Data_Final[[Title]:[Title_language]],2,FALSE)</f>
        <v>Bilingual</v>
      </c>
      <c r="E144" t="s">
        <v>2944</v>
      </c>
      <c r="F144">
        <v>27</v>
      </c>
      <c r="G144" s="1">
        <v>43888</v>
      </c>
      <c r="H144">
        <v>16</v>
      </c>
      <c r="I144" t="s">
        <v>16</v>
      </c>
      <c r="J144">
        <v>657</v>
      </c>
      <c r="K144">
        <v>1</v>
      </c>
      <c r="L144">
        <v>0</v>
      </c>
      <c r="M144">
        <v>0</v>
      </c>
      <c r="N144" t="s">
        <v>162</v>
      </c>
      <c r="O144">
        <v>2020</v>
      </c>
      <c r="P144" t="s">
        <v>18</v>
      </c>
    </row>
    <row r="145" spans="1:16" x14ac:dyDescent="0.3">
      <c r="A145">
        <v>143</v>
      </c>
      <c r="B145" t="s">
        <v>14</v>
      </c>
      <c r="C145" t="s">
        <v>163</v>
      </c>
      <c r="D145" t="str">
        <f>VLOOKUP(YouTube_University_Data_Final[[#This Row],[Title]],[1]!YouTube_University_Data_Final[[Title]:[Title_language]],2,FALSE)</f>
        <v>English</v>
      </c>
      <c r="E145" t="s">
        <v>2944</v>
      </c>
      <c r="F145">
        <v>27</v>
      </c>
      <c r="G145" s="1">
        <v>43879</v>
      </c>
      <c r="H145">
        <v>190</v>
      </c>
      <c r="I145" t="s">
        <v>16</v>
      </c>
      <c r="J145">
        <v>2974</v>
      </c>
      <c r="K145">
        <v>16</v>
      </c>
      <c r="L145">
        <v>0</v>
      </c>
      <c r="M145">
        <v>2</v>
      </c>
      <c r="N145" t="s">
        <v>162</v>
      </c>
      <c r="O145">
        <v>2020</v>
      </c>
      <c r="P145" t="s">
        <v>18</v>
      </c>
    </row>
    <row r="146" spans="1:16" x14ac:dyDescent="0.3">
      <c r="A146">
        <v>144</v>
      </c>
      <c r="B146" t="s">
        <v>14</v>
      </c>
      <c r="C146" t="s">
        <v>3003</v>
      </c>
      <c r="D146" t="str">
        <f>VLOOKUP(YouTube_University_Data_Final[[#This Row],[Title]],[1]!YouTube_University_Data_Final[[Title]:[Title_language]],2,FALSE)</f>
        <v>English</v>
      </c>
      <c r="E146" t="s">
        <v>2944</v>
      </c>
      <c r="F146">
        <v>27</v>
      </c>
      <c r="G146" s="1">
        <v>43760</v>
      </c>
      <c r="H146">
        <v>128</v>
      </c>
      <c r="I146" t="s">
        <v>16</v>
      </c>
      <c r="J146">
        <v>352</v>
      </c>
      <c r="K146">
        <v>6</v>
      </c>
      <c r="L146">
        <v>0</v>
      </c>
      <c r="M146">
        <v>1</v>
      </c>
      <c r="N146" t="s">
        <v>17</v>
      </c>
      <c r="O146">
        <v>2019</v>
      </c>
      <c r="P146" t="s">
        <v>18</v>
      </c>
    </row>
    <row r="147" spans="1:16" x14ac:dyDescent="0.3">
      <c r="A147">
        <v>145</v>
      </c>
      <c r="B147" t="s">
        <v>14</v>
      </c>
      <c r="C147" t="s">
        <v>164</v>
      </c>
      <c r="D147" t="str">
        <f>VLOOKUP(YouTube_University_Data_Final[[#This Row],[Title]],[1]!YouTube_University_Data_Final[[Title]:[Title_language]],2,FALSE)</f>
        <v>English</v>
      </c>
      <c r="E147" t="s">
        <v>2944</v>
      </c>
      <c r="F147">
        <v>27</v>
      </c>
      <c r="G147" s="1">
        <v>43754</v>
      </c>
      <c r="H147">
        <v>1476</v>
      </c>
      <c r="I147" t="s">
        <v>16</v>
      </c>
      <c r="J147">
        <v>1153</v>
      </c>
      <c r="K147">
        <v>11</v>
      </c>
      <c r="L147">
        <v>0</v>
      </c>
      <c r="M147">
        <v>0</v>
      </c>
      <c r="N147" t="s">
        <v>17</v>
      </c>
      <c r="O147">
        <v>2019</v>
      </c>
      <c r="P147" t="s">
        <v>18</v>
      </c>
    </row>
    <row r="148" spans="1:16" x14ac:dyDescent="0.3">
      <c r="A148">
        <v>146</v>
      </c>
      <c r="B148" t="s">
        <v>14</v>
      </c>
      <c r="C148" t="s">
        <v>165</v>
      </c>
      <c r="D148" t="str">
        <f>VLOOKUP(YouTube_University_Data_Final[[#This Row],[Title]],[1]!YouTube_University_Data_Final[[Title]:[Title_language]],2,FALSE)</f>
        <v>English</v>
      </c>
      <c r="E148" t="s">
        <v>166</v>
      </c>
      <c r="F148">
        <v>27</v>
      </c>
      <c r="G148" s="1">
        <v>43640</v>
      </c>
      <c r="H148">
        <v>95</v>
      </c>
      <c r="I148" t="s">
        <v>16</v>
      </c>
      <c r="J148">
        <v>341</v>
      </c>
      <c r="K148">
        <v>8</v>
      </c>
      <c r="L148">
        <v>0</v>
      </c>
      <c r="M148">
        <v>1</v>
      </c>
      <c r="N148" t="s">
        <v>78</v>
      </c>
      <c r="O148">
        <v>2019</v>
      </c>
      <c r="P148" t="s">
        <v>18</v>
      </c>
    </row>
    <row r="149" spans="1:16" x14ac:dyDescent="0.3">
      <c r="A149">
        <v>147</v>
      </c>
      <c r="B149" t="s">
        <v>14</v>
      </c>
      <c r="C149" t="s">
        <v>14</v>
      </c>
      <c r="D149" t="str">
        <f>VLOOKUP(YouTube_University_Data_Final[[#This Row],[Title]],[1]!YouTube_University_Data_Final[[Title]:[Title_language]],2,FALSE)</f>
        <v>English</v>
      </c>
      <c r="E149" t="s">
        <v>2944</v>
      </c>
      <c r="F149">
        <v>27</v>
      </c>
      <c r="G149" s="1">
        <v>43622</v>
      </c>
      <c r="H149">
        <v>117</v>
      </c>
      <c r="I149" t="s">
        <v>16</v>
      </c>
      <c r="J149">
        <v>1280</v>
      </c>
      <c r="K149">
        <v>6</v>
      </c>
      <c r="L149">
        <v>0</v>
      </c>
      <c r="M149">
        <v>1</v>
      </c>
      <c r="N149" t="s">
        <v>78</v>
      </c>
      <c r="O149">
        <v>2019</v>
      </c>
      <c r="P149" t="s">
        <v>18</v>
      </c>
    </row>
    <row r="150" spans="1:16" x14ac:dyDescent="0.3">
      <c r="A150">
        <v>148</v>
      </c>
      <c r="B150" t="s">
        <v>14</v>
      </c>
      <c r="C150" t="s">
        <v>3004</v>
      </c>
      <c r="D150" t="str">
        <f>VLOOKUP(YouTube_University_Data_Final[[#This Row],[Title]],[1]!YouTube_University_Data_Final[[Title]:[Title_language]],2,FALSE)</f>
        <v>English</v>
      </c>
      <c r="E150" t="s">
        <v>3005</v>
      </c>
      <c r="F150">
        <v>27</v>
      </c>
      <c r="G150" s="1">
        <v>43532</v>
      </c>
      <c r="H150">
        <v>40</v>
      </c>
      <c r="I150" t="s">
        <v>16</v>
      </c>
      <c r="J150">
        <v>704</v>
      </c>
      <c r="K150">
        <v>7</v>
      </c>
      <c r="L150">
        <v>0</v>
      </c>
      <c r="M150">
        <v>0</v>
      </c>
      <c r="N150" t="s">
        <v>90</v>
      </c>
      <c r="O150">
        <v>2019</v>
      </c>
      <c r="P150" t="s">
        <v>18</v>
      </c>
    </row>
    <row r="151" spans="1:16" x14ac:dyDescent="0.3">
      <c r="A151">
        <v>149</v>
      </c>
      <c r="B151" t="s">
        <v>14</v>
      </c>
      <c r="C151" t="s">
        <v>3006</v>
      </c>
      <c r="D151" t="str">
        <f>VLOOKUP(YouTube_University_Data_Final[[#This Row],[Title]],[1]!YouTube_University_Data_Final[[Title]:[Title_language]],2,FALSE)</f>
        <v>Bilingual</v>
      </c>
      <c r="E151" t="s">
        <v>3007</v>
      </c>
      <c r="F151">
        <v>27</v>
      </c>
      <c r="G151" s="1">
        <v>43529</v>
      </c>
      <c r="H151">
        <v>114</v>
      </c>
      <c r="I151" t="s">
        <v>16</v>
      </c>
      <c r="J151">
        <v>766</v>
      </c>
      <c r="K151">
        <v>5</v>
      </c>
      <c r="L151">
        <v>0</v>
      </c>
      <c r="M151">
        <v>0</v>
      </c>
      <c r="N151" t="s">
        <v>90</v>
      </c>
      <c r="O151">
        <v>2019</v>
      </c>
      <c r="P151" t="s">
        <v>18</v>
      </c>
    </row>
    <row r="152" spans="1:16" x14ac:dyDescent="0.3">
      <c r="A152">
        <v>150</v>
      </c>
      <c r="B152" t="s">
        <v>14</v>
      </c>
      <c r="C152" t="s">
        <v>167</v>
      </c>
      <c r="D152" t="str">
        <f>VLOOKUP(YouTube_University_Data_Final[[#This Row],[Title]],[1]!YouTube_University_Data_Final[[Title]:[Title_language]],2,FALSE)</f>
        <v>English</v>
      </c>
      <c r="E152" t="s">
        <v>168</v>
      </c>
      <c r="F152">
        <v>27</v>
      </c>
      <c r="G152" s="1">
        <v>43515</v>
      </c>
      <c r="H152">
        <v>2</v>
      </c>
      <c r="I152" t="s">
        <v>16</v>
      </c>
      <c r="J152">
        <v>4165</v>
      </c>
      <c r="K152">
        <v>27</v>
      </c>
      <c r="L152">
        <v>0</v>
      </c>
      <c r="M152">
        <v>1</v>
      </c>
      <c r="N152" t="s">
        <v>162</v>
      </c>
      <c r="O152">
        <v>2019</v>
      </c>
      <c r="P152" t="s">
        <v>18</v>
      </c>
    </row>
    <row r="153" spans="1:16" x14ac:dyDescent="0.3">
      <c r="A153">
        <v>151</v>
      </c>
      <c r="B153" t="s">
        <v>14</v>
      </c>
      <c r="C153" t="s">
        <v>169</v>
      </c>
      <c r="D153" t="str">
        <f>VLOOKUP(YouTube_University_Data_Final[[#This Row],[Title]],[1]!YouTube_University_Data_Final[[Title]:[Title_language]],2,FALSE)</f>
        <v>English</v>
      </c>
      <c r="E153" t="s">
        <v>170</v>
      </c>
      <c r="F153">
        <v>27</v>
      </c>
      <c r="G153" s="1">
        <v>43510</v>
      </c>
      <c r="H153">
        <v>60</v>
      </c>
      <c r="I153" t="s">
        <v>16</v>
      </c>
      <c r="J153">
        <v>526</v>
      </c>
      <c r="K153">
        <v>5</v>
      </c>
      <c r="L153">
        <v>0</v>
      </c>
      <c r="M153">
        <v>0</v>
      </c>
      <c r="N153" t="s">
        <v>162</v>
      </c>
      <c r="O153">
        <v>2019</v>
      </c>
      <c r="P153" t="s">
        <v>18</v>
      </c>
    </row>
    <row r="154" spans="1:16" x14ac:dyDescent="0.3">
      <c r="A154">
        <v>152</v>
      </c>
      <c r="B154" t="s">
        <v>14</v>
      </c>
      <c r="C154" t="s">
        <v>171</v>
      </c>
      <c r="D154" t="str">
        <f>VLOOKUP(YouTube_University_Data_Final[[#This Row],[Title]],[1]!YouTube_University_Data_Final[[Title]:[Title_language]],2,FALSE)</f>
        <v>English</v>
      </c>
      <c r="E154" t="s">
        <v>2944</v>
      </c>
      <c r="F154">
        <v>27</v>
      </c>
      <c r="G154" s="1">
        <v>43467</v>
      </c>
      <c r="H154">
        <v>2</v>
      </c>
      <c r="I154" t="s">
        <v>16</v>
      </c>
      <c r="J154">
        <v>605</v>
      </c>
      <c r="K154">
        <v>4</v>
      </c>
      <c r="L154">
        <v>0</v>
      </c>
      <c r="M154">
        <v>0</v>
      </c>
      <c r="N154" t="s">
        <v>93</v>
      </c>
      <c r="O154">
        <v>2019</v>
      </c>
      <c r="P154" t="s">
        <v>18</v>
      </c>
    </row>
    <row r="155" spans="1:16" x14ac:dyDescent="0.3">
      <c r="A155">
        <v>153</v>
      </c>
      <c r="B155" t="s">
        <v>14</v>
      </c>
      <c r="C155" t="s">
        <v>172</v>
      </c>
      <c r="D155" t="str">
        <f>VLOOKUP(YouTube_University_Data_Final[[#This Row],[Title]],[1]!YouTube_University_Data_Final[[Title]:[Title_language]],2,FALSE)</f>
        <v>English</v>
      </c>
      <c r="E155" t="s">
        <v>2944</v>
      </c>
      <c r="F155">
        <v>27</v>
      </c>
      <c r="G155" s="1">
        <v>43432</v>
      </c>
      <c r="H155">
        <v>60</v>
      </c>
      <c r="I155" t="s">
        <v>16</v>
      </c>
      <c r="J155">
        <v>2298</v>
      </c>
      <c r="K155">
        <v>14</v>
      </c>
      <c r="L155">
        <v>0</v>
      </c>
      <c r="M155">
        <v>0</v>
      </c>
      <c r="N155" t="s">
        <v>101</v>
      </c>
      <c r="O155">
        <v>2018</v>
      </c>
      <c r="P155" t="s">
        <v>18</v>
      </c>
    </row>
    <row r="156" spans="1:16" x14ac:dyDescent="0.3">
      <c r="A156">
        <v>154</v>
      </c>
      <c r="B156" t="s">
        <v>14</v>
      </c>
      <c r="C156" t="s">
        <v>173</v>
      </c>
      <c r="D156" t="str">
        <f>VLOOKUP(YouTube_University_Data_Final[[#This Row],[Title]],[1]!YouTube_University_Data_Final[[Title]:[Title_language]],2,FALSE)</f>
        <v>English</v>
      </c>
      <c r="E156" t="s">
        <v>174</v>
      </c>
      <c r="F156">
        <v>27</v>
      </c>
      <c r="G156" s="1">
        <v>43391</v>
      </c>
      <c r="H156">
        <v>57</v>
      </c>
      <c r="I156" t="s">
        <v>16</v>
      </c>
      <c r="J156">
        <v>3867</v>
      </c>
      <c r="K156">
        <v>41</v>
      </c>
      <c r="L156">
        <v>0</v>
      </c>
      <c r="M156">
        <v>0</v>
      </c>
      <c r="N156" t="s">
        <v>17</v>
      </c>
      <c r="O156">
        <v>2018</v>
      </c>
      <c r="P156" t="s">
        <v>18</v>
      </c>
    </row>
    <row r="157" spans="1:16" x14ac:dyDescent="0.3">
      <c r="A157">
        <v>155</v>
      </c>
      <c r="B157" t="s">
        <v>14</v>
      </c>
      <c r="C157" t="s">
        <v>175</v>
      </c>
      <c r="D157" t="str">
        <f>VLOOKUP(YouTube_University_Data_Final[[#This Row],[Title]],[1]!YouTube_University_Data_Final[[Title]:[Title_language]],2,FALSE)</f>
        <v>English</v>
      </c>
      <c r="E157" t="s">
        <v>2944</v>
      </c>
      <c r="F157">
        <v>27</v>
      </c>
      <c r="G157" s="1">
        <v>43378</v>
      </c>
      <c r="H157">
        <v>293</v>
      </c>
      <c r="I157" t="s">
        <v>16</v>
      </c>
      <c r="J157">
        <v>5181</v>
      </c>
      <c r="K157">
        <v>27</v>
      </c>
      <c r="L157">
        <v>0</v>
      </c>
      <c r="M157">
        <v>0</v>
      </c>
      <c r="N157" t="s">
        <v>17</v>
      </c>
      <c r="O157">
        <v>2018</v>
      </c>
      <c r="P157" t="s">
        <v>18</v>
      </c>
    </row>
    <row r="158" spans="1:16" x14ac:dyDescent="0.3">
      <c r="A158">
        <v>156</v>
      </c>
      <c r="B158" t="s">
        <v>14</v>
      </c>
      <c r="C158" t="s">
        <v>176</v>
      </c>
      <c r="D158" t="str">
        <f>VLOOKUP(YouTube_University_Data_Final[[#This Row],[Title]],[1]!YouTube_University_Data_Final[[Title]:[Title_language]],2,FALSE)</f>
        <v>English</v>
      </c>
      <c r="E158" t="s">
        <v>2944</v>
      </c>
      <c r="F158">
        <v>27</v>
      </c>
      <c r="G158" s="1">
        <v>43378</v>
      </c>
      <c r="H158">
        <v>295</v>
      </c>
      <c r="I158" t="s">
        <v>16</v>
      </c>
      <c r="J158">
        <v>1211</v>
      </c>
      <c r="K158">
        <v>13</v>
      </c>
      <c r="L158">
        <v>0</v>
      </c>
      <c r="M158">
        <v>0</v>
      </c>
      <c r="N158" t="s">
        <v>17</v>
      </c>
      <c r="O158">
        <v>2018</v>
      </c>
      <c r="P158" t="s">
        <v>18</v>
      </c>
    </row>
    <row r="159" spans="1:16" x14ac:dyDescent="0.3">
      <c r="A159">
        <v>157</v>
      </c>
      <c r="B159" t="s">
        <v>14</v>
      </c>
      <c r="C159" t="s">
        <v>177</v>
      </c>
      <c r="D159" t="str">
        <f>VLOOKUP(YouTube_University_Data_Final[[#This Row],[Title]],[1]!YouTube_University_Data_Final[[Title]:[Title_language]],2,FALSE)</f>
        <v>English</v>
      </c>
      <c r="E159" t="s">
        <v>2944</v>
      </c>
      <c r="F159">
        <v>27</v>
      </c>
      <c r="G159" s="1">
        <v>43378</v>
      </c>
      <c r="H159">
        <v>294</v>
      </c>
      <c r="I159" t="s">
        <v>16</v>
      </c>
      <c r="J159">
        <v>515</v>
      </c>
      <c r="K159">
        <v>3</v>
      </c>
      <c r="L159">
        <v>0</v>
      </c>
      <c r="M159">
        <v>1</v>
      </c>
      <c r="N159" t="s">
        <v>17</v>
      </c>
      <c r="O159">
        <v>2018</v>
      </c>
      <c r="P159" t="s">
        <v>18</v>
      </c>
    </row>
    <row r="160" spans="1:16" x14ac:dyDescent="0.3">
      <c r="A160">
        <v>158</v>
      </c>
      <c r="B160" t="s">
        <v>14</v>
      </c>
      <c r="C160" t="s">
        <v>178</v>
      </c>
      <c r="D160" t="str">
        <f>VLOOKUP(YouTube_University_Data_Final[[#This Row],[Title]],[1]!YouTube_University_Data_Final[[Title]:[Title_language]],2,FALSE)</f>
        <v>English</v>
      </c>
      <c r="E160" t="s">
        <v>2944</v>
      </c>
      <c r="F160">
        <v>27</v>
      </c>
      <c r="G160" s="1">
        <v>43343</v>
      </c>
      <c r="H160">
        <v>293</v>
      </c>
      <c r="I160" t="s">
        <v>16</v>
      </c>
      <c r="J160">
        <v>2675</v>
      </c>
      <c r="K160">
        <v>21</v>
      </c>
      <c r="L160">
        <v>0</v>
      </c>
      <c r="M160">
        <v>1</v>
      </c>
      <c r="N160" t="s">
        <v>48</v>
      </c>
      <c r="O160">
        <v>2018</v>
      </c>
      <c r="P160" t="s">
        <v>18</v>
      </c>
    </row>
    <row r="161" spans="1:16" x14ac:dyDescent="0.3">
      <c r="A161">
        <v>159</v>
      </c>
      <c r="B161" t="s">
        <v>14</v>
      </c>
      <c r="C161" t="s">
        <v>179</v>
      </c>
      <c r="D161" t="str">
        <f>VLOOKUP(YouTube_University_Data_Final[[#This Row],[Title]],[1]!YouTube_University_Data_Final[[Title]:[Title_language]],2,FALSE)</f>
        <v>English</v>
      </c>
      <c r="E161" t="s">
        <v>2944</v>
      </c>
      <c r="F161">
        <v>27</v>
      </c>
      <c r="G161" s="1">
        <v>43343</v>
      </c>
      <c r="H161">
        <v>294</v>
      </c>
      <c r="I161" t="s">
        <v>16</v>
      </c>
      <c r="J161">
        <v>228</v>
      </c>
      <c r="K161">
        <v>2</v>
      </c>
      <c r="L161">
        <v>0</v>
      </c>
      <c r="M161">
        <v>0</v>
      </c>
      <c r="N161" t="s">
        <v>48</v>
      </c>
      <c r="O161">
        <v>2018</v>
      </c>
      <c r="P161" t="s">
        <v>18</v>
      </c>
    </row>
    <row r="162" spans="1:16" x14ac:dyDescent="0.3">
      <c r="A162">
        <v>160</v>
      </c>
      <c r="B162" t="s">
        <v>14</v>
      </c>
      <c r="C162" t="s">
        <v>180</v>
      </c>
      <c r="D162" t="str">
        <f>VLOOKUP(YouTube_University_Data_Final[[#This Row],[Title]],[1]!YouTube_University_Data_Final[[Title]:[Title_language]],2,FALSE)</f>
        <v>English</v>
      </c>
      <c r="E162" t="s">
        <v>2944</v>
      </c>
      <c r="F162">
        <v>27</v>
      </c>
      <c r="G162" s="1">
        <v>43343</v>
      </c>
      <c r="H162">
        <v>294</v>
      </c>
      <c r="I162" t="s">
        <v>16</v>
      </c>
      <c r="J162">
        <v>672</v>
      </c>
      <c r="K162">
        <v>5</v>
      </c>
      <c r="L162">
        <v>0</v>
      </c>
      <c r="M162">
        <v>0</v>
      </c>
      <c r="N162" t="s">
        <v>48</v>
      </c>
      <c r="O162">
        <v>2018</v>
      </c>
      <c r="P162" t="s">
        <v>18</v>
      </c>
    </row>
    <row r="163" spans="1:16" x14ac:dyDescent="0.3">
      <c r="A163">
        <v>161</v>
      </c>
      <c r="B163" t="s">
        <v>14</v>
      </c>
      <c r="C163" t="s">
        <v>181</v>
      </c>
      <c r="D163" t="str">
        <f>VLOOKUP(YouTube_University_Data_Final[[#This Row],[Title]],[1]!YouTube_University_Data_Final[[Title]:[Title_language]],2,FALSE)</f>
        <v>English</v>
      </c>
      <c r="E163" t="s">
        <v>2944</v>
      </c>
      <c r="F163">
        <v>27</v>
      </c>
      <c r="G163" s="1">
        <v>43336</v>
      </c>
      <c r="H163">
        <v>120</v>
      </c>
      <c r="I163" t="s">
        <v>16</v>
      </c>
      <c r="J163">
        <v>6337</v>
      </c>
      <c r="K163">
        <v>29</v>
      </c>
      <c r="L163">
        <v>0</v>
      </c>
      <c r="M163">
        <v>1</v>
      </c>
      <c r="N163" t="s">
        <v>48</v>
      </c>
      <c r="O163">
        <v>2018</v>
      </c>
      <c r="P163" t="s">
        <v>18</v>
      </c>
    </row>
    <row r="164" spans="1:16" x14ac:dyDescent="0.3">
      <c r="A164">
        <v>162</v>
      </c>
      <c r="B164" t="s">
        <v>14</v>
      </c>
      <c r="C164" t="s">
        <v>182</v>
      </c>
      <c r="D164" t="str">
        <f>VLOOKUP(YouTube_University_Data_Final[[#This Row],[Title]],[1]!YouTube_University_Data_Final[[Title]:[Title_language]],2,FALSE)</f>
        <v>English</v>
      </c>
      <c r="E164" t="s">
        <v>183</v>
      </c>
      <c r="F164">
        <v>27</v>
      </c>
      <c r="G164" s="1">
        <v>43335</v>
      </c>
      <c r="H164">
        <v>63</v>
      </c>
      <c r="I164" t="s">
        <v>16</v>
      </c>
      <c r="J164">
        <v>1644</v>
      </c>
      <c r="K164">
        <v>30</v>
      </c>
      <c r="L164">
        <v>0</v>
      </c>
      <c r="M164">
        <v>0</v>
      </c>
      <c r="N164" t="s">
        <v>48</v>
      </c>
      <c r="O164">
        <v>2018</v>
      </c>
      <c r="P164" t="s">
        <v>18</v>
      </c>
    </row>
    <row r="165" spans="1:16" x14ac:dyDescent="0.3">
      <c r="A165">
        <v>163</v>
      </c>
      <c r="B165" t="s">
        <v>14</v>
      </c>
      <c r="C165" t="s">
        <v>184</v>
      </c>
      <c r="D165" t="str">
        <f>VLOOKUP(YouTube_University_Data_Final[[#This Row],[Title]],[1]!YouTube_University_Data_Final[[Title]:[Title_language]],2,FALSE)</f>
        <v>English</v>
      </c>
      <c r="E165" t="s">
        <v>3008</v>
      </c>
      <c r="F165">
        <v>27</v>
      </c>
      <c r="G165" s="1">
        <v>43306</v>
      </c>
      <c r="H165">
        <v>83</v>
      </c>
      <c r="I165" t="s">
        <v>16</v>
      </c>
      <c r="J165">
        <v>934</v>
      </c>
      <c r="K165">
        <v>2</v>
      </c>
      <c r="L165">
        <v>0</v>
      </c>
      <c r="M165">
        <v>0</v>
      </c>
      <c r="N165" t="s">
        <v>56</v>
      </c>
      <c r="O165">
        <v>2018</v>
      </c>
      <c r="P165" t="s">
        <v>18</v>
      </c>
    </row>
    <row r="166" spans="1:16" x14ac:dyDescent="0.3">
      <c r="A166">
        <v>164</v>
      </c>
      <c r="B166" t="s">
        <v>14</v>
      </c>
      <c r="C166" t="s">
        <v>185</v>
      </c>
      <c r="D166" t="str">
        <f>VLOOKUP(YouTube_University_Data_Final[[#This Row],[Title]],[1]!YouTube_University_Data_Final[[Title]:[Title_language]],2,FALSE)</f>
        <v>English</v>
      </c>
      <c r="E166" t="s">
        <v>3009</v>
      </c>
      <c r="F166">
        <v>27</v>
      </c>
      <c r="G166" s="1">
        <v>43207</v>
      </c>
      <c r="H166">
        <v>60</v>
      </c>
      <c r="I166" t="s">
        <v>16</v>
      </c>
      <c r="J166">
        <v>253</v>
      </c>
      <c r="K166">
        <v>2</v>
      </c>
      <c r="L166">
        <v>0</v>
      </c>
      <c r="M166">
        <v>0</v>
      </c>
      <c r="N166" t="s">
        <v>87</v>
      </c>
      <c r="O166">
        <v>2018</v>
      </c>
      <c r="P166" t="s">
        <v>18</v>
      </c>
    </row>
    <row r="167" spans="1:16" x14ac:dyDescent="0.3">
      <c r="A167">
        <v>165</v>
      </c>
      <c r="B167" t="s">
        <v>14</v>
      </c>
      <c r="C167" t="s">
        <v>186</v>
      </c>
      <c r="D167" t="str">
        <f>VLOOKUP(YouTube_University_Data_Final[[#This Row],[Title]],[1]!YouTube_University_Data_Final[[Title]:[Title_language]],2,FALSE)</f>
        <v>English</v>
      </c>
      <c r="E167" t="s">
        <v>2944</v>
      </c>
      <c r="F167">
        <v>27</v>
      </c>
      <c r="G167" s="1">
        <v>43207</v>
      </c>
      <c r="H167">
        <v>48</v>
      </c>
      <c r="I167" t="s">
        <v>16</v>
      </c>
      <c r="J167">
        <v>203</v>
      </c>
      <c r="K167">
        <v>0</v>
      </c>
      <c r="L167">
        <v>0</v>
      </c>
      <c r="M167">
        <v>0</v>
      </c>
      <c r="N167" t="s">
        <v>87</v>
      </c>
      <c r="O167">
        <v>2018</v>
      </c>
      <c r="P167" t="s">
        <v>18</v>
      </c>
    </row>
    <row r="168" spans="1:16" x14ac:dyDescent="0.3">
      <c r="A168">
        <v>166</v>
      </c>
      <c r="B168" t="s">
        <v>14</v>
      </c>
      <c r="C168" t="s">
        <v>187</v>
      </c>
      <c r="D168" t="str">
        <f>VLOOKUP(YouTube_University_Data_Final[[#This Row],[Title]],[1]!YouTube_University_Data_Final[[Title]:[Title_language]],2,FALSE)</f>
        <v>English</v>
      </c>
      <c r="E168" t="s">
        <v>188</v>
      </c>
      <c r="F168">
        <v>27</v>
      </c>
      <c r="G168" s="1">
        <v>43174</v>
      </c>
      <c r="H168">
        <v>4045</v>
      </c>
      <c r="I168" t="s">
        <v>16</v>
      </c>
      <c r="J168">
        <v>118059</v>
      </c>
      <c r="K168">
        <v>1511</v>
      </c>
      <c r="L168">
        <v>0</v>
      </c>
      <c r="M168">
        <v>177</v>
      </c>
      <c r="N168" t="s">
        <v>90</v>
      </c>
      <c r="O168">
        <v>2018</v>
      </c>
      <c r="P168" t="s">
        <v>18</v>
      </c>
    </row>
    <row r="169" spans="1:16" x14ac:dyDescent="0.3">
      <c r="A169">
        <v>167</v>
      </c>
      <c r="B169" t="s">
        <v>14</v>
      </c>
      <c r="C169" t="s">
        <v>189</v>
      </c>
      <c r="D169" t="str">
        <f>VLOOKUP(YouTube_University_Data_Final[[#This Row],[Title]],[1]!YouTube_University_Data_Final[[Title]:[Title_language]],2,FALSE)</f>
        <v>English</v>
      </c>
      <c r="E169" t="s">
        <v>3010</v>
      </c>
      <c r="F169">
        <v>27</v>
      </c>
      <c r="G169" s="1">
        <v>43173</v>
      </c>
      <c r="H169">
        <v>5166</v>
      </c>
      <c r="I169" t="s">
        <v>16</v>
      </c>
      <c r="J169">
        <v>1087</v>
      </c>
      <c r="K169">
        <v>1</v>
      </c>
      <c r="L169">
        <v>0</v>
      </c>
      <c r="M169">
        <v>0</v>
      </c>
      <c r="N169" t="s">
        <v>90</v>
      </c>
      <c r="O169">
        <v>2018</v>
      </c>
      <c r="P169" t="s">
        <v>18</v>
      </c>
    </row>
    <row r="170" spans="1:16" x14ac:dyDescent="0.3">
      <c r="A170">
        <v>168</v>
      </c>
      <c r="B170" t="s">
        <v>14</v>
      </c>
      <c r="C170" t="s">
        <v>190</v>
      </c>
      <c r="D170" t="str">
        <f>VLOOKUP(YouTube_University_Data_Final[[#This Row],[Title]],[1]!YouTube_University_Data_Final[[Title]:[Title_language]],2,FALSE)</f>
        <v>English</v>
      </c>
      <c r="E170" t="s">
        <v>3011</v>
      </c>
      <c r="F170">
        <v>27</v>
      </c>
      <c r="G170" s="1">
        <v>43165</v>
      </c>
      <c r="H170">
        <v>52</v>
      </c>
      <c r="I170" t="s">
        <v>16</v>
      </c>
      <c r="J170">
        <v>712</v>
      </c>
      <c r="K170">
        <v>13</v>
      </c>
      <c r="L170">
        <v>0</v>
      </c>
      <c r="M170">
        <v>0</v>
      </c>
      <c r="N170" t="s">
        <v>90</v>
      </c>
      <c r="O170">
        <v>2018</v>
      </c>
      <c r="P170" t="s">
        <v>18</v>
      </c>
    </row>
    <row r="171" spans="1:16" x14ac:dyDescent="0.3">
      <c r="A171">
        <v>169</v>
      </c>
      <c r="B171" t="s">
        <v>14</v>
      </c>
      <c r="C171" t="s">
        <v>191</v>
      </c>
      <c r="D171" t="str">
        <f>VLOOKUP(YouTube_University_Data_Final[[#This Row],[Title]],[1]!YouTube_University_Data_Final[[Title]:[Title_language]],2,FALSE)</f>
        <v>English</v>
      </c>
      <c r="E171" t="s">
        <v>192</v>
      </c>
      <c r="F171">
        <v>27</v>
      </c>
      <c r="G171" s="1">
        <v>43165</v>
      </c>
      <c r="H171">
        <v>60</v>
      </c>
      <c r="I171" t="s">
        <v>16</v>
      </c>
      <c r="J171">
        <v>2212</v>
      </c>
      <c r="K171">
        <v>7</v>
      </c>
      <c r="L171">
        <v>0</v>
      </c>
      <c r="M171">
        <v>0</v>
      </c>
      <c r="N171" t="s">
        <v>90</v>
      </c>
      <c r="O171">
        <v>2018</v>
      </c>
      <c r="P171" t="s">
        <v>18</v>
      </c>
    </row>
    <row r="172" spans="1:16" x14ac:dyDescent="0.3">
      <c r="A172">
        <v>170</v>
      </c>
      <c r="B172" t="s">
        <v>14</v>
      </c>
      <c r="C172" t="s">
        <v>193</v>
      </c>
      <c r="D172" t="str">
        <f>VLOOKUP(YouTube_University_Data_Final[[#This Row],[Title]],[1]!YouTube_University_Data_Final[[Title]:[Title_language]],2,FALSE)</f>
        <v>English</v>
      </c>
      <c r="E172" t="s">
        <v>194</v>
      </c>
      <c r="F172">
        <v>27</v>
      </c>
      <c r="G172" s="1">
        <v>43165</v>
      </c>
      <c r="H172">
        <v>2</v>
      </c>
      <c r="I172" t="s">
        <v>16</v>
      </c>
      <c r="J172">
        <v>1406</v>
      </c>
      <c r="K172">
        <v>9</v>
      </c>
      <c r="L172">
        <v>0</v>
      </c>
      <c r="M172">
        <v>1</v>
      </c>
      <c r="N172" t="s">
        <v>90</v>
      </c>
      <c r="O172">
        <v>2018</v>
      </c>
      <c r="P172" t="s">
        <v>18</v>
      </c>
    </row>
    <row r="173" spans="1:16" x14ac:dyDescent="0.3">
      <c r="A173">
        <v>171</v>
      </c>
      <c r="B173" t="s">
        <v>14</v>
      </c>
      <c r="C173" t="s">
        <v>195</v>
      </c>
      <c r="D173" t="str">
        <f>VLOOKUP(YouTube_University_Data_Final[[#This Row],[Title]],[1]!YouTube_University_Data_Final[[Title]:[Title_language]],2,FALSE)</f>
        <v>English</v>
      </c>
      <c r="E173" t="s">
        <v>196</v>
      </c>
      <c r="F173">
        <v>27</v>
      </c>
      <c r="G173" s="1">
        <v>43165</v>
      </c>
      <c r="H173">
        <v>60</v>
      </c>
      <c r="I173" t="s">
        <v>16</v>
      </c>
      <c r="J173">
        <v>2245</v>
      </c>
      <c r="K173">
        <v>14</v>
      </c>
      <c r="L173">
        <v>0</v>
      </c>
      <c r="M173">
        <v>0</v>
      </c>
      <c r="N173" t="s">
        <v>90</v>
      </c>
      <c r="O173">
        <v>2018</v>
      </c>
      <c r="P173" t="s">
        <v>18</v>
      </c>
    </row>
    <row r="174" spans="1:16" x14ac:dyDescent="0.3">
      <c r="A174">
        <v>172</v>
      </c>
      <c r="B174" t="s">
        <v>14</v>
      </c>
      <c r="C174" t="s">
        <v>197</v>
      </c>
      <c r="D174" t="str">
        <f>VLOOKUP(YouTube_University_Data_Final[[#This Row],[Title]],[1]!YouTube_University_Data_Final[[Title]:[Title_language]],2,FALSE)</f>
        <v>English</v>
      </c>
      <c r="E174" t="s">
        <v>198</v>
      </c>
      <c r="F174">
        <v>27</v>
      </c>
      <c r="G174" s="1">
        <v>43165</v>
      </c>
      <c r="H174">
        <v>60</v>
      </c>
      <c r="I174" t="s">
        <v>16</v>
      </c>
      <c r="J174">
        <v>924</v>
      </c>
      <c r="K174">
        <v>6</v>
      </c>
      <c r="L174">
        <v>0</v>
      </c>
      <c r="M174">
        <v>0</v>
      </c>
      <c r="N174" t="s">
        <v>90</v>
      </c>
      <c r="O174">
        <v>2018</v>
      </c>
      <c r="P174" t="s">
        <v>18</v>
      </c>
    </row>
    <row r="175" spans="1:16" x14ac:dyDescent="0.3">
      <c r="A175">
        <v>173</v>
      </c>
      <c r="B175" t="s">
        <v>14</v>
      </c>
      <c r="C175" t="s">
        <v>199</v>
      </c>
      <c r="D175" t="str">
        <f>VLOOKUP(YouTube_University_Data_Final[[#This Row],[Title]],[1]!YouTube_University_Data_Final[[Title]:[Title_language]],2,FALSE)</f>
        <v>English</v>
      </c>
      <c r="E175" t="s">
        <v>200</v>
      </c>
      <c r="F175">
        <v>27</v>
      </c>
      <c r="G175" s="1">
        <v>43161</v>
      </c>
      <c r="H175">
        <v>55</v>
      </c>
      <c r="I175" t="s">
        <v>16</v>
      </c>
      <c r="J175">
        <v>812</v>
      </c>
      <c r="K175">
        <v>5</v>
      </c>
      <c r="L175">
        <v>0</v>
      </c>
      <c r="M175">
        <v>0</v>
      </c>
      <c r="N175" t="s">
        <v>90</v>
      </c>
      <c r="O175">
        <v>2018</v>
      </c>
      <c r="P175" t="s">
        <v>18</v>
      </c>
    </row>
    <row r="176" spans="1:16" x14ac:dyDescent="0.3">
      <c r="A176">
        <v>174</v>
      </c>
      <c r="B176" t="s">
        <v>14</v>
      </c>
      <c r="C176" t="s">
        <v>201</v>
      </c>
      <c r="D176" t="str">
        <f>VLOOKUP(YouTube_University_Data_Final[[#This Row],[Title]],[1]!YouTube_University_Data_Final[[Title]:[Title_language]],2,FALSE)</f>
        <v>English</v>
      </c>
      <c r="E176" t="s">
        <v>202</v>
      </c>
      <c r="F176">
        <v>27</v>
      </c>
      <c r="G176" s="1">
        <v>43160</v>
      </c>
      <c r="H176">
        <v>2</v>
      </c>
      <c r="I176" t="s">
        <v>16</v>
      </c>
      <c r="J176">
        <v>493</v>
      </c>
      <c r="K176">
        <v>6</v>
      </c>
      <c r="L176">
        <v>0</v>
      </c>
      <c r="M176">
        <v>0</v>
      </c>
      <c r="N176" t="s">
        <v>90</v>
      </c>
      <c r="O176">
        <v>2018</v>
      </c>
      <c r="P176" t="s">
        <v>18</v>
      </c>
    </row>
    <row r="177" spans="1:16" x14ac:dyDescent="0.3">
      <c r="A177">
        <v>175</v>
      </c>
      <c r="B177" t="s">
        <v>14</v>
      </c>
      <c r="C177" t="s">
        <v>203</v>
      </c>
      <c r="D177" t="str">
        <f>VLOOKUP(YouTube_University_Data_Final[[#This Row],[Title]],[1]!YouTube_University_Data_Final[[Title]:[Title_language]],2,FALSE)</f>
        <v>English</v>
      </c>
      <c r="E177" t="s">
        <v>204</v>
      </c>
      <c r="F177">
        <v>27</v>
      </c>
      <c r="G177" s="1">
        <v>43160</v>
      </c>
      <c r="H177">
        <v>2</v>
      </c>
      <c r="I177" t="s">
        <v>16</v>
      </c>
      <c r="J177">
        <v>1402</v>
      </c>
      <c r="K177">
        <v>9</v>
      </c>
      <c r="L177">
        <v>0</v>
      </c>
      <c r="M177">
        <v>0</v>
      </c>
      <c r="N177" t="s">
        <v>90</v>
      </c>
      <c r="O177">
        <v>2018</v>
      </c>
      <c r="P177" t="s">
        <v>18</v>
      </c>
    </row>
    <row r="178" spans="1:16" x14ac:dyDescent="0.3">
      <c r="A178">
        <v>176</v>
      </c>
      <c r="B178" t="s">
        <v>14</v>
      </c>
      <c r="C178" t="s">
        <v>205</v>
      </c>
      <c r="D178" t="str">
        <f>VLOOKUP(YouTube_University_Data_Final[[#This Row],[Title]],[1]!YouTube_University_Data_Final[[Title]:[Title_language]],2,FALSE)</f>
        <v>English</v>
      </c>
      <c r="E178" t="s">
        <v>2944</v>
      </c>
      <c r="F178">
        <v>27</v>
      </c>
      <c r="G178" s="1">
        <v>43136</v>
      </c>
      <c r="H178">
        <v>290</v>
      </c>
      <c r="I178" t="s">
        <v>16</v>
      </c>
      <c r="J178">
        <v>1686</v>
      </c>
      <c r="K178">
        <v>8</v>
      </c>
      <c r="L178">
        <v>0</v>
      </c>
      <c r="M178">
        <v>0</v>
      </c>
      <c r="N178" t="s">
        <v>162</v>
      </c>
      <c r="O178">
        <v>2018</v>
      </c>
      <c r="P178" t="s">
        <v>18</v>
      </c>
    </row>
    <row r="179" spans="1:16" x14ac:dyDescent="0.3">
      <c r="A179">
        <v>177</v>
      </c>
      <c r="B179" t="s">
        <v>14</v>
      </c>
      <c r="C179" t="s">
        <v>206</v>
      </c>
      <c r="D179" t="str">
        <f>VLOOKUP(YouTube_University_Data_Final[[#This Row],[Title]],[1]!YouTube_University_Data_Final[[Title]:[Title_language]],2,FALSE)</f>
        <v>English</v>
      </c>
      <c r="E179" t="s">
        <v>2944</v>
      </c>
      <c r="F179">
        <v>27</v>
      </c>
      <c r="G179" s="1">
        <v>43136</v>
      </c>
      <c r="H179">
        <v>292</v>
      </c>
      <c r="I179" t="s">
        <v>16</v>
      </c>
      <c r="J179">
        <v>885</v>
      </c>
      <c r="K179">
        <v>5</v>
      </c>
      <c r="L179">
        <v>0</v>
      </c>
      <c r="M179">
        <v>0</v>
      </c>
      <c r="N179" t="s">
        <v>162</v>
      </c>
      <c r="O179">
        <v>2018</v>
      </c>
      <c r="P179" t="s">
        <v>18</v>
      </c>
    </row>
    <row r="180" spans="1:16" x14ac:dyDescent="0.3">
      <c r="A180">
        <v>178</v>
      </c>
      <c r="B180" t="s">
        <v>14</v>
      </c>
      <c r="C180" t="s">
        <v>207</v>
      </c>
      <c r="D180" t="str">
        <f>VLOOKUP(YouTube_University_Data_Final[[#This Row],[Title]],[1]!YouTube_University_Data_Final[[Title]:[Title_language]],2,FALSE)</f>
        <v>English</v>
      </c>
      <c r="E180" t="s">
        <v>2944</v>
      </c>
      <c r="F180">
        <v>27</v>
      </c>
      <c r="G180" s="1">
        <v>43136</v>
      </c>
      <c r="H180">
        <v>290</v>
      </c>
      <c r="I180" t="s">
        <v>16</v>
      </c>
      <c r="J180">
        <v>144</v>
      </c>
      <c r="K180">
        <v>0</v>
      </c>
      <c r="L180">
        <v>0</v>
      </c>
      <c r="M180">
        <v>0</v>
      </c>
      <c r="N180" t="s">
        <v>162</v>
      </c>
      <c r="O180">
        <v>2018</v>
      </c>
      <c r="P180" t="s">
        <v>18</v>
      </c>
    </row>
    <row r="181" spans="1:16" x14ac:dyDescent="0.3">
      <c r="A181">
        <v>179</v>
      </c>
      <c r="B181" t="s">
        <v>14</v>
      </c>
      <c r="C181" t="s">
        <v>208</v>
      </c>
      <c r="D181" t="str">
        <f>VLOOKUP(YouTube_University_Data_Final[[#This Row],[Title]],[1]!YouTube_University_Data_Final[[Title]:[Title_language]],2,FALSE)</f>
        <v>English</v>
      </c>
      <c r="E181" t="s">
        <v>209</v>
      </c>
      <c r="F181">
        <v>27</v>
      </c>
      <c r="G181" s="1">
        <v>43096</v>
      </c>
      <c r="H181">
        <v>560</v>
      </c>
      <c r="I181" t="s">
        <v>210</v>
      </c>
      <c r="J181">
        <v>2144</v>
      </c>
      <c r="K181">
        <v>16</v>
      </c>
      <c r="L181">
        <v>0</v>
      </c>
      <c r="M181">
        <v>1</v>
      </c>
      <c r="N181" t="s">
        <v>98</v>
      </c>
      <c r="O181">
        <v>2017</v>
      </c>
      <c r="P181" t="s">
        <v>18</v>
      </c>
    </row>
    <row r="182" spans="1:16" x14ac:dyDescent="0.3">
      <c r="A182">
        <v>180</v>
      </c>
      <c r="B182" t="s">
        <v>14</v>
      </c>
      <c r="C182" t="s">
        <v>211</v>
      </c>
      <c r="D182" t="str">
        <f>VLOOKUP(YouTube_University_Data_Final[[#This Row],[Title]],[1]!YouTube_University_Data_Final[[Title]:[Title_language]],2,FALSE)</f>
        <v>English</v>
      </c>
      <c r="E182" t="s">
        <v>2944</v>
      </c>
      <c r="F182">
        <v>27</v>
      </c>
      <c r="G182" s="1">
        <v>43066</v>
      </c>
      <c r="H182">
        <v>291</v>
      </c>
      <c r="I182" t="s">
        <v>16</v>
      </c>
      <c r="J182">
        <v>1153</v>
      </c>
      <c r="K182">
        <v>8</v>
      </c>
      <c r="L182">
        <v>0</v>
      </c>
      <c r="M182">
        <v>1</v>
      </c>
      <c r="N182" t="s">
        <v>101</v>
      </c>
      <c r="O182">
        <v>2017</v>
      </c>
      <c r="P182" t="s">
        <v>18</v>
      </c>
    </row>
    <row r="183" spans="1:16" x14ac:dyDescent="0.3">
      <c r="A183">
        <v>181</v>
      </c>
      <c r="B183" t="s">
        <v>14</v>
      </c>
      <c r="C183" t="s">
        <v>212</v>
      </c>
      <c r="D183" t="str">
        <f>VLOOKUP(YouTube_University_Data_Final[[#This Row],[Title]],[1]!YouTube_University_Data_Final[[Title]:[Title_language]],2,FALSE)</f>
        <v>English</v>
      </c>
      <c r="E183" t="s">
        <v>2944</v>
      </c>
      <c r="F183">
        <v>27</v>
      </c>
      <c r="G183" s="1">
        <v>43066</v>
      </c>
      <c r="H183">
        <v>291</v>
      </c>
      <c r="I183" t="s">
        <v>16</v>
      </c>
      <c r="J183">
        <v>188</v>
      </c>
      <c r="K183">
        <v>2</v>
      </c>
      <c r="L183">
        <v>0</v>
      </c>
      <c r="M183">
        <v>0</v>
      </c>
      <c r="N183" t="s">
        <v>101</v>
      </c>
      <c r="O183">
        <v>2017</v>
      </c>
      <c r="P183" t="s">
        <v>18</v>
      </c>
    </row>
    <row r="184" spans="1:16" x14ac:dyDescent="0.3">
      <c r="A184">
        <v>182</v>
      </c>
      <c r="B184" t="s">
        <v>14</v>
      </c>
      <c r="C184" t="s">
        <v>213</v>
      </c>
      <c r="D184" t="str">
        <f>VLOOKUP(YouTube_University_Data_Final[[#This Row],[Title]],[1]!YouTube_University_Data_Final[[Title]:[Title_language]],2,FALSE)</f>
        <v>English</v>
      </c>
      <c r="E184" t="s">
        <v>2944</v>
      </c>
      <c r="F184">
        <v>27</v>
      </c>
      <c r="G184" s="1">
        <v>43066</v>
      </c>
      <c r="H184">
        <v>291</v>
      </c>
      <c r="I184" t="s">
        <v>16</v>
      </c>
      <c r="J184">
        <v>82</v>
      </c>
      <c r="K184">
        <v>2</v>
      </c>
      <c r="L184">
        <v>0</v>
      </c>
      <c r="M184">
        <v>0</v>
      </c>
      <c r="N184" t="s">
        <v>101</v>
      </c>
      <c r="O184">
        <v>2017</v>
      </c>
      <c r="P184" t="s">
        <v>18</v>
      </c>
    </row>
    <row r="185" spans="1:16" x14ac:dyDescent="0.3">
      <c r="A185">
        <v>183</v>
      </c>
      <c r="B185" t="s">
        <v>14</v>
      </c>
      <c r="C185" t="s">
        <v>214</v>
      </c>
      <c r="D185" t="str">
        <f>VLOOKUP(YouTube_University_Data_Final[[#This Row],[Title]],[1]!YouTube_University_Data_Final[[Title]:[Title_language]],2,FALSE)</f>
        <v>English</v>
      </c>
      <c r="E185" t="s">
        <v>215</v>
      </c>
      <c r="F185">
        <v>27</v>
      </c>
      <c r="G185" s="1">
        <v>43059</v>
      </c>
      <c r="H185">
        <v>445</v>
      </c>
      <c r="I185" t="s">
        <v>16</v>
      </c>
      <c r="J185">
        <v>1450</v>
      </c>
      <c r="K185">
        <v>13</v>
      </c>
      <c r="L185">
        <v>0</v>
      </c>
      <c r="M185">
        <v>0</v>
      </c>
      <c r="N185" t="s">
        <v>101</v>
      </c>
      <c r="O185">
        <v>2017</v>
      </c>
      <c r="P185" t="s">
        <v>18</v>
      </c>
    </row>
    <row r="186" spans="1:16" x14ac:dyDescent="0.3">
      <c r="A186">
        <v>184</v>
      </c>
      <c r="B186" t="s">
        <v>14</v>
      </c>
      <c r="C186" t="s">
        <v>216</v>
      </c>
      <c r="D186" t="str">
        <f>VLOOKUP(YouTube_University_Data_Final[[#This Row],[Title]],[1]!YouTube_University_Data_Final[[Title]:[Title_language]],2,FALSE)</f>
        <v>English</v>
      </c>
      <c r="E186" t="s">
        <v>217</v>
      </c>
      <c r="F186">
        <v>27</v>
      </c>
      <c r="G186" s="1">
        <v>43054</v>
      </c>
      <c r="H186">
        <v>96</v>
      </c>
      <c r="I186" t="s">
        <v>16</v>
      </c>
      <c r="J186">
        <v>803</v>
      </c>
      <c r="K186">
        <v>3</v>
      </c>
      <c r="L186">
        <v>0</v>
      </c>
      <c r="M186">
        <v>0</v>
      </c>
      <c r="N186" t="s">
        <v>101</v>
      </c>
      <c r="O186">
        <v>2017</v>
      </c>
      <c r="P186" t="s">
        <v>18</v>
      </c>
    </row>
    <row r="187" spans="1:16" x14ac:dyDescent="0.3">
      <c r="A187">
        <v>185</v>
      </c>
      <c r="B187" t="s">
        <v>14</v>
      </c>
      <c r="C187" t="s">
        <v>218</v>
      </c>
      <c r="D187" t="str">
        <f>VLOOKUP(YouTube_University_Data_Final[[#This Row],[Title]],[1]!YouTube_University_Data_Final[[Title]:[Title_language]],2,FALSE)</f>
        <v>English</v>
      </c>
      <c r="E187" t="s">
        <v>219</v>
      </c>
      <c r="F187">
        <v>27</v>
      </c>
      <c r="G187" s="1">
        <v>43052</v>
      </c>
      <c r="H187">
        <v>100</v>
      </c>
      <c r="I187" t="s">
        <v>16</v>
      </c>
      <c r="J187">
        <v>469</v>
      </c>
      <c r="K187">
        <v>1</v>
      </c>
      <c r="L187">
        <v>0</v>
      </c>
      <c r="M187">
        <v>0</v>
      </c>
      <c r="N187" t="s">
        <v>101</v>
      </c>
      <c r="O187">
        <v>2017</v>
      </c>
      <c r="P187" t="s">
        <v>18</v>
      </c>
    </row>
    <row r="188" spans="1:16" x14ac:dyDescent="0.3">
      <c r="A188">
        <v>186</v>
      </c>
      <c r="B188" t="s">
        <v>14</v>
      </c>
      <c r="C188" t="s">
        <v>220</v>
      </c>
      <c r="D188" t="str">
        <f>VLOOKUP(YouTube_University_Data_Final[[#This Row],[Title]],[1]!YouTube_University_Data_Final[[Title]:[Title_language]],2,FALSE)</f>
        <v>English</v>
      </c>
      <c r="E188" t="s">
        <v>3012</v>
      </c>
      <c r="F188">
        <v>27</v>
      </c>
      <c r="G188" s="1">
        <v>43052</v>
      </c>
      <c r="H188">
        <v>84</v>
      </c>
      <c r="I188" t="s">
        <v>16</v>
      </c>
      <c r="J188">
        <v>341</v>
      </c>
      <c r="K188">
        <v>1</v>
      </c>
      <c r="L188">
        <v>0</v>
      </c>
      <c r="M188">
        <v>0</v>
      </c>
      <c r="N188" t="s">
        <v>101</v>
      </c>
      <c r="O188">
        <v>2017</v>
      </c>
      <c r="P188" t="s">
        <v>18</v>
      </c>
    </row>
    <row r="189" spans="1:16" x14ac:dyDescent="0.3">
      <c r="A189">
        <v>187</v>
      </c>
      <c r="B189" t="s">
        <v>14</v>
      </c>
      <c r="C189" t="s">
        <v>221</v>
      </c>
      <c r="D189" t="str">
        <f>VLOOKUP(YouTube_University_Data_Final[[#This Row],[Title]],[1]!YouTube_University_Data_Final[[Title]:[Title_language]],2,FALSE)</f>
        <v>English</v>
      </c>
      <c r="E189" t="s">
        <v>222</v>
      </c>
      <c r="F189">
        <v>27</v>
      </c>
      <c r="G189" s="1">
        <v>43052</v>
      </c>
      <c r="H189">
        <v>82</v>
      </c>
      <c r="I189" t="s">
        <v>16</v>
      </c>
      <c r="J189">
        <v>394</v>
      </c>
      <c r="K189">
        <v>3</v>
      </c>
      <c r="L189">
        <v>0</v>
      </c>
      <c r="M189">
        <v>0</v>
      </c>
      <c r="N189" t="s">
        <v>101</v>
      </c>
      <c r="O189">
        <v>2017</v>
      </c>
      <c r="P189" t="s">
        <v>18</v>
      </c>
    </row>
    <row r="190" spans="1:16" x14ac:dyDescent="0.3">
      <c r="A190">
        <v>188</v>
      </c>
      <c r="B190" t="s">
        <v>14</v>
      </c>
      <c r="C190" t="s">
        <v>223</v>
      </c>
      <c r="D190" t="str">
        <f>VLOOKUP(YouTube_University_Data_Final[[#This Row],[Title]],[1]!YouTube_University_Data_Final[[Title]:[Title_language]],2,FALSE)</f>
        <v>English</v>
      </c>
      <c r="E190" t="s">
        <v>224</v>
      </c>
      <c r="F190">
        <v>27</v>
      </c>
      <c r="G190" s="1">
        <v>43052</v>
      </c>
      <c r="H190">
        <v>81</v>
      </c>
      <c r="I190" t="s">
        <v>16</v>
      </c>
      <c r="J190">
        <v>782</v>
      </c>
      <c r="K190">
        <v>5</v>
      </c>
      <c r="L190">
        <v>0</v>
      </c>
      <c r="M190">
        <v>0</v>
      </c>
      <c r="N190" t="s">
        <v>101</v>
      </c>
      <c r="O190">
        <v>2017</v>
      </c>
      <c r="P190" t="s">
        <v>18</v>
      </c>
    </row>
    <row r="191" spans="1:16" x14ac:dyDescent="0.3">
      <c r="A191">
        <v>189</v>
      </c>
      <c r="B191" t="s">
        <v>14</v>
      </c>
      <c r="C191" t="s">
        <v>225</v>
      </c>
      <c r="D191" t="str">
        <f>VLOOKUP(YouTube_University_Data_Final[[#This Row],[Title]],[1]!YouTube_University_Data_Final[[Title]:[Title_language]],2,FALSE)</f>
        <v>English</v>
      </c>
      <c r="E191" t="s">
        <v>3013</v>
      </c>
      <c r="F191">
        <v>27</v>
      </c>
      <c r="G191" s="1">
        <v>43052</v>
      </c>
      <c r="H191">
        <v>109</v>
      </c>
      <c r="I191" t="s">
        <v>16</v>
      </c>
      <c r="J191">
        <v>703</v>
      </c>
      <c r="K191">
        <v>8</v>
      </c>
      <c r="L191">
        <v>0</v>
      </c>
      <c r="M191">
        <v>0</v>
      </c>
      <c r="N191" t="s">
        <v>101</v>
      </c>
      <c r="O191">
        <v>2017</v>
      </c>
      <c r="P191" t="s">
        <v>18</v>
      </c>
    </row>
    <row r="192" spans="1:16" x14ac:dyDescent="0.3">
      <c r="A192">
        <v>190</v>
      </c>
      <c r="B192" t="s">
        <v>14</v>
      </c>
      <c r="C192" t="s">
        <v>226</v>
      </c>
      <c r="D192" t="str">
        <f>VLOOKUP(YouTube_University_Data_Final[[#This Row],[Title]],[1]!YouTube_University_Data_Final[[Title]:[Title_language]],2,FALSE)</f>
        <v>English</v>
      </c>
      <c r="E192" t="s">
        <v>227</v>
      </c>
      <c r="F192">
        <v>27</v>
      </c>
      <c r="G192" s="1">
        <v>43052</v>
      </c>
      <c r="H192">
        <v>101</v>
      </c>
      <c r="I192" t="s">
        <v>16</v>
      </c>
      <c r="J192">
        <v>1865</v>
      </c>
      <c r="K192">
        <v>29</v>
      </c>
      <c r="L192">
        <v>0</v>
      </c>
      <c r="M192">
        <v>0</v>
      </c>
      <c r="N192" t="s">
        <v>101</v>
      </c>
      <c r="O192">
        <v>2017</v>
      </c>
      <c r="P192" t="s">
        <v>18</v>
      </c>
    </row>
    <row r="193" spans="1:16" x14ac:dyDescent="0.3">
      <c r="A193">
        <v>191</v>
      </c>
      <c r="B193" t="s">
        <v>14</v>
      </c>
      <c r="C193" t="s">
        <v>228</v>
      </c>
      <c r="D193" t="str">
        <f>VLOOKUP(YouTube_University_Data_Final[[#This Row],[Title]],[1]!YouTube_University_Data_Final[[Title]:[Title_language]],2,FALSE)</f>
        <v>English</v>
      </c>
      <c r="E193" t="s">
        <v>3014</v>
      </c>
      <c r="F193">
        <v>27</v>
      </c>
      <c r="G193" s="1">
        <v>43052</v>
      </c>
      <c r="H193">
        <v>77</v>
      </c>
      <c r="I193" t="s">
        <v>16</v>
      </c>
      <c r="J193">
        <v>455</v>
      </c>
      <c r="K193">
        <v>1</v>
      </c>
      <c r="L193">
        <v>0</v>
      </c>
      <c r="M193">
        <v>0</v>
      </c>
      <c r="N193" t="s">
        <v>101</v>
      </c>
      <c r="O193">
        <v>2017</v>
      </c>
      <c r="P193" t="s">
        <v>18</v>
      </c>
    </row>
    <row r="194" spans="1:16" x14ac:dyDescent="0.3">
      <c r="A194">
        <v>192</v>
      </c>
      <c r="B194" t="s">
        <v>14</v>
      </c>
      <c r="C194" t="s">
        <v>229</v>
      </c>
      <c r="D194" t="str">
        <f>VLOOKUP(YouTube_University_Data_Final[[#This Row],[Title]],[1]!YouTube_University_Data_Final[[Title]:[Title_language]],2,FALSE)</f>
        <v>English</v>
      </c>
      <c r="E194" t="s">
        <v>3015</v>
      </c>
      <c r="F194">
        <v>27</v>
      </c>
      <c r="G194" s="1">
        <v>43052</v>
      </c>
      <c r="H194">
        <v>81</v>
      </c>
      <c r="I194" t="s">
        <v>16</v>
      </c>
      <c r="J194">
        <v>639</v>
      </c>
      <c r="K194">
        <v>5</v>
      </c>
      <c r="L194">
        <v>0</v>
      </c>
      <c r="M194">
        <v>0</v>
      </c>
      <c r="N194" t="s">
        <v>101</v>
      </c>
      <c r="O194">
        <v>2017</v>
      </c>
      <c r="P194" t="s">
        <v>18</v>
      </c>
    </row>
    <row r="195" spans="1:16" x14ac:dyDescent="0.3">
      <c r="A195">
        <v>193</v>
      </c>
      <c r="B195" t="s">
        <v>14</v>
      </c>
      <c r="C195" t="s">
        <v>230</v>
      </c>
      <c r="D195" t="str">
        <f>VLOOKUP(YouTube_University_Data_Final[[#This Row],[Title]],[1]!YouTube_University_Data_Final[[Title]:[Title_language]],2,FALSE)</f>
        <v>English</v>
      </c>
      <c r="E195" t="s">
        <v>231</v>
      </c>
      <c r="F195">
        <v>27</v>
      </c>
      <c r="G195" s="1">
        <v>43052</v>
      </c>
      <c r="H195">
        <v>82</v>
      </c>
      <c r="I195" t="s">
        <v>16</v>
      </c>
      <c r="J195">
        <v>253</v>
      </c>
      <c r="K195">
        <v>0</v>
      </c>
      <c r="L195">
        <v>0</v>
      </c>
      <c r="M195">
        <v>0</v>
      </c>
      <c r="N195" t="s">
        <v>101</v>
      </c>
      <c r="O195">
        <v>2017</v>
      </c>
      <c r="P195" t="s">
        <v>18</v>
      </c>
    </row>
    <row r="196" spans="1:16" x14ac:dyDescent="0.3">
      <c r="A196">
        <v>194</v>
      </c>
      <c r="B196" t="s">
        <v>14</v>
      </c>
      <c r="C196" t="s">
        <v>232</v>
      </c>
      <c r="D196" t="str">
        <f>VLOOKUP(YouTube_University_Data_Final[[#This Row],[Title]],[1]!YouTube_University_Data_Final[[Title]:[Title_language]],2,FALSE)</f>
        <v>English</v>
      </c>
      <c r="E196" t="s">
        <v>233</v>
      </c>
      <c r="F196">
        <v>27</v>
      </c>
      <c r="G196" s="1">
        <v>43052</v>
      </c>
      <c r="H196">
        <v>123</v>
      </c>
      <c r="I196" t="s">
        <v>16</v>
      </c>
      <c r="J196">
        <v>1234</v>
      </c>
      <c r="K196">
        <v>10</v>
      </c>
      <c r="L196">
        <v>0</v>
      </c>
      <c r="M196">
        <v>1</v>
      </c>
      <c r="N196" t="s">
        <v>101</v>
      </c>
      <c r="O196">
        <v>2017</v>
      </c>
      <c r="P196" t="s">
        <v>18</v>
      </c>
    </row>
    <row r="197" spans="1:16" x14ac:dyDescent="0.3">
      <c r="A197">
        <v>195</v>
      </c>
      <c r="B197" t="s">
        <v>14</v>
      </c>
      <c r="C197" t="s">
        <v>234</v>
      </c>
      <c r="D197" t="str">
        <f>VLOOKUP(YouTube_University_Data_Final[[#This Row],[Title]],[1]!YouTube_University_Data_Final[[Title]:[Title_language]],2,FALSE)</f>
        <v>English</v>
      </c>
      <c r="E197" t="s">
        <v>235</v>
      </c>
      <c r="F197">
        <v>27</v>
      </c>
      <c r="G197" s="1">
        <v>43052</v>
      </c>
      <c r="H197">
        <v>87</v>
      </c>
      <c r="I197" t="s">
        <v>16</v>
      </c>
      <c r="J197">
        <v>234</v>
      </c>
      <c r="K197">
        <v>1</v>
      </c>
      <c r="L197">
        <v>0</v>
      </c>
      <c r="M197">
        <v>0</v>
      </c>
      <c r="N197" t="s">
        <v>101</v>
      </c>
      <c r="O197">
        <v>2017</v>
      </c>
      <c r="P197" t="s">
        <v>18</v>
      </c>
    </row>
    <row r="198" spans="1:16" x14ac:dyDescent="0.3">
      <c r="A198">
        <v>196</v>
      </c>
      <c r="B198" t="s">
        <v>14</v>
      </c>
      <c r="C198" t="s">
        <v>236</v>
      </c>
      <c r="D198" t="str">
        <f>VLOOKUP(YouTube_University_Data_Final[[#This Row],[Title]],[1]!YouTube_University_Data_Final[[Title]:[Title_language]],2,FALSE)</f>
        <v>English</v>
      </c>
      <c r="E198" t="s">
        <v>3016</v>
      </c>
      <c r="F198">
        <v>27</v>
      </c>
      <c r="G198" s="1">
        <v>43052</v>
      </c>
      <c r="H198">
        <v>68</v>
      </c>
      <c r="I198" t="s">
        <v>16</v>
      </c>
      <c r="J198">
        <v>157</v>
      </c>
      <c r="K198">
        <v>1</v>
      </c>
      <c r="L198">
        <v>0</v>
      </c>
      <c r="M198">
        <v>0</v>
      </c>
      <c r="N198" t="s">
        <v>101</v>
      </c>
      <c r="O198">
        <v>2017</v>
      </c>
      <c r="P198" t="s">
        <v>18</v>
      </c>
    </row>
    <row r="199" spans="1:16" x14ac:dyDescent="0.3">
      <c r="A199">
        <v>197</v>
      </c>
      <c r="B199" t="s">
        <v>14</v>
      </c>
      <c r="C199" t="s">
        <v>237</v>
      </c>
      <c r="D199" t="str">
        <f>VLOOKUP(YouTube_University_Data_Final[[#This Row],[Title]],[1]!YouTube_University_Data_Final[[Title]:[Title_language]],2,FALSE)</f>
        <v>English</v>
      </c>
      <c r="E199" t="s">
        <v>3017</v>
      </c>
      <c r="F199">
        <v>27</v>
      </c>
      <c r="G199" s="1">
        <v>43052</v>
      </c>
      <c r="H199">
        <v>70</v>
      </c>
      <c r="I199" t="s">
        <v>16</v>
      </c>
      <c r="J199">
        <v>508</v>
      </c>
      <c r="K199">
        <v>2</v>
      </c>
      <c r="L199">
        <v>0</v>
      </c>
      <c r="M199">
        <v>0</v>
      </c>
      <c r="N199" t="s">
        <v>101</v>
      </c>
      <c r="O199">
        <v>2017</v>
      </c>
      <c r="P199" t="s">
        <v>18</v>
      </c>
    </row>
    <row r="200" spans="1:16" x14ac:dyDescent="0.3">
      <c r="A200">
        <v>198</v>
      </c>
      <c r="B200" t="s">
        <v>14</v>
      </c>
      <c r="C200" t="s">
        <v>238</v>
      </c>
      <c r="D200" t="str">
        <f>VLOOKUP(YouTube_University_Data_Final[[#This Row],[Title]],[1]!YouTube_University_Data_Final[[Title]:[Title_language]],2,FALSE)</f>
        <v>English</v>
      </c>
      <c r="E200" t="s">
        <v>239</v>
      </c>
      <c r="F200">
        <v>27</v>
      </c>
      <c r="G200" s="1">
        <v>43052</v>
      </c>
      <c r="H200">
        <v>95</v>
      </c>
      <c r="I200" t="s">
        <v>16</v>
      </c>
      <c r="J200">
        <v>717</v>
      </c>
      <c r="K200">
        <v>4</v>
      </c>
      <c r="L200">
        <v>0</v>
      </c>
      <c r="M200">
        <v>0</v>
      </c>
      <c r="N200" t="s">
        <v>101</v>
      </c>
      <c r="O200">
        <v>2017</v>
      </c>
      <c r="P200" t="s">
        <v>18</v>
      </c>
    </row>
    <row r="201" spans="1:16" x14ac:dyDescent="0.3">
      <c r="A201">
        <v>199</v>
      </c>
      <c r="B201" t="s">
        <v>14</v>
      </c>
      <c r="C201" t="s">
        <v>240</v>
      </c>
      <c r="D201" t="str">
        <f>VLOOKUP(YouTube_University_Data_Final[[#This Row],[Title]],[1]!YouTube_University_Data_Final[[Title]:[Title_language]],2,FALSE)</f>
        <v>English</v>
      </c>
      <c r="E201" t="s">
        <v>2944</v>
      </c>
      <c r="F201">
        <v>27</v>
      </c>
      <c r="G201" s="1">
        <v>43024</v>
      </c>
      <c r="H201">
        <v>41</v>
      </c>
      <c r="I201" t="s">
        <v>16</v>
      </c>
      <c r="J201">
        <v>285</v>
      </c>
      <c r="K201">
        <v>2</v>
      </c>
      <c r="L201">
        <v>0</v>
      </c>
      <c r="M201">
        <v>0</v>
      </c>
      <c r="N201" t="s">
        <v>17</v>
      </c>
      <c r="O201">
        <v>2017</v>
      </c>
      <c r="P201" t="s">
        <v>18</v>
      </c>
    </row>
    <row r="202" spans="1:16" x14ac:dyDescent="0.3">
      <c r="A202">
        <v>200</v>
      </c>
      <c r="B202" t="s">
        <v>14</v>
      </c>
      <c r="C202" t="s">
        <v>241</v>
      </c>
      <c r="D202" t="str">
        <f>VLOOKUP(YouTube_University_Data_Final[[#This Row],[Title]],[1]!YouTube_University_Data_Final[[Title]:[Title_language]],2,FALSE)</f>
        <v>English</v>
      </c>
      <c r="E202" t="s">
        <v>2944</v>
      </c>
      <c r="F202">
        <v>27</v>
      </c>
      <c r="G202" s="1">
        <v>43024</v>
      </c>
      <c r="H202">
        <v>59</v>
      </c>
      <c r="I202" t="s">
        <v>16</v>
      </c>
      <c r="J202">
        <v>128</v>
      </c>
      <c r="K202">
        <v>0</v>
      </c>
      <c r="L202">
        <v>0</v>
      </c>
      <c r="M202">
        <v>0</v>
      </c>
      <c r="N202" t="s">
        <v>17</v>
      </c>
      <c r="O202">
        <v>2017</v>
      </c>
      <c r="P202" t="s">
        <v>18</v>
      </c>
    </row>
    <row r="203" spans="1:16" x14ac:dyDescent="0.3">
      <c r="A203">
        <v>201</v>
      </c>
      <c r="B203" t="s">
        <v>14</v>
      </c>
      <c r="C203" t="s">
        <v>242</v>
      </c>
      <c r="D203" t="str">
        <f>VLOOKUP(YouTube_University_Data_Final[[#This Row],[Title]],[1]!YouTube_University_Data_Final[[Title]:[Title_language]],2,FALSE)</f>
        <v>English</v>
      </c>
      <c r="E203" t="s">
        <v>2944</v>
      </c>
      <c r="F203">
        <v>27</v>
      </c>
      <c r="G203" s="1">
        <v>43024</v>
      </c>
      <c r="H203">
        <v>60</v>
      </c>
      <c r="I203" t="s">
        <v>16</v>
      </c>
      <c r="J203">
        <v>362</v>
      </c>
      <c r="K203">
        <v>3</v>
      </c>
      <c r="L203">
        <v>0</v>
      </c>
      <c r="M203">
        <v>0</v>
      </c>
      <c r="N203" t="s">
        <v>17</v>
      </c>
      <c r="O203">
        <v>2017</v>
      </c>
      <c r="P203" t="s">
        <v>18</v>
      </c>
    </row>
    <row r="204" spans="1:16" x14ac:dyDescent="0.3">
      <c r="A204">
        <v>202</v>
      </c>
      <c r="B204" t="s">
        <v>14</v>
      </c>
      <c r="C204" t="s">
        <v>243</v>
      </c>
      <c r="D204" t="str">
        <f>VLOOKUP(YouTube_University_Data_Final[[#This Row],[Title]],[1]!YouTube_University_Data_Final[[Title]:[Title_language]],2,FALSE)</f>
        <v>English</v>
      </c>
      <c r="E204" t="s">
        <v>244</v>
      </c>
      <c r="F204">
        <v>27</v>
      </c>
      <c r="G204" s="1">
        <v>42982</v>
      </c>
      <c r="H204">
        <v>2924</v>
      </c>
      <c r="I204" t="s">
        <v>16</v>
      </c>
      <c r="J204">
        <v>3800</v>
      </c>
      <c r="K204">
        <v>20</v>
      </c>
      <c r="L204">
        <v>0</v>
      </c>
      <c r="M204">
        <v>4</v>
      </c>
      <c r="N204" t="s">
        <v>21</v>
      </c>
      <c r="O204">
        <v>2017</v>
      </c>
      <c r="P204" t="s">
        <v>18</v>
      </c>
    </row>
    <row r="205" spans="1:16" x14ac:dyDescent="0.3">
      <c r="A205">
        <v>203</v>
      </c>
      <c r="B205" t="s">
        <v>14</v>
      </c>
      <c r="C205" t="s">
        <v>245</v>
      </c>
      <c r="D205" t="str">
        <f>VLOOKUP(YouTube_University_Data_Final[[#This Row],[Title]],[1]!YouTube_University_Data_Final[[Title]:[Title_language]],2,FALSE)</f>
        <v>English</v>
      </c>
      <c r="E205" t="s">
        <v>2944</v>
      </c>
      <c r="F205">
        <v>27</v>
      </c>
      <c r="G205" s="1">
        <v>42871</v>
      </c>
      <c r="H205">
        <v>291</v>
      </c>
      <c r="I205" t="s">
        <v>16</v>
      </c>
      <c r="J205">
        <v>289</v>
      </c>
      <c r="K205">
        <v>2</v>
      </c>
      <c r="L205">
        <v>0</v>
      </c>
      <c r="M205">
        <v>0</v>
      </c>
      <c r="N205" t="s">
        <v>81</v>
      </c>
      <c r="O205">
        <v>2017</v>
      </c>
      <c r="P205" t="s">
        <v>18</v>
      </c>
    </row>
    <row r="206" spans="1:16" x14ac:dyDescent="0.3">
      <c r="A206">
        <v>204</v>
      </c>
      <c r="B206" t="s">
        <v>14</v>
      </c>
      <c r="C206" t="s">
        <v>246</v>
      </c>
      <c r="D206" t="str">
        <f>VLOOKUP(YouTube_University_Data_Final[[#This Row],[Title]],[1]!YouTube_University_Data_Final[[Title]:[Title_language]],2,FALSE)</f>
        <v>English</v>
      </c>
      <c r="E206" t="s">
        <v>2944</v>
      </c>
      <c r="F206">
        <v>27</v>
      </c>
      <c r="G206" s="1">
        <v>42871</v>
      </c>
      <c r="H206">
        <v>291</v>
      </c>
      <c r="I206" t="s">
        <v>16</v>
      </c>
      <c r="J206">
        <v>1024</v>
      </c>
      <c r="K206">
        <v>6</v>
      </c>
      <c r="L206">
        <v>0</v>
      </c>
      <c r="M206">
        <v>0</v>
      </c>
      <c r="N206" t="s">
        <v>81</v>
      </c>
      <c r="O206">
        <v>2017</v>
      </c>
      <c r="P206" t="s">
        <v>18</v>
      </c>
    </row>
    <row r="207" spans="1:16" x14ac:dyDescent="0.3">
      <c r="A207">
        <v>205</v>
      </c>
      <c r="B207" t="s">
        <v>14</v>
      </c>
      <c r="C207" t="s">
        <v>247</v>
      </c>
      <c r="D207" t="str">
        <f>VLOOKUP(YouTube_University_Data_Final[[#This Row],[Title]],[1]!YouTube_University_Data_Final[[Title]:[Title_language]],2,FALSE)</f>
        <v>English</v>
      </c>
      <c r="E207" t="s">
        <v>2944</v>
      </c>
      <c r="F207">
        <v>27</v>
      </c>
      <c r="G207" s="1">
        <v>42871</v>
      </c>
      <c r="H207">
        <v>291</v>
      </c>
      <c r="I207" t="s">
        <v>16</v>
      </c>
      <c r="J207">
        <v>3280</v>
      </c>
      <c r="K207">
        <v>11</v>
      </c>
      <c r="L207">
        <v>0</v>
      </c>
      <c r="M207">
        <v>0</v>
      </c>
      <c r="N207" t="s">
        <v>81</v>
      </c>
      <c r="O207">
        <v>2017</v>
      </c>
      <c r="P207" t="s">
        <v>18</v>
      </c>
    </row>
    <row r="208" spans="1:16" x14ac:dyDescent="0.3">
      <c r="A208">
        <v>206</v>
      </c>
      <c r="B208" t="s">
        <v>14</v>
      </c>
      <c r="C208" t="s">
        <v>3018</v>
      </c>
      <c r="D208" t="str">
        <f>VLOOKUP(YouTube_University_Data_Final[[#This Row],[Title]],[1]!YouTube_University_Data_Final[[Title]:[Title_language]],2,FALSE)</f>
        <v>English</v>
      </c>
      <c r="E208" t="s">
        <v>3019</v>
      </c>
      <c r="F208">
        <v>27</v>
      </c>
      <c r="G208" s="1">
        <v>42825</v>
      </c>
      <c r="H208">
        <v>261</v>
      </c>
      <c r="I208" t="s">
        <v>16</v>
      </c>
      <c r="J208">
        <v>289</v>
      </c>
      <c r="K208">
        <v>1</v>
      </c>
      <c r="L208">
        <v>0</v>
      </c>
      <c r="M208">
        <v>0</v>
      </c>
      <c r="N208" t="s">
        <v>90</v>
      </c>
      <c r="O208">
        <v>2017</v>
      </c>
      <c r="P208" t="s">
        <v>18</v>
      </c>
    </row>
    <row r="209" spans="1:16" x14ac:dyDescent="0.3">
      <c r="A209">
        <v>207</v>
      </c>
      <c r="B209" t="s">
        <v>14</v>
      </c>
      <c r="C209" t="s">
        <v>3018</v>
      </c>
      <c r="D209" t="str">
        <f>VLOOKUP(YouTube_University_Data_Final[[#This Row],[Title]],[1]!YouTube_University_Data_Final[[Title]:[Title_language]],2,FALSE)</f>
        <v>English</v>
      </c>
      <c r="E209" t="s">
        <v>3019</v>
      </c>
      <c r="F209">
        <v>27</v>
      </c>
      <c r="G209" s="1">
        <v>42825</v>
      </c>
      <c r="H209">
        <v>41</v>
      </c>
      <c r="I209" t="s">
        <v>16</v>
      </c>
      <c r="J209">
        <v>204</v>
      </c>
      <c r="K209">
        <v>1</v>
      </c>
      <c r="L209">
        <v>0</v>
      </c>
      <c r="M209">
        <v>0</v>
      </c>
      <c r="N209" t="s">
        <v>90</v>
      </c>
      <c r="O209">
        <v>2017</v>
      </c>
      <c r="P209" t="s">
        <v>18</v>
      </c>
    </row>
    <row r="210" spans="1:16" x14ac:dyDescent="0.3">
      <c r="A210">
        <v>208</v>
      </c>
      <c r="B210" t="s">
        <v>14</v>
      </c>
      <c r="C210" t="s">
        <v>248</v>
      </c>
      <c r="D210" t="str">
        <f>VLOOKUP(YouTube_University_Data_Final[[#This Row],[Title]],[1]!YouTube_University_Data_Final[[Title]:[Title_language]],2,FALSE)</f>
        <v>English</v>
      </c>
      <c r="E210" t="s">
        <v>2944</v>
      </c>
      <c r="F210">
        <v>27</v>
      </c>
      <c r="G210" s="1">
        <v>42800</v>
      </c>
      <c r="H210">
        <v>109</v>
      </c>
      <c r="I210" t="s">
        <v>16</v>
      </c>
      <c r="J210">
        <v>588</v>
      </c>
      <c r="K210">
        <v>2</v>
      </c>
      <c r="L210">
        <v>0</v>
      </c>
      <c r="M210">
        <v>0</v>
      </c>
      <c r="N210" t="s">
        <v>90</v>
      </c>
      <c r="O210">
        <v>2017</v>
      </c>
      <c r="P210" t="s">
        <v>18</v>
      </c>
    </row>
    <row r="211" spans="1:16" x14ac:dyDescent="0.3">
      <c r="A211">
        <v>209</v>
      </c>
      <c r="B211" t="s">
        <v>14</v>
      </c>
      <c r="C211" t="s">
        <v>249</v>
      </c>
      <c r="D211" t="str">
        <f>VLOOKUP(YouTube_University_Data_Final[[#This Row],[Title]],[1]!YouTube_University_Data_Final[[Title]:[Title_language]],2,FALSE)</f>
        <v>English</v>
      </c>
      <c r="E211" t="s">
        <v>2944</v>
      </c>
      <c r="F211">
        <v>27</v>
      </c>
      <c r="G211" s="1">
        <v>42796</v>
      </c>
      <c r="H211">
        <v>64</v>
      </c>
      <c r="I211" t="s">
        <v>16</v>
      </c>
      <c r="J211">
        <v>159</v>
      </c>
      <c r="K211">
        <v>0</v>
      </c>
      <c r="L211">
        <v>0</v>
      </c>
      <c r="M211">
        <v>0</v>
      </c>
      <c r="N211" t="s">
        <v>90</v>
      </c>
      <c r="O211">
        <v>2017</v>
      </c>
      <c r="P211" t="s">
        <v>18</v>
      </c>
    </row>
    <row r="212" spans="1:16" x14ac:dyDescent="0.3">
      <c r="A212">
        <v>210</v>
      </c>
      <c r="B212" t="s">
        <v>14</v>
      </c>
      <c r="C212" t="s">
        <v>250</v>
      </c>
      <c r="D212" t="str">
        <f>VLOOKUP(YouTube_University_Data_Final[[#This Row],[Title]],[1]!YouTube_University_Data_Final[[Title]:[Title_language]],2,FALSE)</f>
        <v>English</v>
      </c>
      <c r="E212" t="s">
        <v>2944</v>
      </c>
      <c r="F212">
        <v>27</v>
      </c>
      <c r="G212" s="1">
        <v>42780</v>
      </c>
      <c r="H212">
        <v>123</v>
      </c>
      <c r="I212" t="s">
        <v>16</v>
      </c>
      <c r="J212">
        <v>973</v>
      </c>
      <c r="K212">
        <v>1</v>
      </c>
      <c r="L212">
        <v>0</v>
      </c>
      <c r="M212">
        <v>0</v>
      </c>
      <c r="N212" t="s">
        <v>162</v>
      </c>
      <c r="O212">
        <v>2017</v>
      </c>
      <c r="P212" t="s">
        <v>18</v>
      </c>
    </row>
    <row r="213" spans="1:16" x14ac:dyDescent="0.3">
      <c r="A213">
        <v>211</v>
      </c>
      <c r="B213" t="s">
        <v>14</v>
      </c>
      <c r="C213" t="s">
        <v>251</v>
      </c>
      <c r="D213" t="str">
        <f>VLOOKUP(YouTube_University_Data_Final[[#This Row],[Title]],[1]!YouTube_University_Data_Final[[Title]:[Title_language]],2,FALSE)</f>
        <v>English</v>
      </c>
      <c r="E213" t="s">
        <v>2944</v>
      </c>
      <c r="F213">
        <v>27</v>
      </c>
      <c r="G213" s="1">
        <v>42746</v>
      </c>
      <c r="H213">
        <v>291</v>
      </c>
      <c r="I213" t="s">
        <v>16</v>
      </c>
      <c r="J213">
        <v>917</v>
      </c>
      <c r="K213">
        <v>5</v>
      </c>
      <c r="L213">
        <v>0</v>
      </c>
      <c r="M213">
        <v>1</v>
      </c>
      <c r="N213" t="s">
        <v>93</v>
      </c>
      <c r="O213">
        <v>2017</v>
      </c>
      <c r="P213" t="s">
        <v>18</v>
      </c>
    </row>
    <row r="214" spans="1:16" x14ac:dyDescent="0.3">
      <c r="A214">
        <v>212</v>
      </c>
      <c r="B214" t="s">
        <v>14</v>
      </c>
      <c r="C214" t="s">
        <v>252</v>
      </c>
      <c r="D214" t="str">
        <f>VLOOKUP(YouTube_University_Data_Final[[#This Row],[Title]],[1]!YouTube_University_Data_Final[[Title]:[Title_language]],2,FALSE)</f>
        <v>English</v>
      </c>
      <c r="E214" t="s">
        <v>2944</v>
      </c>
      <c r="F214">
        <v>27</v>
      </c>
      <c r="G214" s="1">
        <v>42746</v>
      </c>
      <c r="H214">
        <v>291</v>
      </c>
      <c r="I214" t="s">
        <v>16</v>
      </c>
      <c r="J214">
        <v>314</v>
      </c>
      <c r="K214">
        <v>0</v>
      </c>
      <c r="L214">
        <v>0</v>
      </c>
      <c r="M214">
        <v>0</v>
      </c>
      <c r="N214" t="s">
        <v>93</v>
      </c>
      <c r="O214">
        <v>2017</v>
      </c>
      <c r="P214" t="s">
        <v>18</v>
      </c>
    </row>
    <row r="215" spans="1:16" x14ac:dyDescent="0.3">
      <c r="A215">
        <v>213</v>
      </c>
      <c r="B215" t="s">
        <v>14</v>
      </c>
      <c r="C215" t="s">
        <v>253</v>
      </c>
      <c r="D215" t="str">
        <f>VLOOKUP(YouTube_University_Data_Final[[#This Row],[Title]],[1]!YouTube_University_Data_Final[[Title]:[Title_language]],2,FALSE)</f>
        <v>English</v>
      </c>
      <c r="E215" t="s">
        <v>2944</v>
      </c>
      <c r="F215">
        <v>27</v>
      </c>
      <c r="G215" s="1">
        <v>42746</v>
      </c>
      <c r="H215">
        <v>116</v>
      </c>
      <c r="I215" t="s">
        <v>16</v>
      </c>
      <c r="J215">
        <v>547</v>
      </c>
      <c r="K215">
        <v>4</v>
      </c>
      <c r="L215">
        <v>0</v>
      </c>
      <c r="M215">
        <v>0</v>
      </c>
      <c r="N215" t="s">
        <v>93</v>
      </c>
      <c r="O215">
        <v>2017</v>
      </c>
      <c r="P215" t="s">
        <v>18</v>
      </c>
    </row>
    <row r="216" spans="1:16" x14ac:dyDescent="0.3">
      <c r="A216">
        <v>214</v>
      </c>
      <c r="B216" t="s">
        <v>14</v>
      </c>
      <c r="C216" t="s">
        <v>254</v>
      </c>
      <c r="D216" t="str">
        <f>VLOOKUP(YouTube_University_Data_Final[[#This Row],[Title]],[1]!YouTube_University_Data_Final[[Title]:[Title_language]],2,FALSE)</f>
        <v>English</v>
      </c>
      <c r="E216" t="s">
        <v>2944</v>
      </c>
      <c r="F216">
        <v>27</v>
      </c>
      <c r="G216" s="1">
        <v>42746</v>
      </c>
      <c r="H216">
        <v>10</v>
      </c>
      <c r="I216" t="s">
        <v>16</v>
      </c>
      <c r="J216">
        <v>63</v>
      </c>
      <c r="K216">
        <v>0</v>
      </c>
      <c r="L216">
        <v>0</v>
      </c>
      <c r="M216">
        <v>0</v>
      </c>
      <c r="N216" t="s">
        <v>93</v>
      </c>
      <c r="O216">
        <v>2017</v>
      </c>
      <c r="P216" t="s">
        <v>18</v>
      </c>
    </row>
    <row r="217" spans="1:16" x14ac:dyDescent="0.3">
      <c r="A217">
        <v>215</v>
      </c>
      <c r="B217" t="s">
        <v>14</v>
      </c>
      <c r="C217" t="s">
        <v>255</v>
      </c>
      <c r="D217" t="str">
        <f>VLOOKUP(YouTube_University_Data_Final[[#This Row],[Title]],[1]!YouTube_University_Data_Final[[Title]:[Title_language]],2,FALSE)</f>
        <v>English</v>
      </c>
      <c r="E217" t="s">
        <v>2944</v>
      </c>
      <c r="F217">
        <v>27</v>
      </c>
      <c r="G217" s="1">
        <v>42746</v>
      </c>
      <c r="H217">
        <v>23</v>
      </c>
      <c r="I217" t="s">
        <v>16</v>
      </c>
      <c r="J217">
        <v>54</v>
      </c>
      <c r="K217">
        <v>0</v>
      </c>
      <c r="L217">
        <v>0</v>
      </c>
      <c r="M217">
        <v>0</v>
      </c>
      <c r="N217" t="s">
        <v>93</v>
      </c>
      <c r="O217">
        <v>2017</v>
      </c>
      <c r="P217" t="s">
        <v>18</v>
      </c>
    </row>
    <row r="218" spans="1:16" x14ac:dyDescent="0.3">
      <c r="A218">
        <v>216</v>
      </c>
      <c r="B218" t="s">
        <v>14</v>
      </c>
      <c r="C218" t="s">
        <v>256</v>
      </c>
      <c r="D218" t="str">
        <f>VLOOKUP(YouTube_University_Data_Final[[#This Row],[Title]],[1]!YouTube_University_Data_Final[[Title]:[Title_language]],2,FALSE)</f>
        <v>English</v>
      </c>
      <c r="E218" t="s">
        <v>2944</v>
      </c>
      <c r="F218">
        <v>27</v>
      </c>
      <c r="G218" s="1">
        <v>42746</v>
      </c>
      <c r="H218">
        <v>3019</v>
      </c>
      <c r="I218" t="s">
        <v>16</v>
      </c>
      <c r="J218">
        <v>44</v>
      </c>
      <c r="K218">
        <v>1</v>
      </c>
      <c r="L218">
        <v>0</v>
      </c>
      <c r="M218">
        <v>0</v>
      </c>
      <c r="N218" t="s">
        <v>93</v>
      </c>
      <c r="O218">
        <v>2017</v>
      </c>
      <c r="P218" t="s">
        <v>18</v>
      </c>
    </row>
    <row r="219" spans="1:16" x14ac:dyDescent="0.3">
      <c r="A219">
        <v>217</v>
      </c>
      <c r="B219" t="s">
        <v>14</v>
      </c>
      <c r="C219" t="s">
        <v>257</v>
      </c>
      <c r="D219" t="str">
        <f>VLOOKUP(YouTube_University_Data_Final[[#This Row],[Title]],[1]!YouTube_University_Data_Final[[Title]:[Title_language]],2,FALSE)</f>
        <v>English</v>
      </c>
      <c r="E219" t="s">
        <v>2944</v>
      </c>
      <c r="F219">
        <v>27</v>
      </c>
      <c r="G219" s="1">
        <v>42741</v>
      </c>
      <c r="H219">
        <v>291</v>
      </c>
      <c r="I219" t="s">
        <v>16</v>
      </c>
      <c r="J219">
        <v>11838</v>
      </c>
      <c r="K219">
        <v>75</v>
      </c>
      <c r="L219">
        <v>0</v>
      </c>
      <c r="M219">
        <v>2</v>
      </c>
      <c r="N219" t="s">
        <v>93</v>
      </c>
      <c r="O219">
        <v>2017</v>
      </c>
      <c r="P219" t="s">
        <v>18</v>
      </c>
    </row>
    <row r="220" spans="1:16" x14ac:dyDescent="0.3">
      <c r="A220">
        <v>218</v>
      </c>
      <c r="B220" t="s">
        <v>14</v>
      </c>
      <c r="C220" t="s">
        <v>3020</v>
      </c>
      <c r="D220" t="str">
        <f>VLOOKUP(YouTube_University_Data_Final[[#This Row],[Title]],[1]!YouTube_University_Data_Final[[Title]:[Title_language]],2,FALSE)</f>
        <v>English</v>
      </c>
      <c r="E220" t="s">
        <v>3021</v>
      </c>
      <c r="F220">
        <v>27</v>
      </c>
      <c r="G220" s="1">
        <v>42739</v>
      </c>
      <c r="H220">
        <v>97</v>
      </c>
      <c r="I220" t="s">
        <v>16</v>
      </c>
      <c r="J220">
        <v>133690</v>
      </c>
      <c r="K220">
        <v>125</v>
      </c>
      <c r="L220">
        <v>0</v>
      </c>
      <c r="M220">
        <v>6</v>
      </c>
      <c r="N220" t="s">
        <v>93</v>
      </c>
      <c r="O220">
        <v>2017</v>
      </c>
      <c r="P220" t="s">
        <v>18</v>
      </c>
    </row>
    <row r="221" spans="1:16" x14ac:dyDescent="0.3">
      <c r="A221">
        <v>219</v>
      </c>
      <c r="B221" t="s">
        <v>14</v>
      </c>
      <c r="C221" t="s">
        <v>258</v>
      </c>
      <c r="D221" t="str">
        <f>VLOOKUP(YouTube_University_Data_Final[[#This Row],[Title]],[1]!YouTube_University_Data_Final[[Title]:[Title_language]],2,FALSE)</f>
        <v>English</v>
      </c>
      <c r="E221" t="s">
        <v>259</v>
      </c>
      <c r="F221">
        <v>27</v>
      </c>
      <c r="G221" s="1">
        <v>42738</v>
      </c>
      <c r="H221">
        <v>24</v>
      </c>
      <c r="I221" t="s">
        <v>16</v>
      </c>
      <c r="J221">
        <v>960</v>
      </c>
      <c r="K221">
        <v>10</v>
      </c>
      <c r="L221">
        <v>0</v>
      </c>
      <c r="M221">
        <v>0</v>
      </c>
      <c r="N221" t="s">
        <v>93</v>
      </c>
      <c r="O221">
        <v>2017</v>
      </c>
      <c r="P221" t="s">
        <v>18</v>
      </c>
    </row>
    <row r="222" spans="1:16" x14ac:dyDescent="0.3">
      <c r="A222">
        <v>220</v>
      </c>
      <c r="B222" t="s">
        <v>14</v>
      </c>
      <c r="C222" t="s">
        <v>260</v>
      </c>
      <c r="D222" t="str">
        <f>VLOOKUP(YouTube_University_Data_Final[[#This Row],[Title]],[1]!YouTube_University_Data_Final[[Title]:[Title_language]],2,FALSE)</f>
        <v>English</v>
      </c>
      <c r="E222" t="s">
        <v>2944</v>
      </c>
      <c r="F222">
        <v>27</v>
      </c>
      <c r="G222" s="1">
        <v>42732</v>
      </c>
      <c r="H222">
        <v>36</v>
      </c>
      <c r="I222" t="s">
        <v>16</v>
      </c>
      <c r="J222">
        <v>111</v>
      </c>
      <c r="K222">
        <v>0</v>
      </c>
      <c r="L222">
        <v>0</v>
      </c>
      <c r="M222">
        <v>0</v>
      </c>
      <c r="N222" t="s">
        <v>98</v>
      </c>
      <c r="O222">
        <v>2016</v>
      </c>
      <c r="P222" t="s">
        <v>18</v>
      </c>
    </row>
    <row r="223" spans="1:16" x14ac:dyDescent="0.3">
      <c r="A223">
        <v>221</v>
      </c>
      <c r="B223" t="s">
        <v>14</v>
      </c>
      <c r="C223" t="s">
        <v>261</v>
      </c>
      <c r="D223" t="str">
        <f>VLOOKUP(YouTube_University_Data_Final[[#This Row],[Title]],[1]!YouTube_University_Data_Final[[Title]:[Title_language]],2,FALSE)</f>
        <v>English</v>
      </c>
      <c r="E223" t="s">
        <v>2944</v>
      </c>
      <c r="F223">
        <v>27</v>
      </c>
      <c r="G223" s="1">
        <v>42724</v>
      </c>
      <c r="H223">
        <v>3356</v>
      </c>
      <c r="I223" t="s">
        <v>16</v>
      </c>
      <c r="J223">
        <v>89</v>
      </c>
      <c r="K223">
        <v>1</v>
      </c>
      <c r="L223">
        <v>0</v>
      </c>
      <c r="M223">
        <v>0</v>
      </c>
      <c r="N223" t="s">
        <v>98</v>
      </c>
      <c r="O223">
        <v>2016</v>
      </c>
      <c r="P223" t="s">
        <v>18</v>
      </c>
    </row>
    <row r="224" spans="1:16" x14ac:dyDescent="0.3">
      <c r="A224">
        <v>222</v>
      </c>
      <c r="B224" t="s">
        <v>14</v>
      </c>
      <c r="C224" t="s">
        <v>262</v>
      </c>
      <c r="D224" t="str">
        <f>VLOOKUP(YouTube_University_Data_Final[[#This Row],[Title]],[1]!YouTube_University_Data_Final[[Title]:[Title_language]],2,FALSE)</f>
        <v>English</v>
      </c>
      <c r="E224" t="s">
        <v>2944</v>
      </c>
      <c r="F224">
        <v>27</v>
      </c>
      <c r="G224" s="1">
        <v>42724</v>
      </c>
      <c r="H224">
        <v>2223</v>
      </c>
      <c r="I224" t="s">
        <v>16</v>
      </c>
      <c r="J224">
        <v>133</v>
      </c>
      <c r="K224">
        <v>0</v>
      </c>
      <c r="L224">
        <v>0</v>
      </c>
      <c r="M224">
        <v>0</v>
      </c>
      <c r="N224" t="s">
        <v>98</v>
      </c>
      <c r="O224">
        <v>2016</v>
      </c>
      <c r="P224" t="s">
        <v>18</v>
      </c>
    </row>
    <row r="225" spans="1:16" x14ac:dyDescent="0.3">
      <c r="A225">
        <v>223</v>
      </c>
      <c r="B225" t="s">
        <v>14</v>
      </c>
      <c r="C225" t="s">
        <v>263</v>
      </c>
      <c r="D225" t="str">
        <f>VLOOKUP(YouTube_University_Data_Final[[#This Row],[Title]],[1]!YouTube_University_Data_Final[[Title]:[Title_language]],2,FALSE)</f>
        <v>English</v>
      </c>
      <c r="E225" t="s">
        <v>2944</v>
      </c>
      <c r="F225">
        <v>27</v>
      </c>
      <c r="G225" s="1">
        <v>42718</v>
      </c>
      <c r="H225">
        <v>30</v>
      </c>
      <c r="I225" t="s">
        <v>16</v>
      </c>
      <c r="J225">
        <v>55</v>
      </c>
      <c r="K225">
        <v>1</v>
      </c>
      <c r="L225">
        <v>0</v>
      </c>
      <c r="M225">
        <v>0</v>
      </c>
      <c r="N225" t="s">
        <v>98</v>
      </c>
      <c r="O225">
        <v>2016</v>
      </c>
      <c r="P225" t="s">
        <v>18</v>
      </c>
    </row>
    <row r="226" spans="1:16" x14ac:dyDescent="0.3">
      <c r="A226">
        <v>224</v>
      </c>
      <c r="B226" t="s">
        <v>14</v>
      </c>
      <c r="C226" t="s">
        <v>264</v>
      </c>
      <c r="D226" t="str">
        <f>VLOOKUP(YouTube_University_Data_Final[[#This Row],[Title]],[1]!YouTube_University_Data_Final[[Title]:[Title_language]],2,FALSE)</f>
        <v>English</v>
      </c>
      <c r="E226" t="s">
        <v>2944</v>
      </c>
      <c r="F226">
        <v>27</v>
      </c>
      <c r="G226" s="1">
        <v>42710</v>
      </c>
      <c r="H226">
        <v>6</v>
      </c>
      <c r="I226" t="s">
        <v>16</v>
      </c>
      <c r="J226">
        <v>84</v>
      </c>
      <c r="K226">
        <v>1</v>
      </c>
      <c r="L226">
        <v>0</v>
      </c>
      <c r="M226">
        <v>0</v>
      </c>
      <c r="N226" t="s">
        <v>98</v>
      </c>
      <c r="O226">
        <v>2016</v>
      </c>
      <c r="P226" t="s">
        <v>18</v>
      </c>
    </row>
    <row r="227" spans="1:16" x14ac:dyDescent="0.3">
      <c r="A227">
        <v>225</v>
      </c>
      <c r="B227" t="s">
        <v>14</v>
      </c>
      <c r="C227" t="s">
        <v>265</v>
      </c>
      <c r="D227" t="str">
        <f>VLOOKUP(YouTube_University_Data_Final[[#This Row],[Title]],[1]!YouTube_University_Data_Final[[Title]:[Title_language]],2,FALSE)</f>
        <v>English</v>
      </c>
      <c r="E227" t="s">
        <v>2944</v>
      </c>
      <c r="F227">
        <v>27</v>
      </c>
      <c r="G227" s="1">
        <v>42710</v>
      </c>
      <c r="H227">
        <v>15</v>
      </c>
      <c r="I227" t="s">
        <v>16</v>
      </c>
      <c r="J227">
        <v>68</v>
      </c>
      <c r="K227">
        <v>0</v>
      </c>
      <c r="L227">
        <v>0</v>
      </c>
      <c r="M227">
        <v>0</v>
      </c>
      <c r="N227" t="s">
        <v>98</v>
      </c>
      <c r="O227">
        <v>2016</v>
      </c>
      <c r="P227" t="s">
        <v>18</v>
      </c>
    </row>
    <row r="228" spans="1:16" x14ac:dyDescent="0.3">
      <c r="A228">
        <v>226</v>
      </c>
      <c r="B228" t="s">
        <v>14</v>
      </c>
      <c r="C228" t="s">
        <v>266</v>
      </c>
      <c r="D228" t="str">
        <f>VLOOKUP(YouTube_University_Data_Final[[#This Row],[Title]],[1]!YouTube_University_Data_Final[[Title]:[Title_language]],2,FALSE)</f>
        <v>English</v>
      </c>
      <c r="E228" t="s">
        <v>2944</v>
      </c>
      <c r="F228">
        <v>27</v>
      </c>
      <c r="G228" s="1">
        <v>42695</v>
      </c>
      <c r="H228">
        <v>9</v>
      </c>
      <c r="I228" t="s">
        <v>16</v>
      </c>
      <c r="J228">
        <v>85</v>
      </c>
      <c r="K228">
        <v>0</v>
      </c>
      <c r="L228">
        <v>0</v>
      </c>
      <c r="M228">
        <v>0</v>
      </c>
      <c r="N228" t="s">
        <v>101</v>
      </c>
      <c r="O228">
        <v>2016</v>
      </c>
      <c r="P228" t="s">
        <v>18</v>
      </c>
    </row>
    <row r="229" spans="1:16" x14ac:dyDescent="0.3">
      <c r="A229">
        <v>227</v>
      </c>
      <c r="B229" t="s">
        <v>14</v>
      </c>
      <c r="C229" t="s">
        <v>267</v>
      </c>
      <c r="D229" t="str">
        <f>VLOOKUP(YouTube_University_Data_Final[[#This Row],[Title]],[1]!YouTube_University_Data_Final[[Title]:[Title_language]],2,FALSE)</f>
        <v>English</v>
      </c>
      <c r="E229" t="s">
        <v>268</v>
      </c>
      <c r="F229">
        <v>27</v>
      </c>
      <c r="G229" s="1">
        <v>42692</v>
      </c>
      <c r="H229">
        <v>1029</v>
      </c>
      <c r="I229" t="s">
        <v>269</v>
      </c>
      <c r="J229">
        <v>1460</v>
      </c>
      <c r="K229">
        <v>4</v>
      </c>
      <c r="L229">
        <v>0</v>
      </c>
      <c r="M229">
        <v>0</v>
      </c>
      <c r="N229" t="s">
        <v>101</v>
      </c>
      <c r="O229">
        <v>2016</v>
      </c>
      <c r="P229" t="s">
        <v>18</v>
      </c>
    </row>
    <row r="230" spans="1:16" x14ac:dyDescent="0.3">
      <c r="A230">
        <v>228</v>
      </c>
      <c r="B230" t="s">
        <v>14</v>
      </c>
      <c r="C230" t="s">
        <v>270</v>
      </c>
      <c r="D230" t="str">
        <f>VLOOKUP(YouTube_University_Data_Final[[#This Row],[Title]],[1]!YouTube_University_Data_Final[[Title]:[Title_language]],2,FALSE)</f>
        <v>English</v>
      </c>
      <c r="E230" t="s">
        <v>2944</v>
      </c>
      <c r="F230">
        <v>27</v>
      </c>
      <c r="G230" s="1">
        <v>42682</v>
      </c>
      <c r="H230">
        <v>3013</v>
      </c>
      <c r="I230" t="s">
        <v>16</v>
      </c>
      <c r="J230">
        <v>250</v>
      </c>
      <c r="K230">
        <v>3</v>
      </c>
      <c r="L230">
        <v>0</v>
      </c>
      <c r="M230">
        <v>0</v>
      </c>
      <c r="N230" t="s">
        <v>101</v>
      </c>
      <c r="O230">
        <v>2016</v>
      </c>
      <c r="P230" t="s">
        <v>18</v>
      </c>
    </row>
    <row r="231" spans="1:16" x14ac:dyDescent="0.3">
      <c r="A231">
        <v>229</v>
      </c>
      <c r="B231" t="s">
        <v>14</v>
      </c>
      <c r="C231" t="s">
        <v>271</v>
      </c>
      <c r="D231" t="str">
        <f>VLOOKUP(YouTube_University_Data_Final[[#This Row],[Title]],[1]!YouTube_University_Data_Final[[Title]:[Title_language]],2,FALSE)</f>
        <v>English</v>
      </c>
      <c r="E231" t="s">
        <v>272</v>
      </c>
      <c r="F231">
        <v>27</v>
      </c>
      <c r="G231" s="1">
        <v>42662</v>
      </c>
      <c r="H231">
        <v>37</v>
      </c>
      <c r="I231" t="s">
        <v>16</v>
      </c>
      <c r="J231">
        <v>125</v>
      </c>
      <c r="K231">
        <v>0</v>
      </c>
      <c r="L231">
        <v>0</v>
      </c>
      <c r="M231">
        <v>0</v>
      </c>
      <c r="N231" t="s">
        <v>17</v>
      </c>
      <c r="O231">
        <v>2016</v>
      </c>
      <c r="P231" t="s">
        <v>18</v>
      </c>
    </row>
    <row r="232" spans="1:16" x14ac:dyDescent="0.3">
      <c r="A232">
        <v>230</v>
      </c>
      <c r="B232" t="s">
        <v>14</v>
      </c>
      <c r="C232" t="s">
        <v>273</v>
      </c>
      <c r="D232" t="str">
        <f>VLOOKUP(YouTube_University_Data_Final[[#This Row],[Title]],[1]!YouTube_University_Data_Final[[Title]:[Title_language]],2,FALSE)</f>
        <v>English</v>
      </c>
      <c r="E232" t="s">
        <v>2944</v>
      </c>
      <c r="F232">
        <v>27</v>
      </c>
      <c r="G232" s="1">
        <v>42661</v>
      </c>
      <c r="H232">
        <v>432</v>
      </c>
      <c r="I232" t="s">
        <v>16</v>
      </c>
      <c r="J232">
        <v>900</v>
      </c>
      <c r="K232">
        <v>4</v>
      </c>
      <c r="L232">
        <v>0</v>
      </c>
      <c r="M232">
        <v>1</v>
      </c>
      <c r="N232" t="s">
        <v>17</v>
      </c>
      <c r="O232">
        <v>2016</v>
      </c>
      <c r="P232" t="s">
        <v>18</v>
      </c>
    </row>
    <row r="233" spans="1:16" x14ac:dyDescent="0.3">
      <c r="A233">
        <v>231</v>
      </c>
      <c r="B233" t="s">
        <v>14</v>
      </c>
      <c r="C233" t="s">
        <v>274</v>
      </c>
      <c r="D233" t="str">
        <f>VLOOKUP(YouTube_University_Data_Final[[#This Row],[Title]],[1]!YouTube_University_Data_Final[[Title]:[Title_language]],2,FALSE)</f>
        <v>English</v>
      </c>
      <c r="E233" t="s">
        <v>2944</v>
      </c>
      <c r="F233">
        <v>27</v>
      </c>
      <c r="G233" s="1">
        <v>42650</v>
      </c>
      <c r="H233">
        <v>2786</v>
      </c>
      <c r="I233" t="s">
        <v>16</v>
      </c>
      <c r="J233">
        <v>89</v>
      </c>
      <c r="K233">
        <v>0</v>
      </c>
      <c r="L233">
        <v>0</v>
      </c>
      <c r="M233">
        <v>0</v>
      </c>
      <c r="N233" t="s">
        <v>17</v>
      </c>
      <c r="O233">
        <v>2016</v>
      </c>
      <c r="P233" t="s">
        <v>18</v>
      </c>
    </row>
    <row r="234" spans="1:16" x14ac:dyDescent="0.3">
      <c r="A234">
        <v>232</v>
      </c>
      <c r="B234" t="s">
        <v>14</v>
      </c>
      <c r="C234" t="s">
        <v>275</v>
      </c>
      <c r="D234" t="str">
        <f>VLOOKUP(YouTube_University_Data_Final[[#This Row],[Title]],[1]!YouTube_University_Data_Final[[Title]:[Title_language]],2,FALSE)</f>
        <v>English</v>
      </c>
      <c r="E234" t="s">
        <v>3022</v>
      </c>
      <c r="F234">
        <v>27</v>
      </c>
      <c r="G234" s="1">
        <v>42642</v>
      </c>
      <c r="H234">
        <v>29</v>
      </c>
      <c r="I234" t="s">
        <v>16</v>
      </c>
      <c r="J234">
        <v>319</v>
      </c>
      <c r="K234">
        <v>2</v>
      </c>
      <c r="L234">
        <v>0</v>
      </c>
      <c r="M234">
        <v>0</v>
      </c>
      <c r="N234" t="s">
        <v>21</v>
      </c>
      <c r="O234">
        <v>2016</v>
      </c>
      <c r="P234" t="s">
        <v>18</v>
      </c>
    </row>
    <row r="235" spans="1:16" x14ac:dyDescent="0.3">
      <c r="A235">
        <v>233</v>
      </c>
      <c r="B235" t="s">
        <v>14</v>
      </c>
      <c r="C235" t="s">
        <v>276</v>
      </c>
      <c r="D235" t="str">
        <f>VLOOKUP(YouTube_University_Data_Final[[#This Row],[Title]],[1]!YouTube_University_Data_Final[[Title]:[Title_language]],2,FALSE)</f>
        <v>English</v>
      </c>
      <c r="E235" t="s">
        <v>3023</v>
      </c>
      <c r="F235">
        <v>27</v>
      </c>
      <c r="G235" s="1">
        <v>42621</v>
      </c>
      <c r="H235">
        <v>38</v>
      </c>
      <c r="I235" t="s">
        <v>16</v>
      </c>
      <c r="J235">
        <v>1541</v>
      </c>
      <c r="K235">
        <v>3</v>
      </c>
      <c r="L235">
        <v>0</v>
      </c>
      <c r="M235">
        <v>1</v>
      </c>
      <c r="N235" t="s">
        <v>21</v>
      </c>
      <c r="O235">
        <v>2016</v>
      </c>
      <c r="P235" t="s">
        <v>18</v>
      </c>
    </row>
    <row r="236" spans="1:16" x14ac:dyDescent="0.3">
      <c r="A236">
        <v>234</v>
      </c>
      <c r="B236" t="s">
        <v>14</v>
      </c>
      <c r="C236" t="s">
        <v>277</v>
      </c>
      <c r="D236" t="str">
        <f>VLOOKUP(YouTube_University_Data_Final[[#This Row],[Title]],[1]!YouTube_University_Data_Final[[Title]:[Title_language]],2,FALSE)</f>
        <v>English</v>
      </c>
      <c r="E236" t="s">
        <v>2944</v>
      </c>
      <c r="F236">
        <v>27</v>
      </c>
      <c r="G236" s="1">
        <v>42569</v>
      </c>
      <c r="H236">
        <v>291</v>
      </c>
      <c r="I236" t="s">
        <v>16</v>
      </c>
      <c r="J236">
        <v>215</v>
      </c>
      <c r="K236">
        <v>1</v>
      </c>
      <c r="L236">
        <v>0</v>
      </c>
      <c r="M236">
        <v>0</v>
      </c>
      <c r="N236" t="s">
        <v>56</v>
      </c>
      <c r="O236">
        <v>2016</v>
      </c>
      <c r="P236" t="s">
        <v>18</v>
      </c>
    </row>
    <row r="237" spans="1:16" x14ac:dyDescent="0.3">
      <c r="A237">
        <v>235</v>
      </c>
      <c r="B237" t="s">
        <v>14</v>
      </c>
      <c r="C237" t="s">
        <v>278</v>
      </c>
      <c r="D237" t="str">
        <f>VLOOKUP(YouTube_University_Data_Final[[#This Row],[Title]],[1]!YouTube_University_Data_Final[[Title]:[Title_language]],2,FALSE)</f>
        <v>English</v>
      </c>
      <c r="E237" t="s">
        <v>2944</v>
      </c>
      <c r="F237">
        <v>27</v>
      </c>
      <c r="G237" s="1">
        <v>42569</v>
      </c>
      <c r="H237">
        <v>291</v>
      </c>
      <c r="I237" t="s">
        <v>16</v>
      </c>
      <c r="J237">
        <v>742</v>
      </c>
      <c r="K237">
        <v>1</v>
      </c>
      <c r="L237">
        <v>0</v>
      </c>
      <c r="M237">
        <v>0</v>
      </c>
      <c r="N237" t="s">
        <v>56</v>
      </c>
      <c r="O237">
        <v>2016</v>
      </c>
      <c r="P237" t="s">
        <v>18</v>
      </c>
    </row>
    <row r="238" spans="1:16" x14ac:dyDescent="0.3">
      <c r="A238">
        <v>236</v>
      </c>
      <c r="B238" t="s">
        <v>14</v>
      </c>
      <c r="C238" t="s">
        <v>279</v>
      </c>
      <c r="D238" t="str">
        <f>VLOOKUP(YouTube_University_Data_Final[[#This Row],[Title]],[1]!YouTube_University_Data_Final[[Title]:[Title_language]],2,FALSE)</f>
        <v>English</v>
      </c>
      <c r="E238" t="s">
        <v>2944</v>
      </c>
      <c r="F238">
        <v>27</v>
      </c>
      <c r="G238" s="1">
        <v>42569</v>
      </c>
      <c r="H238">
        <v>291</v>
      </c>
      <c r="I238" t="s">
        <v>16</v>
      </c>
      <c r="J238">
        <v>5714</v>
      </c>
      <c r="K238">
        <v>23</v>
      </c>
      <c r="L238">
        <v>0</v>
      </c>
      <c r="M238">
        <v>0</v>
      </c>
      <c r="N238" t="s">
        <v>56</v>
      </c>
      <c r="O238">
        <v>2016</v>
      </c>
      <c r="P238" t="s">
        <v>18</v>
      </c>
    </row>
    <row r="239" spans="1:16" x14ac:dyDescent="0.3">
      <c r="A239">
        <v>237</v>
      </c>
      <c r="B239" t="s">
        <v>14</v>
      </c>
      <c r="C239" t="s">
        <v>280</v>
      </c>
      <c r="D239" t="str">
        <f>VLOOKUP(YouTube_University_Data_Final[[#This Row],[Title]],[1]!YouTube_University_Data_Final[[Title]:[Title_language]],2,FALSE)</f>
        <v>English</v>
      </c>
      <c r="E239" t="s">
        <v>2944</v>
      </c>
      <c r="F239">
        <v>27</v>
      </c>
      <c r="G239" s="1">
        <v>42569</v>
      </c>
      <c r="H239">
        <v>317</v>
      </c>
      <c r="I239" t="s">
        <v>16</v>
      </c>
      <c r="J239">
        <v>7203</v>
      </c>
      <c r="K239">
        <v>44</v>
      </c>
      <c r="L239">
        <v>0</v>
      </c>
      <c r="M239">
        <v>3</v>
      </c>
      <c r="N239" t="s">
        <v>56</v>
      </c>
      <c r="O239">
        <v>2016</v>
      </c>
      <c r="P239" t="s">
        <v>18</v>
      </c>
    </row>
    <row r="240" spans="1:16" x14ac:dyDescent="0.3">
      <c r="A240">
        <v>238</v>
      </c>
      <c r="B240" t="s">
        <v>14</v>
      </c>
      <c r="C240" t="s">
        <v>281</v>
      </c>
      <c r="D240" t="str">
        <f>VLOOKUP(YouTube_University_Data_Final[[#This Row],[Title]],[1]!YouTube_University_Data_Final[[Title]:[Title_language]],2,FALSE)</f>
        <v>English</v>
      </c>
      <c r="E240" t="s">
        <v>3024</v>
      </c>
      <c r="F240">
        <v>27</v>
      </c>
      <c r="G240" s="1">
        <v>42569</v>
      </c>
      <c r="H240">
        <v>188</v>
      </c>
      <c r="I240" t="s">
        <v>16</v>
      </c>
      <c r="J240">
        <v>877</v>
      </c>
      <c r="K240">
        <v>5</v>
      </c>
      <c r="L240">
        <v>0</v>
      </c>
      <c r="M240">
        <v>0</v>
      </c>
      <c r="N240" t="s">
        <v>56</v>
      </c>
      <c r="O240">
        <v>2016</v>
      </c>
      <c r="P240" t="s">
        <v>18</v>
      </c>
    </row>
    <row r="241" spans="1:16" x14ac:dyDescent="0.3">
      <c r="A241">
        <v>239</v>
      </c>
      <c r="B241" t="s">
        <v>14</v>
      </c>
      <c r="C241" t="s">
        <v>282</v>
      </c>
      <c r="D241" t="str">
        <f>VLOOKUP(YouTube_University_Data_Final[[#This Row],[Title]],[1]!YouTube_University_Data_Final[[Title]:[Title_language]],2,FALSE)</f>
        <v>English</v>
      </c>
      <c r="E241" t="s">
        <v>2944</v>
      </c>
      <c r="F241">
        <v>27</v>
      </c>
      <c r="G241" s="1">
        <v>42548</v>
      </c>
      <c r="H241">
        <v>3868</v>
      </c>
      <c r="I241" t="s">
        <v>16</v>
      </c>
      <c r="J241">
        <v>127</v>
      </c>
      <c r="K241">
        <v>1</v>
      </c>
      <c r="L241">
        <v>0</v>
      </c>
      <c r="M241">
        <v>0</v>
      </c>
      <c r="N241" t="s">
        <v>78</v>
      </c>
      <c r="O241">
        <v>2016</v>
      </c>
      <c r="P241" t="s">
        <v>18</v>
      </c>
    </row>
    <row r="242" spans="1:16" x14ac:dyDescent="0.3">
      <c r="A242">
        <v>240</v>
      </c>
      <c r="B242" t="s">
        <v>14</v>
      </c>
      <c r="C242" t="s">
        <v>283</v>
      </c>
      <c r="D242" t="str">
        <f>VLOOKUP(YouTube_University_Data_Final[[#This Row],[Title]],[1]!YouTube_University_Data_Final[[Title]:[Title_language]],2,FALSE)</f>
        <v>English</v>
      </c>
      <c r="E242" t="s">
        <v>2944</v>
      </c>
      <c r="F242">
        <v>27</v>
      </c>
      <c r="G242" s="1">
        <v>42544</v>
      </c>
      <c r="H242">
        <v>476</v>
      </c>
      <c r="I242" t="s">
        <v>16</v>
      </c>
      <c r="J242">
        <v>2987</v>
      </c>
      <c r="K242">
        <v>37</v>
      </c>
      <c r="L242">
        <v>0</v>
      </c>
      <c r="M242">
        <v>5</v>
      </c>
      <c r="N242" t="s">
        <v>78</v>
      </c>
      <c r="O242">
        <v>2016</v>
      </c>
      <c r="P242" t="s">
        <v>18</v>
      </c>
    </row>
    <row r="243" spans="1:16" x14ac:dyDescent="0.3">
      <c r="A243">
        <v>241</v>
      </c>
      <c r="B243" t="s">
        <v>14</v>
      </c>
      <c r="C243" t="s">
        <v>284</v>
      </c>
      <c r="D243" t="str">
        <f>VLOOKUP(YouTube_University_Data_Final[[#This Row],[Title]],[1]!YouTube_University_Data_Final[[Title]:[Title_language]],2,FALSE)</f>
        <v>English</v>
      </c>
      <c r="E243" t="s">
        <v>2944</v>
      </c>
      <c r="F243">
        <v>27</v>
      </c>
      <c r="G243" s="1">
        <v>42544</v>
      </c>
      <c r="H243">
        <v>140</v>
      </c>
      <c r="I243" t="s">
        <v>16</v>
      </c>
      <c r="J243">
        <v>480</v>
      </c>
      <c r="K243">
        <v>2</v>
      </c>
      <c r="L243">
        <v>0</v>
      </c>
      <c r="M243">
        <v>0</v>
      </c>
      <c r="N243" t="s">
        <v>78</v>
      </c>
      <c r="O243">
        <v>2016</v>
      </c>
      <c r="P243" t="s">
        <v>18</v>
      </c>
    </row>
    <row r="244" spans="1:16" x14ac:dyDescent="0.3">
      <c r="A244">
        <v>242</v>
      </c>
      <c r="B244" t="s">
        <v>14</v>
      </c>
      <c r="C244" t="s">
        <v>285</v>
      </c>
      <c r="D244" t="str">
        <f>VLOOKUP(YouTube_University_Data_Final[[#This Row],[Title]],[1]!YouTube_University_Data_Final[[Title]:[Title_language]],2,FALSE)</f>
        <v>English</v>
      </c>
      <c r="E244" t="s">
        <v>286</v>
      </c>
      <c r="F244">
        <v>27</v>
      </c>
      <c r="G244" s="1">
        <v>42544</v>
      </c>
      <c r="H244">
        <v>108</v>
      </c>
      <c r="I244" t="s">
        <v>16</v>
      </c>
      <c r="J244">
        <v>3829</v>
      </c>
      <c r="K244">
        <v>12</v>
      </c>
      <c r="L244">
        <v>0</v>
      </c>
      <c r="M244">
        <v>0</v>
      </c>
      <c r="N244" t="s">
        <v>78</v>
      </c>
      <c r="O244">
        <v>2016</v>
      </c>
      <c r="P244" t="s">
        <v>18</v>
      </c>
    </row>
    <row r="245" spans="1:16" x14ac:dyDescent="0.3">
      <c r="A245">
        <v>243</v>
      </c>
      <c r="B245" t="s">
        <v>14</v>
      </c>
      <c r="C245" t="s">
        <v>287</v>
      </c>
      <c r="D245" t="str">
        <f>VLOOKUP(YouTube_University_Data_Final[[#This Row],[Title]],[1]!YouTube_University_Data_Final[[Title]:[Title_language]],2,FALSE)</f>
        <v>English</v>
      </c>
      <c r="E245" t="s">
        <v>288</v>
      </c>
      <c r="F245">
        <v>27</v>
      </c>
      <c r="G245" s="1">
        <v>42537</v>
      </c>
      <c r="H245">
        <v>142</v>
      </c>
      <c r="I245" t="s">
        <v>16</v>
      </c>
      <c r="J245">
        <v>572</v>
      </c>
      <c r="K245">
        <v>4</v>
      </c>
      <c r="L245">
        <v>0</v>
      </c>
      <c r="M245">
        <v>1</v>
      </c>
      <c r="N245" t="s">
        <v>78</v>
      </c>
      <c r="O245">
        <v>2016</v>
      </c>
      <c r="P245" t="s">
        <v>18</v>
      </c>
    </row>
    <row r="246" spans="1:16" x14ac:dyDescent="0.3">
      <c r="A246">
        <v>244</v>
      </c>
      <c r="B246" t="s">
        <v>14</v>
      </c>
      <c r="C246" t="s">
        <v>289</v>
      </c>
      <c r="D246" t="str">
        <f>VLOOKUP(YouTube_University_Data_Final[[#This Row],[Title]],[1]!YouTube_University_Data_Final[[Title]:[Title_language]],2,FALSE)</f>
        <v>English</v>
      </c>
      <c r="E246" t="s">
        <v>290</v>
      </c>
      <c r="F246">
        <v>27</v>
      </c>
      <c r="G246" s="1">
        <v>42537</v>
      </c>
      <c r="H246">
        <v>138</v>
      </c>
      <c r="I246" t="s">
        <v>16</v>
      </c>
      <c r="J246">
        <v>221</v>
      </c>
      <c r="K246">
        <v>0</v>
      </c>
      <c r="L246">
        <v>0</v>
      </c>
      <c r="M246">
        <v>0</v>
      </c>
      <c r="N246" t="s">
        <v>78</v>
      </c>
      <c r="O246">
        <v>2016</v>
      </c>
      <c r="P246" t="s">
        <v>18</v>
      </c>
    </row>
    <row r="247" spans="1:16" x14ac:dyDescent="0.3">
      <c r="A247">
        <v>245</v>
      </c>
      <c r="B247" t="s">
        <v>14</v>
      </c>
      <c r="C247" t="s">
        <v>291</v>
      </c>
      <c r="D247" t="str">
        <f>VLOOKUP(YouTube_University_Data_Final[[#This Row],[Title]],[1]!YouTube_University_Data_Final[[Title]:[Title_language]],2,FALSE)</f>
        <v>English</v>
      </c>
      <c r="E247" t="s">
        <v>292</v>
      </c>
      <c r="F247">
        <v>27</v>
      </c>
      <c r="G247" s="1">
        <v>42537</v>
      </c>
      <c r="H247">
        <v>112</v>
      </c>
      <c r="I247" t="s">
        <v>16</v>
      </c>
      <c r="J247">
        <v>309</v>
      </c>
      <c r="K247">
        <v>2</v>
      </c>
      <c r="L247">
        <v>0</v>
      </c>
      <c r="M247">
        <v>0</v>
      </c>
      <c r="N247" t="s">
        <v>78</v>
      </c>
      <c r="O247">
        <v>2016</v>
      </c>
      <c r="P247" t="s">
        <v>18</v>
      </c>
    </row>
    <row r="248" spans="1:16" x14ac:dyDescent="0.3">
      <c r="A248">
        <v>246</v>
      </c>
      <c r="B248" t="s">
        <v>14</v>
      </c>
      <c r="C248" t="s">
        <v>293</v>
      </c>
      <c r="D248" t="str">
        <f>VLOOKUP(YouTube_University_Data_Final[[#This Row],[Title]],[1]!YouTube_University_Data_Final[[Title]:[Title_language]],2,FALSE)</f>
        <v>English</v>
      </c>
      <c r="E248" t="s">
        <v>294</v>
      </c>
      <c r="F248">
        <v>27</v>
      </c>
      <c r="G248" s="1">
        <v>42537</v>
      </c>
      <c r="H248">
        <v>135</v>
      </c>
      <c r="I248" t="s">
        <v>16</v>
      </c>
      <c r="J248">
        <v>112</v>
      </c>
      <c r="K248">
        <v>0</v>
      </c>
      <c r="L248">
        <v>0</v>
      </c>
      <c r="M248">
        <v>0</v>
      </c>
      <c r="N248" t="s">
        <v>78</v>
      </c>
      <c r="O248">
        <v>2016</v>
      </c>
      <c r="P248" t="s">
        <v>18</v>
      </c>
    </row>
    <row r="249" spans="1:16" x14ac:dyDescent="0.3">
      <c r="A249">
        <v>247</v>
      </c>
      <c r="B249" t="s">
        <v>14</v>
      </c>
      <c r="C249" t="s">
        <v>295</v>
      </c>
      <c r="D249" t="str">
        <f>VLOOKUP(YouTube_University_Data_Final[[#This Row],[Title]],[1]!YouTube_University_Data_Final[[Title]:[Title_language]],2,FALSE)</f>
        <v>English</v>
      </c>
      <c r="E249" t="s">
        <v>296</v>
      </c>
      <c r="F249">
        <v>27</v>
      </c>
      <c r="G249" s="1">
        <v>42537</v>
      </c>
      <c r="H249">
        <v>197</v>
      </c>
      <c r="I249" t="s">
        <v>16</v>
      </c>
      <c r="J249">
        <v>184</v>
      </c>
      <c r="K249">
        <v>3</v>
      </c>
      <c r="L249">
        <v>0</v>
      </c>
      <c r="M249">
        <v>0</v>
      </c>
      <c r="N249" t="s">
        <v>78</v>
      </c>
      <c r="O249">
        <v>2016</v>
      </c>
      <c r="P249" t="s">
        <v>18</v>
      </c>
    </row>
    <row r="250" spans="1:16" x14ac:dyDescent="0.3">
      <c r="A250">
        <v>248</v>
      </c>
      <c r="B250" t="s">
        <v>14</v>
      </c>
      <c r="C250" t="s">
        <v>297</v>
      </c>
      <c r="D250" t="str">
        <f>VLOOKUP(YouTube_University_Data_Final[[#This Row],[Title]],[1]!YouTube_University_Data_Final[[Title]:[Title_language]],2,FALSE)</f>
        <v>English</v>
      </c>
      <c r="E250" t="s">
        <v>298</v>
      </c>
      <c r="F250">
        <v>27</v>
      </c>
      <c r="G250" s="1">
        <v>42537</v>
      </c>
      <c r="H250">
        <v>129</v>
      </c>
      <c r="I250" t="s">
        <v>16</v>
      </c>
      <c r="J250">
        <v>85</v>
      </c>
      <c r="K250">
        <v>1</v>
      </c>
      <c r="L250">
        <v>0</v>
      </c>
      <c r="M250">
        <v>0</v>
      </c>
      <c r="N250" t="s">
        <v>78</v>
      </c>
      <c r="O250">
        <v>2016</v>
      </c>
      <c r="P250" t="s">
        <v>18</v>
      </c>
    </row>
    <row r="251" spans="1:16" x14ac:dyDescent="0.3">
      <c r="A251">
        <v>249</v>
      </c>
      <c r="B251" t="s">
        <v>14</v>
      </c>
      <c r="C251" t="s">
        <v>299</v>
      </c>
      <c r="D251" t="str">
        <f>VLOOKUP(YouTube_University_Data_Final[[#This Row],[Title]],[1]!YouTube_University_Data_Final[[Title]:[Title_language]],2,FALSE)</f>
        <v>English</v>
      </c>
      <c r="E251" t="s">
        <v>3025</v>
      </c>
      <c r="F251">
        <v>27</v>
      </c>
      <c r="G251" s="1">
        <v>42537</v>
      </c>
      <c r="H251">
        <v>134</v>
      </c>
      <c r="I251" t="s">
        <v>16</v>
      </c>
      <c r="J251">
        <v>266</v>
      </c>
      <c r="K251">
        <v>1</v>
      </c>
      <c r="L251">
        <v>0</v>
      </c>
      <c r="M251">
        <v>0</v>
      </c>
      <c r="N251" t="s">
        <v>78</v>
      </c>
      <c r="O251">
        <v>2016</v>
      </c>
      <c r="P251" t="s">
        <v>18</v>
      </c>
    </row>
    <row r="252" spans="1:16" x14ac:dyDescent="0.3">
      <c r="A252">
        <v>250</v>
      </c>
      <c r="B252" t="s">
        <v>14</v>
      </c>
      <c r="C252" t="s">
        <v>300</v>
      </c>
      <c r="D252" t="str">
        <f>VLOOKUP(YouTube_University_Data_Final[[#This Row],[Title]],[1]!YouTube_University_Data_Final[[Title]:[Title_language]],2,FALSE)</f>
        <v>English</v>
      </c>
      <c r="E252" t="s">
        <v>301</v>
      </c>
      <c r="F252">
        <v>27</v>
      </c>
      <c r="G252" s="1">
        <v>42537</v>
      </c>
      <c r="H252">
        <v>128</v>
      </c>
      <c r="I252" t="s">
        <v>16</v>
      </c>
      <c r="J252">
        <v>564</v>
      </c>
      <c r="K252">
        <v>2</v>
      </c>
      <c r="L252">
        <v>0</v>
      </c>
      <c r="M252">
        <v>0</v>
      </c>
      <c r="N252" t="s">
        <v>78</v>
      </c>
      <c r="O252">
        <v>2016</v>
      </c>
      <c r="P252" t="s">
        <v>18</v>
      </c>
    </row>
    <row r="253" spans="1:16" x14ac:dyDescent="0.3">
      <c r="A253">
        <v>251</v>
      </c>
      <c r="B253" t="s">
        <v>14</v>
      </c>
      <c r="C253" t="s">
        <v>302</v>
      </c>
      <c r="D253" t="str">
        <f>VLOOKUP(YouTube_University_Data_Final[[#This Row],[Title]],[1]!YouTube_University_Data_Final[[Title]:[Title_language]],2,FALSE)</f>
        <v>English</v>
      </c>
      <c r="E253" t="s">
        <v>303</v>
      </c>
      <c r="F253">
        <v>27</v>
      </c>
      <c r="G253" s="1">
        <v>42537</v>
      </c>
      <c r="H253">
        <v>142</v>
      </c>
      <c r="I253" t="s">
        <v>16</v>
      </c>
      <c r="J253">
        <v>1501</v>
      </c>
      <c r="K253">
        <v>3</v>
      </c>
      <c r="L253">
        <v>0</v>
      </c>
      <c r="M253">
        <v>0</v>
      </c>
      <c r="N253" t="s">
        <v>78</v>
      </c>
      <c r="O253">
        <v>2016</v>
      </c>
      <c r="P253" t="s">
        <v>18</v>
      </c>
    </row>
    <row r="254" spans="1:16" x14ac:dyDescent="0.3">
      <c r="A254">
        <v>252</v>
      </c>
      <c r="B254" t="s">
        <v>14</v>
      </c>
      <c r="C254" t="s">
        <v>304</v>
      </c>
      <c r="D254" t="str">
        <f>VLOOKUP(YouTube_University_Data_Final[[#This Row],[Title]],[1]!YouTube_University_Data_Final[[Title]:[Title_language]],2,FALSE)</f>
        <v>English</v>
      </c>
      <c r="E254" t="s">
        <v>305</v>
      </c>
      <c r="F254">
        <v>27</v>
      </c>
      <c r="G254" s="1">
        <v>42537</v>
      </c>
      <c r="H254">
        <v>145</v>
      </c>
      <c r="I254" t="s">
        <v>16</v>
      </c>
      <c r="J254">
        <v>110</v>
      </c>
      <c r="K254">
        <v>1</v>
      </c>
      <c r="L254">
        <v>0</v>
      </c>
      <c r="M254">
        <v>0</v>
      </c>
      <c r="N254" t="s">
        <v>78</v>
      </c>
      <c r="O254">
        <v>2016</v>
      </c>
      <c r="P254" t="s">
        <v>18</v>
      </c>
    </row>
    <row r="255" spans="1:16" x14ac:dyDescent="0.3">
      <c r="A255">
        <v>253</v>
      </c>
      <c r="B255" t="s">
        <v>14</v>
      </c>
      <c r="C255" t="s">
        <v>306</v>
      </c>
      <c r="D255" t="str">
        <f>VLOOKUP(YouTube_University_Data_Final[[#This Row],[Title]],[1]!YouTube_University_Data_Final[[Title]:[Title_language]],2,FALSE)</f>
        <v>English</v>
      </c>
      <c r="E255" t="s">
        <v>3026</v>
      </c>
      <c r="F255">
        <v>27</v>
      </c>
      <c r="G255" s="1">
        <v>42537</v>
      </c>
      <c r="H255">
        <v>153</v>
      </c>
      <c r="I255" t="s">
        <v>16</v>
      </c>
      <c r="J255">
        <v>383</v>
      </c>
      <c r="K255">
        <v>4</v>
      </c>
      <c r="L255">
        <v>0</v>
      </c>
      <c r="M255">
        <v>0</v>
      </c>
      <c r="N255" t="s">
        <v>78</v>
      </c>
      <c r="O255">
        <v>2016</v>
      </c>
      <c r="P255" t="s">
        <v>18</v>
      </c>
    </row>
    <row r="256" spans="1:16" x14ac:dyDescent="0.3">
      <c r="A256">
        <v>254</v>
      </c>
      <c r="B256" t="s">
        <v>14</v>
      </c>
      <c r="C256" t="s">
        <v>307</v>
      </c>
      <c r="D256" t="str">
        <f>VLOOKUP(YouTube_University_Data_Final[[#This Row],[Title]],[1]!YouTube_University_Data_Final[[Title]:[Title_language]],2,FALSE)</f>
        <v>English</v>
      </c>
      <c r="E256" t="s">
        <v>3027</v>
      </c>
      <c r="F256">
        <v>27</v>
      </c>
      <c r="G256" s="1">
        <v>42537</v>
      </c>
      <c r="H256">
        <v>107</v>
      </c>
      <c r="I256" t="s">
        <v>16</v>
      </c>
      <c r="J256">
        <v>159</v>
      </c>
      <c r="K256">
        <v>1</v>
      </c>
      <c r="L256">
        <v>0</v>
      </c>
      <c r="M256">
        <v>0</v>
      </c>
      <c r="N256" t="s">
        <v>78</v>
      </c>
      <c r="O256">
        <v>2016</v>
      </c>
      <c r="P256" t="s">
        <v>18</v>
      </c>
    </row>
    <row r="257" spans="1:16" x14ac:dyDescent="0.3">
      <c r="A257">
        <v>255</v>
      </c>
      <c r="B257" t="s">
        <v>14</v>
      </c>
      <c r="C257" t="s">
        <v>308</v>
      </c>
      <c r="D257" t="str">
        <f>VLOOKUP(YouTube_University_Data_Final[[#This Row],[Title]],[1]!YouTube_University_Data_Final[[Title]:[Title_language]],2,FALSE)</f>
        <v>English</v>
      </c>
      <c r="E257" t="s">
        <v>3028</v>
      </c>
      <c r="F257">
        <v>27</v>
      </c>
      <c r="G257" s="1">
        <v>42537</v>
      </c>
      <c r="H257">
        <v>103</v>
      </c>
      <c r="I257" t="s">
        <v>16</v>
      </c>
      <c r="J257">
        <v>292</v>
      </c>
      <c r="K257">
        <v>2</v>
      </c>
      <c r="L257">
        <v>0</v>
      </c>
      <c r="M257">
        <v>0</v>
      </c>
      <c r="N257" t="s">
        <v>78</v>
      </c>
      <c r="O257">
        <v>2016</v>
      </c>
      <c r="P257" t="s">
        <v>18</v>
      </c>
    </row>
    <row r="258" spans="1:16" x14ac:dyDescent="0.3">
      <c r="A258">
        <v>256</v>
      </c>
      <c r="B258" t="s">
        <v>14</v>
      </c>
      <c r="C258" t="s">
        <v>309</v>
      </c>
      <c r="D258" t="str">
        <f>VLOOKUP(YouTube_University_Data_Final[[#This Row],[Title]],[1]!YouTube_University_Data_Final[[Title]:[Title_language]],2,FALSE)</f>
        <v>English</v>
      </c>
      <c r="E258" t="s">
        <v>310</v>
      </c>
      <c r="F258">
        <v>27</v>
      </c>
      <c r="G258" s="1">
        <v>42537</v>
      </c>
      <c r="H258">
        <v>129</v>
      </c>
      <c r="I258" t="s">
        <v>16</v>
      </c>
      <c r="J258">
        <v>186</v>
      </c>
      <c r="K258">
        <v>0</v>
      </c>
      <c r="L258">
        <v>0</v>
      </c>
      <c r="M258">
        <v>0</v>
      </c>
      <c r="N258" t="s">
        <v>78</v>
      </c>
      <c r="O258">
        <v>2016</v>
      </c>
      <c r="P258" t="s">
        <v>18</v>
      </c>
    </row>
    <row r="259" spans="1:16" x14ac:dyDescent="0.3">
      <c r="A259">
        <v>257</v>
      </c>
      <c r="B259" t="s">
        <v>14</v>
      </c>
      <c r="C259" t="s">
        <v>3029</v>
      </c>
      <c r="D259" t="str">
        <f>VLOOKUP(YouTube_University_Data_Final[[#This Row],[Title]],[1]!YouTube_University_Data_Final[[Title]:[Title_language]],2,FALSE)</f>
        <v>English</v>
      </c>
      <c r="E259" t="s">
        <v>3030</v>
      </c>
      <c r="F259">
        <v>27</v>
      </c>
      <c r="G259" s="1">
        <v>42537</v>
      </c>
      <c r="H259">
        <v>126</v>
      </c>
      <c r="I259" t="s">
        <v>16</v>
      </c>
      <c r="J259">
        <v>73</v>
      </c>
      <c r="K259">
        <v>0</v>
      </c>
      <c r="L259">
        <v>0</v>
      </c>
      <c r="M259">
        <v>0</v>
      </c>
      <c r="N259" t="s">
        <v>78</v>
      </c>
      <c r="O259">
        <v>2016</v>
      </c>
      <c r="P259" t="s">
        <v>18</v>
      </c>
    </row>
    <row r="260" spans="1:16" x14ac:dyDescent="0.3">
      <c r="A260">
        <v>258</v>
      </c>
      <c r="B260" t="s">
        <v>14</v>
      </c>
      <c r="C260" t="s">
        <v>311</v>
      </c>
      <c r="D260" t="str">
        <f>VLOOKUP(YouTube_University_Data_Final[[#This Row],[Title]],[1]!YouTube_University_Data_Final[[Title]:[Title_language]],2,FALSE)</f>
        <v>English</v>
      </c>
      <c r="E260" t="s">
        <v>3031</v>
      </c>
      <c r="F260">
        <v>27</v>
      </c>
      <c r="G260" s="1">
        <v>42537</v>
      </c>
      <c r="H260">
        <v>89</v>
      </c>
      <c r="I260" t="s">
        <v>16</v>
      </c>
      <c r="J260">
        <v>79</v>
      </c>
      <c r="K260">
        <v>0</v>
      </c>
      <c r="L260">
        <v>0</v>
      </c>
      <c r="M260">
        <v>0</v>
      </c>
      <c r="N260" t="s">
        <v>78</v>
      </c>
      <c r="O260">
        <v>2016</v>
      </c>
      <c r="P260" t="s">
        <v>18</v>
      </c>
    </row>
    <row r="261" spans="1:16" x14ac:dyDescent="0.3">
      <c r="A261">
        <v>259</v>
      </c>
      <c r="B261" t="s">
        <v>14</v>
      </c>
      <c r="C261" t="s">
        <v>312</v>
      </c>
      <c r="D261" t="str">
        <f>VLOOKUP(YouTube_University_Data_Final[[#This Row],[Title]],[1]!YouTube_University_Data_Final[[Title]:[Title_language]],2,FALSE)</f>
        <v>English</v>
      </c>
      <c r="E261" t="s">
        <v>313</v>
      </c>
      <c r="F261">
        <v>27</v>
      </c>
      <c r="G261" s="1">
        <v>42537</v>
      </c>
      <c r="H261">
        <v>156</v>
      </c>
      <c r="I261" t="s">
        <v>16</v>
      </c>
      <c r="J261">
        <v>149</v>
      </c>
      <c r="K261">
        <v>1</v>
      </c>
      <c r="L261">
        <v>0</v>
      </c>
      <c r="M261">
        <v>0</v>
      </c>
      <c r="N261" t="s">
        <v>78</v>
      </c>
      <c r="O261">
        <v>2016</v>
      </c>
      <c r="P261" t="s">
        <v>18</v>
      </c>
    </row>
    <row r="262" spans="1:16" x14ac:dyDescent="0.3">
      <c r="A262">
        <v>260</v>
      </c>
      <c r="B262" t="s">
        <v>14</v>
      </c>
      <c r="C262" t="s">
        <v>3032</v>
      </c>
      <c r="D262" t="str">
        <f>VLOOKUP(YouTube_University_Data_Final[[#This Row],[Title]],[1]!YouTube_University_Data_Final[[Title]:[Title_language]],2,FALSE)</f>
        <v>English</v>
      </c>
      <c r="E262" t="s">
        <v>3033</v>
      </c>
      <c r="F262">
        <v>27</v>
      </c>
      <c r="G262" s="1">
        <v>42537</v>
      </c>
      <c r="H262">
        <v>139</v>
      </c>
      <c r="I262" t="s">
        <v>16</v>
      </c>
      <c r="J262">
        <v>192</v>
      </c>
      <c r="K262">
        <v>0</v>
      </c>
      <c r="L262">
        <v>0</v>
      </c>
      <c r="M262">
        <v>0</v>
      </c>
      <c r="N262" t="s">
        <v>78</v>
      </c>
      <c r="O262">
        <v>2016</v>
      </c>
      <c r="P262" t="s">
        <v>18</v>
      </c>
    </row>
    <row r="263" spans="1:16" x14ac:dyDescent="0.3">
      <c r="A263">
        <v>261</v>
      </c>
      <c r="B263" t="s">
        <v>14</v>
      </c>
      <c r="C263" t="s">
        <v>3034</v>
      </c>
      <c r="D263" t="str">
        <f>VLOOKUP(YouTube_University_Data_Final[[#This Row],[Title]],[1]!YouTube_University_Data_Final[[Title]:[Title_language]],2,FALSE)</f>
        <v>English</v>
      </c>
      <c r="E263" t="s">
        <v>3035</v>
      </c>
      <c r="F263">
        <v>27</v>
      </c>
      <c r="G263" s="1">
        <v>42537</v>
      </c>
      <c r="H263">
        <v>136</v>
      </c>
      <c r="I263" t="s">
        <v>16</v>
      </c>
      <c r="J263">
        <v>486</v>
      </c>
      <c r="K263">
        <v>1</v>
      </c>
      <c r="L263">
        <v>0</v>
      </c>
      <c r="M263">
        <v>0</v>
      </c>
      <c r="N263" t="s">
        <v>78</v>
      </c>
      <c r="O263">
        <v>2016</v>
      </c>
      <c r="P263" t="s">
        <v>18</v>
      </c>
    </row>
    <row r="264" spans="1:16" x14ac:dyDescent="0.3">
      <c r="A264">
        <v>262</v>
      </c>
      <c r="B264" t="s">
        <v>14</v>
      </c>
      <c r="C264" t="s">
        <v>314</v>
      </c>
      <c r="D264" t="str">
        <f>VLOOKUP(YouTube_University_Data_Final[[#This Row],[Title]],[1]!YouTube_University_Data_Final[[Title]:[Title_language]],2,FALSE)</f>
        <v>English</v>
      </c>
      <c r="E264" t="s">
        <v>315</v>
      </c>
      <c r="F264">
        <v>27</v>
      </c>
      <c r="G264" s="1">
        <v>42537</v>
      </c>
      <c r="H264">
        <v>117</v>
      </c>
      <c r="I264" t="s">
        <v>16</v>
      </c>
      <c r="J264">
        <v>994</v>
      </c>
      <c r="K264">
        <v>6</v>
      </c>
      <c r="L264">
        <v>0</v>
      </c>
      <c r="M264">
        <v>0</v>
      </c>
      <c r="N264" t="s">
        <v>78</v>
      </c>
      <c r="O264">
        <v>2016</v>
      </c>
      <c r="P264" t="s">
        <v>18</v>
      </c>
    </row>
    <row r="265" spans="1:16" x14ac:dyDescent="0.3">
      <c r="A265">
        <v>263</v>
      </c>
      <c r="B265" t="s">
        <v>14</v>
      </c>
      <c r="C265" t="s">
        <v>3036</v>
      </c>
      <c r="D265" t="str">
        <f>VLOOKUP(YouTube_University_Data_Final[[#This Row],[Title]],[1]!YouTube_University_Data_Final[[Title]:[Title_language]],2,FALSE)</f>
        <v>English</v>
      </c>
      <c r="E265" t="s">
        <v>316</v>
      </c>
      <c r="F265">
        <v>27</v>
      </c>
      <c r="G265" s="1">
        <v>42537</v>
      </c>
      <c r="H265">
        <v>107</v>
      </c>
      <c r="I265" t="s">
        <v>16</v>
      </c>
      <c r="J265">
        <v>191</v>
      </c>
      <c r="K265">
        <v>1</v>
      </c>
      <c r="L265">
        <v>0</v>
      </c>
      <c r="M265">
        <v>0</v>
      </c>
      <c r="N265" t="s">
        <v>78</v>
      </c>
      <c r="O265">
        <v>2016</v>
      </c>
      <c r="P265" t="s">
        <v>18</v>
      </c>
    </row>
    <row r="266" spans="1:16" x14ac:dyDescent="0.3">
      <c r="A266">
        <v>264</v>
      </c>
      <c r="B266" t="s">
        <v>14</v>
      </c>
      <c r="C266" t="s">
        <v>317</v>
      </c>
      <c r="D266" t="str">
        <f>VLOOKUP(YouTube_University_Data_Final[[#This Row],[Title]],[1]!YouTube_University_Data_Final[[Title]:[Title_language]],2,FALSE)</f>
        <v>English</v>
      </c>
      <c r="E266" t="s">
        <v>2944</v>
      </c>
      <c r="F266">
        <v>27</v>
      </c>
      <c r="G266" s="1">
        <v>42520</v>
      </c>
      <c r="H266">
        <v>21</v>
      </c>
      <c r="I266" t="s">
        <v>16</v>
      </c>
      <c r="J266">
        <v>58</v>
      </c>
      <c r="K266">
        <v>0</v>
      </c>
      <c r="L266">
        <v>0</v>
      </c>
      <c r="M266">
        <v>0</v>
      </c>
      <c r="N266" t="s">
        <v>81</v>
      </c>
      <c r="O266">
        <v>2016</v>
      </c>
      <c r="P266" t="s">
        <v>18</v>
      </c>
    </row>
    <row r="267" spans="1:16" x14ac:dyDescent="0.3">
      <c r="A267">
        <v>265</v>
      </c>
      <c r="B267" t="s">
        <v>14</v>
      </c>
      <c r="C267" t="s">
        <v>318</v>
      </c>
      <c r="D267" t="str">
        <f>VLOOKUP(YouTube_University_Data_Final[[#This Row],[Title]],[1]!YouTube_University_Data_Final[[Title]:[Title_language]],2,FALSE)</f>
        <v>English</v>
      </c>
      <c r="E267" t="s">
        <v>319</v>
      </c>
      <c r="F267">
        <v>27</v>
      </c>
      <c r="G267" s="1">
        <v>42514</v>
      </c>
      <c r="H267">
        <v>5349</v>
      </c>
      <c r="I267" t="s">
        <v>16</v>
      </c>
      <c r="J267">
        <v>943</v>
      </c>
      <c r="K267">
        <v>15</v>
      </c>
      <c r="L267">
        <v>0</v>
      </c>
      <c r="M267">
        <v>0</v>
      </c>
      <c r="N267" t="s">
        <v>81</v>
      </c>
      <c r="O267">
        <v>2016</v>
      </c>
      <c r="P267" t="s">
        <v>18</v>
      </c>
    </row>
    <row r="268" spans="1:16" x14ac:dyDescent="0.3">
      <c r="A268">
        <v>266</v>
      </c>
      <c r="B268" t="s">
        <v>14</v>
      </c>
      <c r="C268" t="s">
        <v>320</v>
      </c>
      <c r="D268" t="str">
        <f>VLOOKUP(YouTube_University_Data_Final[[#This Row],[Title]],[1]!YouTube_University_Data_Final[[Title]:[Title_language]],2,FALSE)</f>
        <v>English</v>
      </c>
      <c r="E268" t="s">
        <v>321</v>
      </c>
      <c r="F268">
        <v>27</v>
      </c>
      <c r="G268" s="1">
        <v>42510</v>
      </c>
      <c r="H268">
        <v>3813</v>
      </c>
      <c r="I268" t="s">
        <v>16</v>
      </c>
      <c r="J268">
        <v>180</v>
      </c>
      <c r="K268">
        <v>0</v>
      </c>
      <c r="L268">
        <v>0</v>
      </c>
      <c r="M268">
        <v>0</v>
      </c>
      <c r="N268" t="s">
        <v>81</v>
      </c>
      <c r="O268">
        <v>2016</v>
      </c>
      <c r="P268" t="s">
        <v>18</v>
      </c>
    </row>
    <row r="269" spans="1:16" x14ac:dyDescent="0.3">
      <c r="A269">
        <v>267</v>
      </c>
      <c r="B269" t="s">
        <v>14</v>
      </c>
      <c r="C269" t="s">
        <v>322</v>
      </c>
      <c r="D269" t="str">
        <f>VLOOKUP(YouTube_University_Data_Final[[#This Row],[Title]],[1]!YouTube_University_Data_Final[[Title]:[Title_language]],2,FALSE)</f>
        <v>English</v>
      </c>
      <c r="E269" t="s">
        <v>323</v>
      </c>
      <c r="F269">
        <v>27</v>
      </c>
      <c r="G269" s="1">
        <v>42509</v>
      </c>
      <c r="H269">
        <v>4646</v>
      </c>
      <c r="I269" t="s">
        <v>16</v>
      </c>
      <c r="J269">
        <v>293</v>
      </c>
      <c r="K269">
        <v>1</v>
      </c>
      <c r="L269">
        <v>0</v>
      </c>
      <c r="M269">
        <v>0</v>
      </c>
      <c r="N269" t="s">
        <v>81</v>
      </c>
      <c r="O269">
        <v>2016</v>
      </c>
      <c r="P269" t="s">
        <v>18</v>
      </c>
    </row>
    <row r="270" spans="1:16" x14ac:dyDescent="0.3">
      <c r="A270">
        <v>268</v>
      </c>
      <c r="B270" t="s">
        <v>14</v>
      </c>
      <c r="C270" t="s">
        <v>324</v>
      </c>
      <c r="D270" t="str">
        <f>VLOOKUP(YouTube_University_Data_Final[[#This Row],[Title]],[1]!YouTube_University_Data_Final[[Title]:[Title_language]],2,FALSE)</f>
        <v>English</v>
      </c>
      <c r="E270" t="s">
        <v>2944</v>
      </c>
      <c r="F270">
        <v>27</v>
      </c>
      <c r="G270" s="1">
        <v>42509</v>
      </c>
      <c r="H270">
        <v>4146</v>
      </c>
      <c r="I270" t="s">
        <v>16</v>
      </c>
      <c r="J270">
        <v>64</v>
      </c>
      <c r="K270">
        <v>1</v>
      </c>
      <c r="L270">
        <v>0</v>
      </c>
      <c r="M270">
        <v>0</v>
      </c>
      <c r="N270" t="s">
        <v>81</v>
      </c>
      <c r="O270">
        <v>2016</v>
      </c>
      <c r="P270" t="s">
        <v>18</v>
      </c>
    </row>
    <row r="271" spans="1:16" x14ac:dyDescent="0.3">
      <c r="A271">
        <v>269</v>
      </c>
      <c r="B271" t="s">
        <v>14</v>
      </c>
      <c r="C271" t="s">
        <v>325</v>
      </c>
      <c r="D271" t="str">
        <f>VLOOKUP(YouTube_University_Data_Final[[#This Row],[Title]],[1]!YouTube_University_Data_Final[[Title]:[Title_language]],2,FALSE)</f>
        <v>English</v>
      </c>
      <c r="E271" t="s">
        <v>2944</v>
      </c>
      <c r="F271">
        <v>27</v>
      </c>
      <c r="G271" s="1">
        <v>42509</v>
      </c>
      <c r="H271">
        <v>111</v>
      </c>
      <c r="I271" t="s">
        <v>16</v>
      </c>
      <c r="J271">
        <v>87</v>
      </c>
      <c r="K271">
        <v>0</v>
      </c>
      <c r="L271">
        <v>0</v>
      </c>
      <c r="M271">
        <v>0</v>
      </c>
      <c r="N271" t="s">
        <v>81</v>
      </c>
      <c r="O271">
        <v>2016</v>
      </c>
      <c r="P271" t="s">
        <v>18</v>
      </c>
    </row>
    <row r="272" spans="1:16" x14ac:dyDescent="0.3">
      <c r="A272">
        <v>270</v>
      </c>
      <c r="B272" t="s">
        <v>14</v>
      </c>
      <c r="C272" t="s">
        <v>326</v>
      </c>
      <c r="D272" t="str">
        <f>VLOOKUP(YouTube_University_Data_Final[[#This Row],[Title]],[1]!YouTube_University_Data_Final[[Title]:[Title_language]],2,FALSE)</f>
        <v>English</v>
      </c>
      <c r="E272" t="s">
        <v>2944</v>
      </c>
      <c r="F272">
        <v>27</v>
      </c>
      <c r="G272" s="1">
        <v>42509</v>
      </c>
      <c r="H272">
        <v>69</v>
      </c>
      <c r="I272" t="s">
        <v>16</v>
      </c>
      <c r="J272">
        <v>79</v>
      </c>
      <c r="K272">
        <v>0</v>
      </c>
      <c r="L272">
        <v>0</v>
      </c>
      <c r="M272">
        <v>0</v>
      </c>
      <c r="N272" t="s">
        <v>81</v>
      </c>
      <c r="O272">
        <v>2016</v>
      </c>
      <c r="P272" t="s">
        <v>18</v>
      </c>
    </row>
    <row r="273" spans="1:16" x14ac:dyDescent="0.3">
      <c r="A273">
        <v>271</v>
      </c>
      <c r="B273" t="s">
        <v>14</v>
      </c>
      <c r="C273" t="s">
        <v>327</v>
      </c>
      <c r="D273" t="str">
        <f>VLOOKUP(YouTube_University_Data_Final[[#This Row],[Title]],[1]!YouTube_University_Data_Final[[Title]:[Title_language]],2,FALSE)</f>
        <v>English</v>
      </c>
      <c r="E273" t="s">
        <v>2944</v>
      </c>
      <c r="F273">
        <v>27</v>
      </c>
      <c r="G273" s="1">
        <v>42509</v>
      </c>
      <c r="H273">
        <v>198</v>
      </c>
      <c r="I273" t="s">
        <v>16</v>
      </c>
      <c r="J273">
        <v>170</v>
      </c>
      <c r="K273">
        <v>0</v>
      </c>
      <c r="L273">
        <v>0</v>
      </c>
      <c r="M273">
        <v>1</v>
      </c>
      <c r="N273" t="s">
        <v>81</v>
      </c>
      <c r="O273">
        <v>2016</v>
      </c>
      <c r="P273" t="s">
        <v>18</v>
      </c>
    </row>
    <row r="274" spans="1:16" x14ac:dyDescent="0.3">
      <c r="A274">
        <v>272</v>
      </c>
      <c r="B274" t="s">
        <v>14</v>
      </c>
      <c r="C274" t="s">
        <v>328</v>
      </c>
      <c r="D274" t="str">
        <f>VLOOKUP(YouTube_University_Data_Final[[#This Row],[Title]],[1]!YouTube_University_Data_Final[[Title]:[Title_language]],2,FALSE)</f>
        <v>English</v>
      </c>
      <c r="E274" t="s">
        <v>2944</v>
      </c>
      <c r="F274">
        <v>27</v>
      </c>
      <c r="G274" s="1">
        <v>42509</v>
      </c>
      <c r="H274">
        <v>136</v>
      </c>
      <c r="I274" t="s">
        <v>16</v>
      </c>
      <c r="J274">
        <v>70</v>
      </c>
      <c r="K274">
        <v>0</v>
      </c>
      <c r="L274">
        <v>0</v>
      </c>
      <c r="M274">
        <v>0</v>
      </c>
      <c r="N274" t="s">
        <v>81</v>
      </c>
      <c r="O274">
        <v>2016</v>
      </c>
      <c r="P274" t="s">
        <v>18</v>
      </c>
    </row>
    <row r="275" spans="1:16" x14ac:dyDescent="0.3">
      <c r="A275">
        <v>273</v>
      </c>
      <c r="B275" t="s">
        <v>14</v>
      </c>
      <c r="C275" t="s">
        <v>329</v>
      </c>
      <c r="D275" t="str">
        <f>VLOOKUP(YouTube_University_Data_Final[[#This Row],[Title]],[1]!YouTube_University_Data_Final[[Title]:[Title_language]],2,FALSE)</f>
        <v>English</v>
      </c>
      <c r="E275" t="s">
        <v>2944</v>
      </c>
      <c r="F275">
        <v>27</v>
      </c>
      <c r="G275" s="1">
        <v>42509</v>
      </c>
      <c r="H275">
        <v>275</v>
      </c>
      <c r="I275" t="s">
        <v>16</v>
      </c>
      <c r="J275">
        <v>157</v>
      </c>
      <c r="K275">
        <v>2</v>
      </c>
      <c r="L275">
        <v>0</v>
      </c>
      <c r="M275">
        <v>0</v>
      </c>
      <c r="N275" t="s">
        <v>81</v>
      </c>
      <c r="O275">
        <v>2016</v>
      </c>
      <c r="P275" t="s">
        <v>18</v>
      </c>
    </row>
    <row r="276" spans="1:16" x14ac:dyDescent="0.3">
      <c r="A276">
        <v>274</v>
      </c>
      <c r="B276" t="s">
        <v>14</v>
      </c>
      <c r="C276" t="s">
        <v>330</v>
      </c>
      <c r="D276" t="str">
        <f>VLOOKUP(YouTube_University_Data_Final[[#This Row],[Title]],[1]!YouTube_University_Data_Final[[Title]:[Title_language]],2,FALSE)</f>
        <v>English</v>
      </c>
      <c r="E276" t="s">
        <v>2944</v>
      </c>
      <c r="F276">
        <v>27</v>
      </c>
      <c r="G276" s="1">
        <v>42509</v>
      </c>
      <c r="H276">
        <v>77</v>
      </c>
      <c r="I276" t="s">
        <v>16</v>
      </c>
      <c r="J276">
        <v>237</v>
      </c>
      <c r="K276">
        <v>0</v>
      </c>
      <c r="L276">
        <v>0</v>
      </c>
      <c r="M276">
        <v>0</v>
      </c>
      <c r="N276" t="s">
        <v>81</v>
      </c>
      <c r="O276">
        <v>2016</v>
      </c>
      <c r="P276" t="s">
        <v>18</v>
      </c>
    </row>
    <row r="277" spans="1:16" x14ac:dyDescent="0.3">
      <c r="A277">
        <v>275</v>
      </c>
      <c r="B277" t="s">
        <v>14</v>
      </c>
      <c r="C277" t="s">
        <v>331</v>
      </c>
      <c r="D277" t="str">
        <f>VLOOKUP(YouTube_University_Data_Final[[#This Row],[Title]],[1]!YouTube_University_Data_Final[[Title]:[Title_language]],2,FALSE)</f>
        <v>English</v>
      </c>
      <c r="E277" t="s">
        <v>2944</v>
      </c>
      <c r="F277">
        <v>27</v>
      </c>
      <c r="G277" s="1">
        <v>42509</v>
      </c>
      <c r="H277">
        <v>206</v>
      </c>
      <c r="I277" t="s">
        <v>16</v>
      </c>
      <c r="J277">
        <v>154</v>
      </c>
      <c r="K277">
        <v>0</v>
      </c>
      <c r="L277">
        <v>0</v>
      </c>
      <c r="M277">
        <v>0</v>
      </c>
      <c r="N277" t="s">
        <v>81</v>
      </c>
      <c r="O277">
        <v>2016</v>
      </c>
      <c r="P277" t="s">
        <v>18</v>
      </c>
    </row>
    <row r="278" spans="1:16" x14ac:dyDescent="0.3">
      <c r="A278">
        <v>276</v>
      </c>
      <c r="B278" t="s">
        <v>14</v>
      </c>
      <c r="C278" t="s">
        <v>332</v>
      </c>
      <c r="D278" t="str">
        <f>VLOOKUP(YouTube_University_Data_Final[[#This Row],[Title]],[1]!YouTube_University_Data_Final[[Title]:[Title_language]],2,FALSE)</f>
        <v>English</v>
      </c>
      <c r="E278" t="s">
        <v>2944</v>
      </c>
      <c r="F278">
        <v>27</v>
      </c>
      <c r="G278" s="1">
        <v>42509</v>
      </c>
      <c r="H278">
        <v>70</v>
      </c>
      <c r="I278" t="s">
        <v>16</v>
      </c>
      <c r="J278">
        <v>44</v>
      </c>
      <c r="K278">
        <v>0</v>
      </c>
      <c r="L278">
        <v>0</v>
      </c>
      <c r="M278">
        <v>0</v>
      </c>
      <c r="N278" t="s">
        <v>81</v>
      </c>
      <c r="O278">
        <v>2016</v>
      </c>
      <c r="P278" t="s">
        <v>18</v>
      </c>
    </row>
    <row r="279" spans="1:16" x14ac:dyDescent="0.3">
      <c r="A279">
        <v>277</v>
      </c>
      <c r="B279" t="s">
        <v>14</v>
      </c>
      <c r="C279" t="s">
        <v>333</v>
      </c>
      <c r="D279" t="str">
        <f>VLOOKUP(YouTube_University_Data_Final[[#This Row],[Title]],[1]!YouTube_University_Data_Final[[Title]:[Title_language]],2,FALSE)</f>
        <v>English</v>
      </c>
      <c r="E279" t="s">
        <v>2944</v>
      </c>
      <c r="F279">
        <v>27</v>
      </c>
      <c r="G279" s="1">
        <v>42509</v>
      </c>
      <c r="H279">
        <v>395</v>
      </c>
      <c r="I279" t="s">
        <v>16</v>
      </c>
      <c r="J279">
        <v>141</v>
      </c>
      <c r="K279">
        <v>3</v>
      </c>
      <c r="L279">
        <v>0</v>
      </c>
      <c r="M279">
        <v>1</v>
      </c>
      <c r="N279" t="s">
        <v>81</v>
      </c>
      <c r="O279">
        <v>2016</v>
      </c>
      <c r="P279" t="s">
        <v>18</v>
      </c>
    </row>
    <row r="280" spans="1:16" x14ac:dyDescent="0.3">
      <c r="A280">
        <v>278</v>
      </c>
      <c r="B280" t="s">
        <v>14</v>
      </c>
      <c r="C280" t="s">
        <v>334</v>
      </c>
      <c r="D280" t="str">
        <f>VLOOKUP(YouTube_University_Data_Final[[#This Row],[Title]],[1]!YouTube_University_Data_Final[[Title]:[Title_language]],2,FALSE)</f>
        <v>English</v>
      </c>
      <c r="E280" t="s">
        <v>335</v>
      </c>
      <c r="F280">
        <v>27</v>
      </c>
      <c r="G280" s="1">
        <v>42509</v>
      </c>
      <c r="H280">
        <v>179</v>
      </c>
      <c r="I280" t="s">
        <v>16</v>
      </c>
      <c r="J280">
        <v>63</v>
      </c>
      <c r="K280">
        <v>1</v>
      </c>
      <c r="L280">
        <v>0</v>
      </c>
      <c r="M280">
        <v>0</v>
      </c>
      <c r="N280" t="s">
        <v>81</v>
      </c>
      <c r="O280">
        <v>2016</v>
      </c>
      <c r="P280" t="s">
        <v>18</v>
      </c>
    </row>
    <row r="281" spans="1:16" x14ac:dyDescent="0.3">
      <c r="A281">
        <v>279</v>
      </c>
      <c r="B281" t="s">
        <v>14</v>
      </c>
      <c r="C281" t="s">
        <v>334</v>
      </c>
      <c r="D281" t="str">
        <f>VLOOKUP(YouTube_University_Data_Final[[#This Row],[Title]],[1]!YouTube_University_Data_Final[[Title]:[Title_language]],2,FALSE)</f>
        <v>English</v>
      </c>
      <c r="E281" t="s">
        <v>3037</v>
      </c>
      <c r="F281">
        <v>27</v>
      </c>
      <c r="G281" s="1">
        <v>42509</v>
      </c>
      <c r="H281">
        <v>268</v>
      </c>
      <c r="I281" t="s">
        <v>16</v>
      </c>
      <c r="J281">
        <v>124</v>
      </c>
      <c r="K281">
        <v>0</v>
      </c>
      <c r="L281">
        <v>0</v>
      </c>
      <c r="M281">
        <v>0</v>
      </c>
      <c r="N281" t="s">
        <v>81</v>
      </c>
      <c r="O281">
        <v>2016</v>
      </c>
      <c r="P281" t="s">
        <v>18</v>
      </c>
    </row>
    <row r="282" spans="1:16" x14ac:dyDescent="0.3">
      <c r="A282">
        <v>280</v>
      </c>
      <c r="B282" t="s">
        <v>14</v>
      </c>
      <c r="C282" t="s">
        <v>336</v>
      </c>
      <c r="D282" t="str">
        <f>VLOOKUP(YouTube_University_Data_Final[[#This Row],[Title]],[1]!YouTube_University_Data_Final[[Title]:[Title_language]],2,FALSE)</f>
        <v>English</v>
      </c>
      <c r="E282" t="s">
        <v>2944</v>
      </c>
      <c r="F282">
        <v>27</v>
      </c>
      <c r="G282" s="1">
        <v>42509</v>
      </c>
      <c r="H282">
        <v>188</v>
      </c>
      <c r="I282" t="s">
        <v>16</v>
      </c>
      <c r="J282">
        <v>52</v>
      </c>
      <c r="K282">
        <v>0</v>
      </c>
      <c r="L282">
        <v>0</v>
      </c>
      <c r="M282">
        <v>0</v>
      </c>
      <c r="N282" t="s">
        <v>81</v>
      </c>
      <c r="O282">
        <v>2016</v>
      </c>
      <c r="P282" t="s">
        <v>18</v>
      </c>
    </row>
    <row r="283" spans="1:16" x14ac:dyDescent="0.3">
      <c r="A283">
        <v>281</v>
      </c>
      <c r="B283" t="s">
        <v>14</v>
      </c>
      <c r="C283" t="s">
        <v>337</v>
      </c>
      <c r="D283" t="str">
        <f>VLOOKUP(YouTube_University_Data_Final[[#This Row],[Title]],[1]!YouTube_University_Data_Final[[Title]:[Title_language]],2,FALSE)</f>
        <v>English</v>
      </c>
      <c r="E283" t="s">
        <v>2944</v>
      </c>
      <c r="F283">
        <v>27</v>
      </c>
      <c r="G283" s="1">
        <v>42509</v>
      </c>
      <c r="H283">
        <v>107</v>
      </c>
      <c r="I283" t="s">
        <v>16</v>
      </c>
      <c r="J283">
        <v>90</v>
      </c>
      <c r="K283">
        <v>2</v>
      </c>
      <c r="L283">
        <v>0</v>
      </c>
      <c r="M283">
        <v>0</v>
      </c>
      <c r="N283" t="s">
        <v>81</v>
      </c>
      <c r="O283">
        <v>2016</v>
      </c>
      <c r="P283" t="s">
        <v>18</v>
      </c>
    </row>
    <row r="284" spans="1:16" x14ac:dyDescent="0.3">
      <c r="A284">
        <v>282</v>
      </c>
      <c r="B284" t="s">
        <v>14</v>
      </c>
      <c r="C284" t="s">
        <v>334</v>
      </c>
      <c r="D284" t="str">
        <f>VLOOKUP(YouTube_University_Data_Final[[#This Row],[Title]],[1]!YouTube_University_Data_Final[[Title]:[Title_language]],2,FALSE)</f>
        <v>English</v>
      </c>
      <c r="E284" t="s">
        <v>338</v>
      </c>
      <c r="F284">
        <v>27</v>
      </c>
      <c r="G284" s="1">
        <v>42509</v>
      </c>
      <c r="H284">
        <v>165</v>
      </c>
      <c r="I284" t="s">
        <v>16</v>
      </c>
      <c r="J284">
        <v>155</v>
      </c>
      <c r="K284">
        <v>0</v>
      </c>
      <c r="L284">
        <v>0</v>
      </c>
      <c r="M284">
        <v>0</v>
      </c>
      <c r="N284" t="s">
        <v>81</v>
      </c>
      <c r="O284">
        <v>2016</v>
      </c>
      <c r="P284" t="s">
        <v>18</v>
      </c>
    </row>
    <row r="285" spans="1:16" x14ac:dyDescent="0.3">
      <c r="A285">
        <v>283</v>
      </c>
      <c r="B285" t="s">
        <v>14</v>
      </c>
      <c r="C285" t="s">
        <v>339</v>
      </c>
      <c r="D285" t="str">
        <f>VLOOKUP(YouTube_University_Data_Final[[#This Row],[Title]],[1]!YouTube_University_Data_Final[[Title]:[Title_language]],2,FALSE)</f>
        <v>English</v>
      </c>
      <c r="E285" t="s">
        <v>2944</v>
      </c>
      <c r="F285">
        <v>27</v>
      </c>
      <c r="G285" s="1">
        <v>42509</v>
      </c>
      <c r="H285">
        <v>182</v>
      </c>
      <c r="I285" t="s">
        <v>16</v>
      </c>
      <c r="J285">
        <v>97</v>
      </c>
      <c r="K285">
        <v>0</v>
      </c>
      <c r="L285">
        <v>0</v>
      </c>
      <c r="M285">
        <v>0</v>
      </c>
      <c r="N285" t="s">
        <v>81</v>
      </c>
      <c r="O285">
        <v>2016</v>
      </c>
      <c r="P285" t="s">
        <v>18</v>
      </c>
    </row>
    <row r="286" spans="1:16" x14ac:dyDescent="0.3">
      <c r="A286">
        <v>284</v>
      </c>
      <c r="B286" t="s">
        <v>14</v>
      </c>
      <c r="C286" t="s">
        <v>340</v>
      </c>
      <c r="D286" t="str">
        <f>VLOOKUP(YouTube_University_Data_Final[[#This Row],[Title]],[1]!YouTube_University_Data_Final[[Title]:[Title_language]],2,FALSE)</f>
        <v>English</v>
      </c>
      <c r="E286" t="s">
        <v>2944</v>
      </c>
      <c r="F286">
        <v>27</v>
      </c>
      <c r="G286" s="1">
        <v>42509</v>
      </c>
      <c r="H286">
        <v>337</v>
      </c>
      <c r="I286" t="s">
        <v>16</v>
      </c>
      <c r="J286">
        <v>193</v>
      </c>
      <c r="K286">
        <v>0</v>
      </c>
      <c r="L286">
        <v>0</v>
      </c>
      <c r="M286">
        <v>0</v>
      </c>
      <c r="N286" t="s">
        <v>81</v>
      </c>
      <c r="O286">
        <v>2016</v>
      </c>
      <c r="P286" t="s">
        <v>18</v>
      </c>
    </row>
    <row r="287" spans="1:16" x14ac:dyDescent="0.3">
      <c r="A287">
        <v>285</v>
      </c>
      <c r="B287" t="s">
        <v>14</v>
      </c>
      <c r="C287" t="s">
        <v>341</v>
      </c>
      <c r="D287" t="str">
        <f>VLOOKUP(YouTube_University_Data_Final[[#This Row],[Title]],[1]!YouTube_University_Data_Final[[Title]:[Title_language]],2,FALSE)</f>
        <v>English</v>
      </c>
      <c r="E287" t="s">
        <v>2944</v>
      </c>
      <c r="F287">
        <v>27</v>
      </c>
      <c r="G287" s="1">
        <v>42509</v>
      </c>
      <c r="H287">
        <v>171</v>
      </c>
      <c r="I287" t="s">
        <v>16</v>
      </c>
      <c r="J287">
        <v>275</v>
      </c>
      <c r="K287">
        <v>2</v>
      </c>
      <c r="L287">
        <v>0</v>
      </c>
      <c r="M287">
        <v>0</v>
      </c>
      <c r="N287" t="s">
        <v>81</v>
      </c>
      <c r="O287">
        <v>2016</v>
      </c>
      <c r="P287" t="s">
        <v>18</v>
      </c>
    </row>
    <row r="288" spans="1:16" x14ac:dyDescent="0.3">
      <c r="A288">
        <v>286</v>
      </c>
      <c r="B288" t="s">
        <v>14</v>
      </c>
      <c r="C288" t="s">
        <v>342</v>
      </c>
      <c r="D288" t="str">
        <f>VLOOKUP(YouTube_University_Data_Final[[#This Row],[Title]],[1]!YouTube_University_Data_Final[[Title]:[Title_language]],2,FALSE)</f>
        <v>English</v>
      </c>
      <c r="E288" t="s">
        <v>2944</v>
      </c>
      <c r="F288">
        <v>27</v>
      </c>
      <c r="G288" s="1">
        <v>42509</v>
      </c>
      <c r="H288">
        <v>115</v>
      </c>
      <c r="I288" t="s">
        <v>16</v>
      </c>
      <c r="J288">
        <v>12391</v>
      </c>
      <c r="K288">
        <v>101</v>
      </c>
      <c r="L288">
        <v>0</v>
      </c>
      <c r="M288">
        <v>2</v>
      </c>
      <c r="N288" t="s">
        <v>81</v>
      </c>
      <c r="O288">
        <v>2016</v>
      </c>
      <c r="P288" t="s">
        <v>18</v>
      </c>
    </row>
    <row r="289" spans="1:16" x14ac:dyDescent="0.3">
      <c r="A289">
        <v>287</v>
      </c>
      <c r="B289" t="s">
        <v>14</v>
      </c>
      <c r="C289" t="s">
        <v>343</v>
      </c>
      <c r="D289" t="str">
        <f>VLOOKUP(YouTube_University_Data_Final[[#This Row],[Title]],[1]!YouTube_University_Data_Final[[Title]:[Title_language]],2,FALSE)</f>
        <v>English</v>
      </c>
      <c r="E289" t="s">
        <v>2944</v>
      </c>
      <c r="F289">
        <v>27</v>
      </c>
      <c r="G289" s="1">
        <v>42509</v>
      </c>
      <c r="H289">
        <v>229</v>
      </c>
      <c r="I289" t="s">
        <v>16</v>
      </c>
      <c r="J289">
        <v>44</v>
      </c>
      <c r="K289">
        <v>0</v>
      </c>
      <c r="L289">
        <v>0</v>
      </c>
      <c r="M289">
        <v>0</v>
      </c>
      <c r="N289" t="s">
        <v>81</v>
      </c>
      <c r="O289">
        <v>2016</v>
      </c>
      <c r="P289" t="s">
        <v>18</v>
      </c>
    </row>
    <row r="290" spans="1:16" x14ac:dyDescent="0.3">
      <c r="A290">
        <v>288</v>
      </c>
      <c r="B290" t="s">
        <v>14</v>
      </c>
      <c r="C290" t="s">
        <v>344</v>
      </c>
      <c r="D290" t="str">
        <f>VLOOKUP(YouTube_University_Data_Final[[#This Row],[Title]],[1]!YouTube_University_Data_Final[[Title]:[Title_language]],2,FALSE)</f>
        <v>English</v>
      </c>
      <c r="E290" t="s">
        <v>2944</v>
      </c>
      <c r="F290">
        <v>27</v>
      </c>
      <c r="G290" s="1">
        <v>42509</v>
      </c>
      <c r="H290">
        <v>278</v>
      </c>
      <c r="I290" t="s">
        <v>16</v>
      </c>
      <c r="J290">
        <v>61</v>
      </c>
      <c r="K290">
        <v>0</v>
      </c>
      <c r="L290">
        <v>0</v>
      </c>
      <c r="M290">
        <v>0</v>
      </c>
      <c r="N290" t="s">
        <v>81</v>
      </c>
      <c r="O290">
        <v>2016</v>
      </c>
      <c r="P290" t="s">
        <v>18</v>
      </c>
    </row>
    <row r="291" spans="1:16" x14ac:dyDescent="0.3">
      <c r="A291">
        <v>289</v>
      </c>
      <c r="B291" t="s">
        <v>14</v>
      </c>
      <c r="C291" t="s">
        <v>345</v>
      </c>
      <c r="D291" t="str">
        <f>VLOOKUP(YouTube_University_Data_Final[[#This Row],[Title]],[1]!YouTube_University_Data_Final[[Title]:[Title_language]],2,FALSE)</f>
        <v>English</v>
      </c>
      <c r="E291" t="s">
        <v>2944</v>
      </c>
      <c r="F291">
        <v>27</v>
      </c>
      <c r="G291" s="1">
        <v>42509</v>
      </c>
      <c r="H291">
        <v>267</v>
      </c>
      <c r="I291" t="s">
        <v>16</v>
      </c>
      <c r="J291">
        <v>87</v>
      </c>
      <c r="K291">
        <v>1</v>
      </c>
      <c r="L291">
        <v>0</v>
      </c>
      <c r="M291">
        <v>0</v>
      </c>
      <c r="N291" t="s">
        <v>81</v>
      </c>
      <c r="O291">
        <v>2016</v>
      </c>
      <c r="P291" t="s">
        <v>18</v>
      </c>
    </row>
    <row r="292" spans="1:16" x14ac:dyDescent="0.3">
      <c r="A292">
        <v>290</v>
      </c>
      <c r="B292" t="s">
        <v>14</v>
      </c>
      <c r="C292" t="s">
        <v>346</v>
      </c>
      <c r="D292" t="str">
        <f>VLOOKUP(YouTube_University_Data_Final[[#This Row],[Title]],[1]!YouTube_University_Data_Final[[Title]:[Title_language]],2,FALSE)</f>
        <v>English</v>
      </c>
      <c r="E292" t="s">
        <v>2944</v>
      </c>
      <c r="F292">
        <v>27</v>
      </c>
      <c r="G292" s="1">
        <v>42509</v>
      </c>
      <c r="H292">
        <v>1929</v>
      </c>
      <c r="I292" t="s">
        <v>16</v>
      </c>
      <c r="J292">
        <v>82</v>
      </c>
      <c r="K292">
        <v>1</v>
      </c>
      <c r="L292">
        <v>0</v>
      </c>
      <c r="M292">
        <v>0</v>
      </c>
      <c r="N292" t="s">
        <v>81</v>
      </c>
      <c r="O292">
        <v>2016</v>
      </c>
      <c r="P292" t="s">
        <v>18</v>
      </c>
    </row>
    <row r="293" spans="1:16" x14ac:dyDescent="0.3">
      <c r="A293">
        <v>291</v>
      </c>
      <c r="B293" t="s">
        <v>14</v>
      </c>
      <c r="C293" t="s">
        <v>347</v>
      </c>
      <c r="D293" t="str">
        <f>VLOOKUP(YouTube_University_Data_Final[[#This Row],[Title]],[1]!YouTube_University_Data_Final[[Title]:[Title_language]],2,FALSE)</f>
        <v>English</v>
      </c>
      <c r="E293" t="s">
        <v>348</v>
      </c>
      <c r="F293">
        <v>27</v>
      </c>
      <c r="G293" s="1">
        <v>42509</v>
      </c>
      <c r="H293">
        <v>3222</v>
      </c>
      <c r="I293" t="s">
        <v>16</v>
      </c>
      <c r="J293">
        <v>7073</v>
      </c>
      <c r="K293">
        <v>54</v>
      </c>
      <c r="L293">
        <v>0</v>
      </c>
      <c r="M293">
        <v>2</v>
      </c>
      <c r="N293" t="s">
        <v>81</v>
      </c>
      <c r="O293">
        <v>2016</v>
      </c>
      <c r="P293" t="s">
        <v>18</v>
      </c>
    </row>
    <row r="294" spans="1:16" x14ac:dyDescent="0.3">
      <c r="A294">
        <v>292</v>
      </c>
      <c r="B294" t="s">
        <v>14</v>
      </c>
      <c r="C294" t="s">
        <v>349</v>
      </c>
      <c r="D294" t="str">
        <f>VLOOKUP(YouTube_University_Data_Final[[#This Row],[Title]],[1]!YouTube_University_Data_Final[[Title]:[Title_language]],2,FALSE)</f>
        <v>English</v>
      </c>
      <c r="E294" t="s">
        <v>2944</v>
      </c>
      <c r="F294">
        <v>27</v>
      </c>
      <c r="G294" s="1">
        <v>42509</v>
      </c>
      <c r="H294">
        <v>209</v>
      </c>
      <c r="I294" t="s">
        <v>16</v>
      </c>
      <c r="J294">
        <v>52</v>
      </c>
      <c r="K294">
        <v>0</v>
      </c>
      <c r="L294">
        <v>0</v>
      </c>
      <c r="M294">
        <v>0</v>
      </c>
      <c r="N294" t="s">
        <v>81</v>
      </c>
      <c r="O294">
        <v>2016</v>
      </c>
      <c r="P294" t="s">
        <v>18</v>
      </c>
    </row>
    <row r="295" spans="1:16" x14ac:dyDescent="0.3">
      <c r="A295">
        <v>293</v>
      </c>
      <c r="B295" t="s">
        <v>14</v>
      </c>
      <c r="C295" t="s">
        <v>3038</v>
      </c>
      <c r="D295" t="str">
        <f>VLOOKUP(YouTube_University_Data_Final[[#This Row],[Title]],[1]!YouTube_University_Data_Final[[Title]:[Title_language]],2,FALSE)</f>
        <v>English</v>
      </c>
      <c r="E295" t="s">
        <v>2944</v>
      </c>
      <c r="F295">
        <v>27</v>
      </c>
      <c r="G295" s="1">
        <v>42509</v>
      </c>
      <c r="H295">
        <v>1478</v>
      </c>
      <c r="I295" t="s">
        <v>16</v>
      </c>
      <c r="J295">
        <v>161</v>
      </c>
      <c r="K295">
        <v>0</v>
      </c>
      <c r="L295">
        <v>0</v>
      </c>
      <c r="M295">
        <v>0</v>
      </c>
      <c r="N295" t="s">
        <v>81</v>
      </c>
      <c r="O295">
        <v>2016</v>
      </c>
      <c r="P295" t="s">
        <v>18</v>
      </c>
    </row>
    <row r="296" spans="1:16" x14ac:dyDescent="0.3">
      <c r="A296">
        <v>294</v>
      </c>
      <c r="B296" t="s">
        <v>14</v>
      </c>
      <c r="C296" t="s">
        <v>350</v>
      </c>
      <c r="D296" t="str">
        <f>VLOOKUP(YouTube_University_Data_Final[[#This Row],[Title]],[1]!YouTube_University_Data_Final[[Title]:[Title_language]],2,FALSE)</f>
        <v>English</v>
      </c>
      <c r="E296" t="s">
        <v>2944</v>
      </c>
      <c r="F296">
        <v>27</v>
      </c>
      <c r="G296" s="1">
        <v>42509</v>
      </c>
      <c r="H296">
        <v>296</v>
      </c>
      <c r="I296" t="s">
        <v>16</v>
      </c>
      <c r="J296">
        <v>66</v>
      </c>
      <c r="K296">
        <v>0</v>
      </c>
      <c r="L296">
        <v>0</v>
      </c>
      <c r="M296">
        <v>0</v>
      </c>
      <c r="N296" t="s">
        <v>81</v>
      </c>
      <c r="O296">
        <v>2016</v>
      </c>
      <c r="P296" t="s">
        <v>18</v>
      </c>
    </row>
    <row r="297" spans="1:16" x14ac:dyDescent="0.3">
      <c r="A297">
        <v>295</v>
      </c>
      <c r="B297" t="s">
        <v>14</v>
      </c>
      <c r="C297" t="s">
        <v>3039</v>
      </c>
      <c r="D297" t="str">
        <f>VLOOKUP(YouTube_University_Data_Final[[#This Row],[Title]],[1]!YouTube_University_Data_Final[[Title]:[Title_language]],2,FALSE)</f>
        <v>English</v>
      </c>
      <c r="E297" t="s">
        <v>2944</v>
      </c>
      <c r="F297">
        <v>27</v>
      </c>
      <c r="G297" s="1">
        <v>42509</v>
      </c>
      <c r="H297">
        <v>2395</v>
      </c>
      <c r="I297" t="s">
        <v>16</v>
      </c>
      <c r="J297">
        <v>964</v>
      </c>
      <c r="K297">
        <v>4</v>
      </c>
      <c r="L297">
        <v>0</v>
      </c>
      <c r="M297">
        <v>0</v>
      </c>
      <c r="N297" t="s">
        <v>81</v>
      </c>
      <c r="O297">
        <v>2016</v>
      </c>
      <c r="P297" t="s">
        <v>18</v>
      </c>
    </row>
    <row r="298" spans="1:16" x14ac:dyDescent="0.3">
      <c r="A298">
        <v>296</v>
      </c>
      <c r="B298" t="s">
        <v>14</v>
      </c>
      <c r="C298" t="s">
        <v>351</v>
      </c>
      <c r="D298" t="str">
        <f>VLOOKUP(YouTube_University_Data_Final[[#This Row],[Title]],[1]!YouTube_University_Data_Final[[Title]:[Title_language]],2,FALSE)</f>
        <v>English</v>
      </c>
      <c r="E298" t="s">
        <v>2944</v>
      </c>
      <c r="F298">
        <v>27</v>
      </c>
      <c r="G298" s="1">
        <v>42509</v>
      </c>
      <c r="H298">
        <v>84</v>
      </c>
      <c r="I298" t="s">
        <v>16</v>
      </c>
      <c r="J298">
        <v>17</v>
      </c>
      <c r="K298">
        <v>0</v>
      </c>
      <c r="L298">
        <v>0</v>
      </c>
      <c r="M298">
        <v>0</v>
      </c>
      <c r="N298" t="s">
        <v>81</v>
      </c>
      <c r="O298">
        <v>2016</v>
      </c>
      <c r="P298" t="s">
        <v>18</v>
      </c>
    </row>
    <row r="299" spans="1:16" x14ac:dyDescent="0.3">
      <c r="A299">
        <v>297</v>
      </c>
      <c r="B299" t="s">
        <v>14</v>
      </c>
      <c r="C299" t="s">
        <v>352</v>
      </c>
      <c r="D299" t="str">
        <f>VLOOKUP(YouTube_University_Data_Final[[#This Row],[Title]],[1]!YouTube_University_Data_Final[[Title]:[Title_language]],2,FALSE)</f>
        <v>English</v>
      </c>
      <c r="E299" t="s">
        <v>2944</v>
      </c>
      <c r="F299">
        <v>27</v>
      </c>
      <c r="G299" s="1">
        <v>42509</v>
      </c>
      <c r="H299">
        <v>188</v>
      </c>
      <c r="I299" t="s">
        <v>16</v>
      </c>
      <c r="J299">
        <v>57</v>
      </c>
      <c r="K299">
        <v>0</v>
      </c>
      <c r="L299">
        <v>0</v>
      </c>
      <c r="M299">
        <v>0</v>
      </c>
      <c r="N299" t="s">
        <v>81</v>
      </c>
      <c r="O299">
        <v>2016</v>
      </c>
      <c r="P299" t="s">
        <v>18</v>
      </c>
    </row>
    <row r="300" spans="1:16" x14ac:dyDescent="0.3">
      <c r="A300">
        <v>298</v>
      </c>
      <c r="B300" t="s">
        <v>14</v>
      </c>
      <c r="C300" t="s">
        <v>353</v>
      </c>
      <c r="D300" t="str">
        <f>VLOOKUP(YouTube_University_Data_Final[[#This Row],[Title]],[1]!YouTube_University_Data_Final[[Title]:[Title_language]],2,FALSE)</f>
        <v>English</v>
      </c>
      <c r="E300" t="s">
        <v>2944</v>
      </c>
      <c r="F300">
        <v>27</v>
      </c>
      <c r="G300" s="1">
        <v>42509</v>
      </c>
      <c r="H300">
        <v>239</v>
      </c>
      <c r="I300" t="s">
        <v>16</v>
      </c>
      <c r="J300">
        <v>118</v>
      </c>
      <c r="K300">
        <v>1</v>
      </c>
      <c r="L300">
        <v>0</v>
      </c>
      <c r="M300">
        <v>0</v>
      </c>
      <c r="N300" t="s">
        <v>81</v>
      </c>
      <c r="O300">
        <v>2016</v>
      </c>
      <c r="P300" t="s">
        <v>18</v>
      </c>
    </row>
    <row r="301" spans="1:16" x14ac:dyDescent="0.3">
      <c r="A301">
        <v>299</v>
      </c>
      <c r="B301" t="s">
        <v>14</v>
      </c>
      <c r="C301" t="s">
        <v>354</v>
      </c>
      <c r="D301" t="str">
        <f>VLOOKUP(YouTube_University_Data_Final[[#This Row],[Title]],[1]!YouTube_University_Data_Final[[Title]:[Title_language]],2,FALSE)</f>
        <v>English</v>
      </c>
      <c r="E301" t="s">
        <v>2944</v>
      </c>
      <c r="F301">
        <v>27</v>
      </c>
      <c r="G301" s="1">
        <v>42509</v>
      </c>
      <c r="H301">
        <v>68</v>
      </c>
      <c r="I301" t="s">
        <v>16</v>
      </c>
      <c r="J301">
        <v>14</v>
      </c>
      <c r="K301">
        <v>0</v>
      </c>
      <c r="L301">
        <v>0</v>
      </c>
      <c r="M301">
        <v>0</v>
      </c>
      <c r="N301" t="s">
        <v>81</v>
      </c>
      <c r="O301">
        <v>2016</v>
      </c>
      <c r="P301" t="s">
        <v>18</v>
      </c>
    </row>
    <row r="302" spans="1:16" x14ac:dyDescent="0.3">
      <c r="A302">
        <v>300</v>
      </c>
      <c r="B302" t="s">
        <v>14</v>
      </c>
      <c r="C302" t="s">
        <v>355</v>
      </c>
      <c r="D302" t="str">
        <f>VLOOKUP(YouTube_University_Data_Final[[#This Row],[Title]],[1]!YouTube_University_Data_Final[[Title]:[Title_language]],2,FALSE)</f>
        <v>English</v>
      </c>
      <c r="E302" t="s">
        <v>2944</v>
      </c>
      <c r="F302">
        <v>27</v>
      </c>
      <c r="G302" s="1">
        <v>42509</v>
      </c>
      <c r="H302">
        <v>585</v>
      </c>
      <c r="I302" t="s">
        <v>16</v>
      </c>
      <c r="J302">
        <v>49</v>
      </c>
      <c r="K302">
        <v>0</v>
      </c>
      <c r="L302">
        <v>0</v>
      </c>
      <c r="M302">
        <v>0</v>
      </c>
      <c r="N302" t="s">
        <v>81</v>
      </c>
      <c r="O302">
        <v>2016</v>
      </c>
      <c r="P302" t="s">
        <v>18</v>
      </c>
    </row>
    <row r="303" spans="1:16" x14ac:dyDescent="0.3">
      <c r="A303">
        <v>301</v>
      </c>
      <c r="B303" t="s">
        <v>14</v>
      </c>
      <c r="C303" t="s">
        <v>356</v>
      </c>
      <c r="D303" t="str">
        <f>VLOOKUP(YouTube_University_Data_Final[[#This Row],[Title]],[1]!YouTube_University_Data_Final[[Title]:[Title_language]],2,FALSE)</f>
        <v>English</v>
      </c>
      <c r="E303" t="s">
        <v>2944</v>
      </c>
      <c r="F303">
        <v>27</v>
      </c>
      <c r="G303" s="1">
        <v>42508</v>
      </c>
      <c r="H303">
        <v>13</v>
      </c>
      <c r="I303" t="s">
        <v>16</v>
      </c>
      <c r="J303">
        <v>62</v>
      </c>
      <c r="K303">
        <v>0</v>
      </c>
      <c r="L303">
        <v>0</v>
      </c>
      <c r="M303">
        <v>0</v>
      </c>
      <c r="N303" t="s">
        <v>81</v>
      </c>
      <c r="O303">
        <v>2016</v>
      </c>
      <c r="P303" t="s">
        <v>18</v>
      </c>
    </row>
    <row r="304" spans="1:16" x14ac:dyDescent="0.3">
      <c r="A304">
        <v>302</v>
      </c>
      <c r="B304" t="s">
        <v>14</v>
      </c>
      <c r="C304" t="s">
        <v>357</v>
      </c>
      <c r="D304" t="str">
        <f>VLOOKUP(YouTube_University_Data_Final[[#This Row],[Title]],[1]!YouTube_University_Data_Final[[Title]:[Title_language]],2,FALSE)</f>
        <v>English</v>
      </c>
      <c r="E304" t="s">
        <v>2944</v>
      </c>
      <c r="F304">
        <v>27</v>
      </c>
      <c r="G304" s="1">
        <v>42501</v>
      </c>
      <c r="H304">
        <v>1827</v>
      </c>
      <c r="I304" t="s">
        <v>16</v>
      </c>
      <c r="J304">
        <v>804</v>
      </c>
      <c r="K304">
        <v>8</v>
      </c>
      <c r="L304">
        <v>0</v>
      </c>
      <c r="M304">
        <v>0</v>
      </c>
      <c r="N304" t="s">
        <v>81</v>
      </c>
      <c r="O304">
        <v>2016</v>
      </c>
      <c r="P304" t="s">
        <v>18</v>
      </c>
    </row>
    <row r="305" spans="1:16" x14ac:dyDescent="0.3">
      <c r="A305">
        <v>303</v>
      </c>
      <c r="B305" t="s">
        <v>14</v>
      </c>
      <c r="C305" t="s">
        <v>358</v>
      </c>
      <c r="D305" t="str">
        <f>VLOOKUP(YouTube_University_Data_Final[[#This Row],[Title]],[1]!YouTube_University_Data_Final[[Title]:[Title_language]],2,FALSE)</f>
        <v>English</v>
      </c>
      <c r="E305" t="s">
        <v>2944</v>
      </c>
      <c r="F305">
        <v>27</v>
      </c>
      <c r="G305" s="1">
        <v>42501</v>
      </c>
      <c r="H305">
        <v>2071</v>
      </c>
      <c r="I305" t="s">
        <v>16</v>
      </c>
      <c r="J305">
        <v>2950</v>
      </c>
      <c r="K305">
        <v>23</v>
      </c>
      <c r="L305">
        <v>0</v>
      </c>
      <c r="M305">
        <v>1</v>
      </c>
      <c r="N305" t="s">
        <v>81</v>
      </c>
      <c r="O305">
        <v>2016</v>
      </c>
      <c r="P305" t="s">
        <v>18</v>
      </c>
    </row>
    <row r="306" spans="1:16" x14ac:dyDescent="0.3">
      <c r="A306">
        <v>304</v>
      </c>
      <c r="B306" t="s">
        <v>14</v>
      </c>
      <c r="C306" t="s">
        <v>359</v>
      </c>
      <c r="D306" t="str">
        <f>VLOOKUP(YouTube_University_Data_Final[[#This Row],[Title]],[1]!YouTube_University_Data_Final[[Title]:[Title_language]],2,FALSE)</f>
        <v>English</v>
      </c>
      <c r="E306" t="s">
        <v>2944</v>
      </c>
      <c r="F306">
        <v>27</v>
      </c>
      <c r="G306" s="1">
        <v>42501</v>
      </c>
      <c r="H306">
        <v>291</v>
      </c>
      <c r="I306" t="s">
        <v>16</v>
      </c>
      <c r="J306">
        <v>31349</v>
      </c>
      <c r="K306">
        <v>248</v>
      </c>
      <c r="L306">
        <v>0</v>
      </c>
      <c r="M306">
        <v>9</v>
      </c>
      <c r="N306" t="s">
        <v>81</v>
      </c>
      <c r="O306">
        <v>2016</v>
      </c>
      <c r="P306" t="s">
        <v>18</v>
      </c>
    </row>
    <row r="307" spans="1:16" x14ac:dyDescent="0.3">
      <c r="A307">
        <v>305</v>
      </c>
      <c r="B307" t="s">
        <v>14</v>
      </c>
      <c r="C307" t="s">
        <v>360</v>
      </c>
      <c r="D307" t="str">
        <f>VLOOKUP(YouTube_University_Data_Final[[#This Row],[Title]],[1]!YouTube_University_Data_Final[[Title]:[Title_language]],2,FALSE)</f>
        <v>English</v>
      </c>
      <c r="E307" t="s">
        <v>2944</v>
      </c>
      <c r="F307">
        <v>27</v>
      </c>
      <c r="G307" s="1">
        <v>42501</v>
      </c>
      <c r="H307">
        <v>291</v>
      </c>
      <c r="I307" t="s">
        <v>16</v>
      </c>
      <c r="J307">
        <v>68</v>
      </c>
      <c r="K307">
        <v>0</v>
      </c>
      <c r="L307">
        <v>0</v>
      </c>
      <c r="M307">
        <v>0</v>
      </c>
      <c r="N307" t="s">
        <v>81</v>
      </c>
      <c r="O307">
        <v>2016</v>
      </c>
      <c r="P307" t="s">
        <v>18</v>
      </c>
    </row>
    <row r="308" spans="1:16" x14ac:dyDescent="0.3">
      <c r="A308">
        <v>306</v>
      </c>
      <c r="B308" t="s">
        <v>14</v>
      </c>
      <c r="C308" t="s">
        <v>361</v>
      </c>
      <c r="D308" t="str">
        <f>VLOOKUP(YouTube_University_Data_Final[[#This Row],[Title]],[1]!YouTube_University_Data_Final[[Title]:[Title_language]],2,FALSE)</f>
        <v>English</v>
      </c>
      <c r="E308" t="s">
        <v>2944</v>
      </c>
      <c r="F308">
        <v>27</v>
      </c>
      <c r="G308" s="1">
        <v>42501</v>
      </c>
      <c r="H308">
        <v>291</v>
      </c>
      <c r="I308" t="s">
        <v>16</v>
      </c>
      <c r="J308">
        <v>188</v>
      </c>
      <c r="K308">
        <v>0</v>
      </c>
      <c r="L308">
        <v>0</v>
      </c>
      <c r="M308">
        <v>0</v>
      </c>
      <c r="N308" t="s">
        <v>81</v>
      </c>
      <c r="O308">
        <v>2016</v>
      </c>
      <c r="P308" t="s">
        <v>18</v>
      </c>
    </row>
    <row r="309" spans="1:16" x14ac:dyDescent="0.3">
      <c r="A309">
        <v>307</v>
      </c>
      <c r="B309" t="s">
        <v>14</v>
      </c>
      <c r="C309" t="s">
        <v>362</v>
      </c>
      <c r="D309" t="str">
        <f>VLOOKUP(YouTube_University_Data_Final[[#This Row],[Title]],[1]!YouTube_University_Data_Final[[Title]:[Title_language]],2,FALSE)</f>
        <v>English</v>
      </c>
      <c r="E309" t="s">
        <v>2944</v>
      </c>
      <c r="F309">
        <v>27</v>
      </c>
      <c r="G309" s="1">
        <v>42501</v>
      </c>
      <c r="H309">
        <v>860</v>
      </c>
      <c r="I309" t="s">
        <v>16</v>
      </c>
      <c r="J309">
        <v>235</v>
      </c>
      <c r="K309">
        <v>1</v>
      </c>
      <c r="L309">
        <v>0</v>
      </c>
      <c r="M309">
        <v>0</v>
      </c>
      <c r="N309" t="s">
        <v>81</v>
      </c>
      <c r="O309">
        <v>2016</v>
      </c>
      <c r="P309" t="s">
        <v>18</v>
      </c>
    </row>
    <row r="310" spans="1:16" x14ac:dyDescent="0.3">
      <c r="A310">
        <v>308</v>
      </c>
      <c r="B310" t="s">
        <v>14</v>
      </c>
      <c r="C310" t="s">
        <v>363</v>
      </c>
      <c r="D310" t="str">
        <f>VLOOKUP(YouTube_University_Data_Final[[#This Row],[Title]],[1]!YouTube_University_Data_Final[[Title]:[Title_language]],2,FALSE)</f>
        <v>English</v>
      </c>
      <c r="E310" t="s">
        <v>2944</v>
      </c>
      <c r="F310">
        <v>27</v>
      </c>
      <c r="G310" s="1">
        <v>42487</v>
      </c>
      <c r="H310">
        <v>137</v>
      </c>
      <c r="I310" t="s">
        <v>16</v>
      </c>
      <c r="J310">
        <v>632</v>
      </c>
      <c r="K310">
        <v>6</v>
      </c>
      <c r="L310">
        <v>0</v>
      </c>
      <c r="M310">
        <v>0</v>
      </c>
      <c r="N310" t="s">
        <v>87</v>
      </c>
      <c r="O310">
        <v>2016</v>
      </c>
      <c r="P310" t="s">
        <v>18</v>
      </c>
    </row>
    <row r="311" spans="1:16" x14ac:dyDescent="0.3">
      <c r="A311">
        <v>309</v>
      </c>
      <c r="B311" t="s">
        <v>14</v>
      </c>
      <c r="C311" t="s">
        <v>364</v>
      </c>
      <c r="D311" t="str">
        <f>VLOOKUP(YouTube_University_Data_Final[[#This Row],[Title]],[1]!YouTube_University_Data_Final[[Title]:[Title_language]],2,FALSE)</f>
        <v>English</v>
      </c>
      <c r="E311" t="s">
        <v>319</v>
      </c>
      <c r="F311">
        <v>27</v>
      </c>
      <c r="G311" s="1">
        <v>42474</v>
      </c>
      <c r="H311">
        <v>2725</v>
      </c>
      <c r="I311" t="s">
        <v>16</v>
      </c>
      <c r="J311">
        <v>1672</v>
      </c>
      <c r="K311">
        <v>21</v>
      </c>
      <c r="L311">
        <v>0</v>
      </c>
      <c r="M311">
        <v>1</v>
      </c>
      <c r="N311" t="s">
        <v>87</v>
      </c>
      <c r="O311">
        <v>2016</v>
      </c>
      <c r="P311" t="s">
        <v>18</v>
      </c>
    </row>
    <row r="312" spans="1:16" x14ac:dyDescent="0.3">
      <c r="A312">
        <v>310</v>
      </c>
      <c r="B312" t="s">
        <v>14</v>
      </c>
      <c r="C312" t="s">
        <v>365</v>
      </c>
      <c r="D312" t="str">
        <f>VLOOKUP(YouTube_University_Data_Final[[#This Row],[Title]],[1]!YouTube_University_Data_Final[[Title]:[Title_language]],2,FALSE)</f>
        <v>English</v>
      </c>
      <c r="E312" t="s">
        <v>2944</v>
      </c>
      <c r="F312">
        <v>27</v>
      </c>
      <c r="G312" s="1">
        <v>42472</v>
      </c>
      <c r="H312">
        <v>7</v>
      </c>
      <c r="I312" t="s">
        <v>16</v>
      </c>
      <c r="J312">
        <v>230</v>
      </c>
      <c r="K312">
        <v>2</v>
      </c>
      <c r="L312">
        <v>0</v>
      </c>
      <c r="M312">
        <v>0</v>
      </c>
      <c r="N312" t="s">
        <v>87</v>
      </c>
      <c r="O312">
        <v>2016</v>
      </c>
      <c r="P312" t="s">
        <v>18</v>
      </c>
    </row>
    <row r="313" spans="1:16" x14ac:dyDescent="0.3">
      <c r="A313">
        <v>311</v>
      </c>
      <c r="B313" t="s">
        <v>14</v>
      </c>
      <c r="C313" t="s">
        <v>366</v>
      </c>
      <c r="D313" t="str">
        <f>VLOOKUP(YouTube_University_Data_Final[[#This Row],[Title]],[1]!YouTube_University_Data_Final[[Title]:[Title_language]],2,FALSE)</f>
        <v>English</v>
      </c>
      <c r="E313" t="s">
        <v>367</v>
      </c>
      <c r="F313">
        <v>27</v>
      </c>
      <c r="G313" s="1">
        <v>42472</v>
      </c>
      <c r="H313">
        <v>66</v>
      </c>
      <c r="I313" t="s">
        <v>368</v>
      </c>
      <c r="J313">
        <v>456</v>
      </c>
      <c r="K313">
        <v>3</v>
      </c>
      <c r="L313">
        <v>0</v>
      </c>
      <c r="M313">
        <v>0</v>
      </c>
      <c r="N313" t="s">
        <v>87</v>
      </c>
      <c r="O313">
        <v>2016</v>
      </c>
      <c r="P313" t="s">
        <v>18</v>
      </c>
    </row>
    <row r="314" spans="1:16" x14ac:dyDescent="0.3">
      <c r="A314">
        <v>312</v>
      </c>
      <c r="B314" t="s">
        <v>14</v>
      </c>
      <c r="C314" t="s">
        <v>369</v>
      </c>
      <c r="D314" t="str">
        <f>VLOOKUP(YouTube_University_Data_Final[[#This Row],[Title]],[1]!YouTube_University_Data_Final[[Title]:[Title_language]],2,FALSE)</f>
        <v>English</v>
      </c>
      <c r="E314" t="s">
        <v>2944</v>
      </c>
      <c r="F314">
        <v>27</v>
      </c>
      <c r="G314" s="1">
        <v>42467</v>
      </c>
      <c r="H314">
        <v>7616</v>
      </c>
      <c r="I314" t="s">
        <v>16</v>
      </c>
      <c r="J314">
        <v>212</v>
      </c>
      <c r="K314">
        <v>1</v>
      </c>
      <c r="L314">
        <v>0</v>
      </c>
      <c r="M314">
        <v>0</v>
      </c>
      <c r="N314" t="s">
        <v>87</v>
      </c>
      <c r="O314">
        <v>2016</v>
      </c>
      <c r="P314" t="s">
        <v>18</v>
      </c>
    </row>
    <row r="315" spans="1:16" x14ac:dyDescent="0.3">
      <c r="A315">
        <v>313</v>
      </c>
      <c r="B315" t="s">
        <v>14</v>
      </c>
      <c r="C315" t="s">
        <v>370</v>
      </c>
      <c r="D315" t="str">
        <f>VLOOKUP(YouTube_University_Data_Final[[#This Row],[Title]],[1]!YouTube_University_Data_Final[[Title]:[Title_language]],2,FALSE)</f>
        <v>English</v>
      </c>
      <c r="E315" t="s">
        <v>371</v>
      </c>
      <c r="F315">
        <v>27</v>
      </c>
      <c r="G315" s="1">
        <v>42460</v>
      </c>
      <c r="H315">
        <v>3835</v>
      </c>
      <c r="I315" t="s">
        <v>16</v>
      </c>
      <c r="J315">
        <v>172</v>
      </c>
      <c r="K315">
        <v>1</v>
      </c>
      <c r="L315">
        <v>0</v>
      </c>
      <c r="M315">
        <v>0</v>
      </c>
      <c r="N315" t="s">
        <v>90</v>
      </c>
      <c r="O315">
        <v>2016</v>
      </c>
      <c r="P315" t="s">
        <v>18</v>
      </c>
    </row>
    <row r="316" spans="1:16" x14ac:dyDescent="0.3">
      <c r="A316">
        <v>314</v>
      </c>
      <c r="B316" t="s">
        <v>14</v>
      </c>
      <c r="C316" t="s">
        <v>372</v>
      </c>
      <c r="D316" t="str">
        <f>VLOOKUP(YouTube_University_Data_Final[[#This Row],[Title]],[1]!YouTube_University_Data_Final[[Title]:[Title_language]],2,FALSE)</f>
        <v>English</v>
      </c>
      <c r="E316" t="s">
        <v>2944</v>
      </c>
      <c r="F316">
        <v>27</v>
      </c>
      <c r="G316" s="1">
        <v>42453</v>
      </c>
      <c r="H316">
        <v>33</v>
      </c>
      <c r="I316" t="s">
        <v>16</v>
      </c>
      <c r="J316">
        <v>138</v>
      </c>
      <c r="K316">
        <v>1</v>
      </c>
      <c r="L316">
        <v>0</v>
      </c>
      <c r="M316">
        <v>0</v>
      </c>
      <c r="N316" t="s">
        <v>90</v>
      </c>
      <c r="O316">
        <v>2016</v>
      </c>
      <c r="P316" t="s">
        <v>18</v>
      </c>
    </row>
    <row r="317" spans="1:16" x14ac:dyDescent="0.3">
      <c r="A317">
        <v>315</v>
      </c>
      <c r="B317" t="s">
        <v>14</v>
      </c>
      <c r="C317" t="s">
        <v>373</v>
      </c>
      <c r="D317" t="str">
        <f>VLOOKUP(YouTube_University_Data_Final[[#This Row],[Title]],[1]!YouTube_University_Data_Final[[Title]:[Title_language]],2,FALSE)</f>
        <v>English</v>
      </c>
      <c r="E317" t="s">
        <v>374</v>
      </c>
      <c r="F317">
        <v>27</v>
      </c>
      <c r="G317" s="1">
        <v>42447</v>
      </c>
      <c r="H317">
        <v>2297</v>
      </c>
      <c r="I317" t="s">
        <v>16</v>
      </c>
      <c r="J317">
        <v>318</v>
      </c>
      <c r="K317">
        <v>3</v>
      </c>
      <c r="L317">
        <v>0</v>
      </c>
      <c r="M317">
        <v>0</v>
      </c>
      <c r="N317" t="s">
        <v>90</v>
      </c>
      <c r="O317">
        <v>2016</v>
      </c>
      <c r="P317" t="s">
        <v>18</v>
      </c>
    </row>
    <row r="318" spans="1:16" x14ac:dyDescent="0.3">
      <c r="A318">
        <v>316</v>
      </c>
      <c r="B318" t="s">
        <v>14</v>
      </c>
      <c r="C318" t="s">
        <v>375</v>
      </c>
      <c r="D318" t="str">
        <f>VLOOKUP(YouTube_University_Data_Final[[#This Row],[Title]],[1]!YouTube_University_Data_Final[[Title]:[Title_language]],2,FALSE)</f>
        <v>English</v>
      </c>
      <c r="E318" t="s">
        <v>2944</v>
      </c>
      <c r="F318">
        <v>27</v>
      </c>
      <c r="G318" s="1">
        <v>42440</v>
      </c>
      <c r="H318">
        <v>19</v>
      </c>
      <c r="I318" t="s">
        <v>16</v>
      </c>
      <c r="J318">
        <v>147</v>
      </c>
      <c r="K318">
        <v>0</v>
      </c>
      <c r="L318">
        <v>0</v>
      </c>
      <c r="M318">
        <v>0</v>
      </c>
      <c r="N318" t="s">
        <v>90</v>
      </c>
      <c r="O318">
        <v>2016</v>
      </c>
      <c r="P318" t="s">
        <v>18</v>
      </c>
    </row>
    <row r="319" spans="1:16" x14ac:dyDescent="0.3">
      <c r="A319">
        <v>317</v>
      </c>
      <c r="B319" t="s">
        <v>14</v>
      </c>
      <c r="C319" t="s">
        <v>3040</v>
      </c>
      <c r="D319" t="str">
        <f>VLOOKUP(YouTube_University_Data_Final[[#This Row],[Title]],[1]!YouTube_University_Data_Final[[Title]:[Title_language]],2,FALSE)</f>
        <v>English</v>
      </c>
      <c r="E319" t="s">
        <v>2944</v>
      </c>
      <c r="F319">
        <v>27</v>
      </c>
      <c r="G319" s="1">
        <v>42436</v>
      </c>
      <c r="H319">
        <v>129</v>
      </c>
      <c r="I319" t="s">
        <v>16</v>
      </c>
      <c r="J319">
        <v>585</v>
      </c>
      <c r="K319">
        <v>0</v>
      </c>
      <c r="L319">
        <v>0</v>
      </c>
      <c r="M319">
        <v>0</v>
      </c>
      <c r="N319" t="s">
        <v>90</v>
      </c>
      <c r="O319">
        <v>2016</v>
      </c>
      <c r="P319" t="s">
        <v>18</v>
      </c>
    </row>
    <row r="320" spans="1:16" x14ac:dyDescent="0.3">
      <c r="A320">
        <v>318</v>
      </c>
      <c r="B320" t="s">
        <v>14</v>
      </c>
      <c r="C320" t="s">
        <v>3041</v>
      </c>
      <c r="D320" t="str">
        <f>VLOOKUP(YouTube_University_Data_Final[[#This Row],[Title]],[1]!YouTube_University_Data_Final[[Title]:[Title_language]],2,FALSE)</f>
        <v>English</v>
      </c>
      <c r="E320" t="s">
        <v>2944</v>
      </c>
      <c r="F320">
        <v>27</v>
      </c>
      <c r="G320" s="1">
        <v>42433</v>
      </c>
      <c r="H320">
        <v>78</v>
      </c>
      <c r="I320" t="s">
        <v>16</v>
      </c>
      <c r="J320">
        <v>800</v>
      </c>
      <c r="K320">
        <v>2</v>
      </c>
      <c r="L320">
        <v>0</v>
      </c>
      <c r="M320">
        <v>0</v>
      </c>
      <c r="N320" t="s">
        <v>90</v>
      </c>
      <c r="O320">
        <v>2016</v>
      </c>
      <c r="P320" t="s">
        <v>18</v>
      </c>
    </row>
    <row r="321" spans="1:16" x14ac:dyDescent="0.3">
      <c r="A321">
        <v>319</v>
      </c>
      <c r="B321" t="s">
        <v>14</v>
      </c>
      <c r="C321" t="s">
        <v>376</v>
      </c>
      <c r="D321" t="str">
        <f>VLOOKUP(YouTube_University_Data_Final[[#This Row],[Title]],[1]!YouTube_University_Data_Final[[Title]:[Title_language]],2,FALSE)</f>
        <v>English</v>
      </c>
      <c r="E321" t="s">
        <v>2944</v>
      </c>
      <c r="F321">
        <v>27</v>
      </c>
      <c r="G321" s="1">
        <v>42426</v>
      </c>
      <c r="H321">
        <v>168</v>
      </c>
      <c r="I321" t="s">
        <v>16</v>
      </c>
      <c r="J321">
        <v>2583</v>
      </c>
      <c r="K321">
        <v>11</v>
      </c>
      <c r="L321">
        <v>0</v>
      </c>
      <c r="M321">
        <v>1</v>
      </c>
      <c r="N321" t="s">
        <v>162</v>
      </c>
      <c r="O321">
        <v>2016</v>
      </c>
      <c r="P321" t="s">
        <v>18</v>
      </c>
    </row>
    <row r="322" spans="1:16" x14ac:dyDescent="0.3">
      <c r="A322">
        <v>320</v>
      </c>
      <c r="B322" t="s">
        <v>14</v>
      </c>
      <c r="C322" t="s">
        <v>377</v>
      </c>
      <c r="D322" t="str">
        <f>VLOOKUP(YouTube_University_Data_Final[[#This Row],[Title]],[1]!YouTube_University_Data_Final[[Title]:[Title_language]],2,FALSE)</f>
        <v>English</v>
      </c>
      <c r="E322" t="s">
        <v>378</v>
      </c>
      <c r="F322">
        <v>27</v>
      </c>
      <c r="G322" s="1">
        <v>42404</v>
      </c>
      <c r="H322">
        <v>3272</v>
      </c>
      <c r="I322" t="s">
        <v>16</v>
      </c>
      <c r="J322">
        <v>920</v>
      </c>
      <c r="K322">
        <v>8</v>
      </c>
      <c r="L322">
        <v>0</v>
      </c>
      <c r="M322">
        <v>1</v>
      </c>
      <c r="N322" t="s">
        <v>162</v>
      </c>
      <c r="O322">
        <v>2016</v>
      </c>
      <c r="P322" t="s">
        <v>18</v>
      </c>
    </row>
    <row r="323" spans="1:16" x14ac:dyDescent="0.3">
      <c r="A323">
        <v>321</v>
      </c>
      <c r="B323" t="s">
        <v>14</v>
      </c>
      <c r="C323" t="s">
        <v>3040</v>
      </c>
      <c r="D323" t="str">
        <f>VLOOKUP(YouTube_University_Data_Final[[#This Row],[Title]],[1]!YouTube_University_Data_Final[[Title]:[Title_language]],2,FALSE)</f>
        <v>English</v>
      </c>
      <c r="E323" t="s">
        <v>2944</v>
      </c>
      <c r="F323">
        <v>27</v>
      </c>
      <c r="G323" s="1">
        <v>42403</v>
      </c>
      <c r="H323">
        <v>129</v>
      </c>
      <c r="I323" t="s">
        <v>16</v>
      </c>
      <c r="J323">
        <v>312</v>
      </c>
      <c r="K323">
        <v>0</v>
      </c>
      <c r="L323">
        <v>0</v>
      </c>
      <c r="M323">
        <v>0</v>
      </c>
      <c r="N323" t="s">
        <v>162</v>
      </c>
      <c r="O323">
        <v>2016</v>
      </c>
      <c r="P323" t="s">
        <v>18</v>
      </c>
    </row>
    <row r="324" spans="1:16" x14ac:dyDescent="0.3">
      <c r="A324">
        <v>322</v>
      </c>
      <c r="B324" t="s">
        <v>14</v>
      </c>
      <c r="C324" t="s">
        <v>3042</v>
      </c>
      <c r="D324" t="str">
        <f>VLOOKUP(YouTube_University_Data_Final[[#This Row],[Title]],[1]!YouTube_University_Data_Final[[Title]:[Title_language]],2,FALSE)</f>
        <v>English</v>
      </c>
      <c r="E324" t="s">
        <v>2944</v>
      </c>
      <c r="F324">
        <v>27</v>
      </c>
      <c r="G324" s="1">
        <v>42402</v>
      </c>
      <c r="H324">
        <v>163</v>
      </c>
      <c r="I324" t="s">
        <v>16</v>
      </c>
      <c r="J324">
        <v>687</v>
      </c>
      <c r="K324">
        <v>3</v>
      </c>
      <c r="L324">
        <v>0</v>
      </c>
      <c r="M324">
        <v>0</v>
      </c>
      <c r="N324" t="s">
        <v>162</v>
      </c>
      <c r="O324">
        <v>2016</v>
      </c>
      <c r="P324" t="s">
        <v>18</v>
      </c>
    </row>
    <row r="325" spans="1:16" x14ac:dyDescent="0.3">
      <c r="A325">
        <v>323</v>
      </c>
      <c r="B325" t="s">
        <v>14</v>
      </c>
      <c r="C325" t="s">
        <v>3043</v>
      </c>
      <c r="D325" t="str">
        <f>VLOOKUP(YouTube_University_Data_Final[[#This Row],[Title]],[1]!YouTube_University_Data_Final[[Title]:[Title_language]],2,FALSE)</f>
        <v>English</v>
      </c>
      <c r="E325" t="s">
        <v>2944</v>
      </c>
      <c r="F325">
        <v>27</v>
      </c>
      <c r="G325" s="1">
        <v>42402</v>
      </c>
      <c r="H325">
        <v>99</v>
      </c>
      <c r="I325" t="s">
        <v>16</v>
      </c>
      <c r="J325">
        <v>1022</v>
      </c>
      <c r="K325">
        <v>11</v>
      </c>
      <c r="L325">
        <v>0</v>
      </c>
      <c r="M325">
        <v>0</v>
      </c>
      <c r="N325" t="s">
        <v>162</v>
      </c>
      <c r="O325">
        <v>2016</v>
      </c>
      <c r="P325" t="s">
        <v>18</v>
      </c>
    </row>
    <row r="326" spans="1:16" x14ac:dyDescent="0.3">
      <c r="A326">
        <v>324</v>
      </c>
      <c r="B326" t="s">
        <v>14</v>
      </c>
      <c r="C326" t="s">
        <v>3044</v>
      </c>
      <c r="D326" t="str">
        <f>VLOOKUP(YouTube_University_Data_Final[[#This Row],[Title]],[1]!YouTube_University_Data_Final[[Title]:[Title_language]],2,FALSE)</f>
        <v>English</v>
      </c>
      <c r="E326" t="s">
        <v>2944</v>
      </c>
      <c r="F326">
        <v>27</v>
      </c>
      <c r="G326" s="1">
        <v>42402</v>
      </c>
      <c r="H326">
        <v>74</v>
      </c>
      <c r="I326" t="s">
        <v>16</v>
      </c>
      <c r="J326">
        <v>281</v>
      </c>
      <c r="K326">
        <v>0</v>
      </c>
      <c r="L326">
        <v>0</v>
      </c>
      <c r="M326">
        <v>0</v>
      </c>
      <c r="N326" t="s">
        <v>162</v>
      </c>
      <c r="O326">
        <v>2016</v>
      </c>
      <c r="P326" t="s">
        <v>18</v>
      </c>
    </row>
    <row r="327" spans="1:16" x14ac:dyDescent="0.3">
      <c r="A327">
        <v>325</v>
      </c>
      <c r="B327" t="s">
        <v>14</v>
      </c>
      <c r="C327" t="s">
        <v>3045</v>
      </c>
      <c r="D327" t="str">
        <f>VLOOKUP(YouTube_University_Data_Final[[#This Row],[Title]],[1]!YouTube_University_Data_Final[[Title]:[Title_language]],2,FALSE)</f>
        <v>English</v>
      </c>
      <c r="E327" t="s">
        <v>2944</v>
      </c>
      <c r="F327">
        <v>27</v>
      </c>
      <c r="G327" s="1">
        <v>42402</v>
      </c>
      <c r="H327">
        <v>78</v>
      </c>
      <c r="I327" t="s">
        <v>16</v>
      </c>
      <c r="J327">
        <v>1468</v>
      </c>
      <c r="K327">
        <v>3</v>
      </c>
      <c r="L327">
        <v>0</v>
      </c>
      <c r="M327">
        <v>0</v>
      </c>
      <c r="N327" t="s">
        <v>162</v>
      </c>
      <c r="O327">
        <v>2016</v>
      </c>
      <c r="P327" t="s">
        <v>18</v>
      </c>
    </row>
    <row r="328" spans="1:16" x14ac:dyDescent="0.3">
      <c r="A328">
        <v>326</v>
      </c>
      <c r="B328" t="s">
        <v>14</v>
      </c>
      <c r="C328" t="s">
        <v>3046</v>
      </c>
      <c r="D328" t="str">
        <f>VLOOKUP(YouTube_University_Data_Final[[#This Row],[Title]],[1]!YouTube_University_Data_Final[[Title]:[Title_language]],2,FALSE)</f>
        <v>English</v>
      </c>
      <c r="E328" t="s">
        <v>2944</v>
      </c>
      <c r="F328">
        <v>27</v>
      </c>
      <c r="G328" s="1">
        <v>42401</v>
      </c>
      <c r="H328">
        <v>80</v>
      </c>
      <c r="I328" t="s">
        <v>16</v>
      </c>
      <c r="J328">
        <v>375</v>
      </c>
      <c r="K328">
        <v>0</v>
      </c>
      <c r="L328">
        <v>0</v>
      </c>
      <c r="M328">
        <v>0</v>
      </c>
      <c r="N328" t="s">
        <v>162</v>
      </c>
      <c r="O328">
        <v>2016</v>
      </c>
      <c r="P328" t="s">
        <v>18</v>
      </c>
    </row>
    <row r="329" spans="1:16" x14ac:dyDescent="0.3">
      <c r="A329">
        <v>327</v>
      </c>
      <c r="B329" t="s">
        <v>14</v>
      </c>
      <c r="C329" t="s">
        <v>3047</v>
      </c>
      <c r="D329" t="str">
        <f>VLOOKUP(YouTube_University_Data_Final[[#This Row],[Title]],[1]!YouTube_University_Data_Final[[Title]:[Title_language]],2,FALSE)</f>
        <v>English</v>
      </c>
      <c r="E329" t="s">
        <v>2944</v>
      </c>
      <c r="F329">
        <v>27</v>
      </c>
      <c r="G329" s="1">
        <v>42401</v>
      </c>
      <c r="H329">
        <v>78</v>
      </c>
      <c r="I329" t="s">
        <v>16</v>
      </c>
      <c r="J329">
        <v>783</v>
      </c>
      <c r="K329">
        <v>4</v>
      </c>
      <c r="L329">
        <v>0</v>
      </c>
      <c r="M329">
        <v>0</v>
      </c>
      <c r="N329" t="s">
        <v>162</v>
      </c>
      <c r="O329">
        <v>2016</v>
      </c>
      <c r="P329" t="s">
        <v>18</v>
      </c>
    </row>
    <row r="330" spans="1:16" x14ac:dyDescent="0.3">
      <c r="A330">
        <v>328</v>
      </c>
      <c r="B330" t="s">
        <v>14</v>
      </c>
      <c r="C330" t="s">
        <v>379</v>
      </c>
      <c r="D330" t="str">
        <f>VLOOKUP(YouTube_University_Data_Final[[#This Row],[Title]],[1]!YouTube_University_Data_Final[[Title]:[Title_language]],2,FALSE)</f>
        <v>English</v>
      </c>
      <c r="E330" t="s">
        <v>2944</v>
      </c>
      <c r="F330">
        <v>27</v>
      </c>
      <c r="G330" s="1">
        <v>42400</v>
      </c>
      <c r="H330">
        <v>50</v>
      </c>
      <c r="I330" t="s">
        <v>16</v>
      </c>
      <c r="J330">
        <v>627</v>
      </c>
      <c r="K330">
        <v>4</v>
      </c>
      <c r="L330">
        <v>0</v>
      </c>
      <c r="M330">
        <v>0</v>
      </c>
      <c r="N330" t="s">
        <v>93</v>
      </c>
      <c r="O330">
        <v>2016</v>
      </c>
      <c r="P330" t="s">
        <v>18</v>
      </c>
    </row>
    <row r="331" spans="1:16" x14ac:dyDescent="0.3">
      <c r="A331">
        <v>329</v>
      </c>
      <c r="B331" t="s">
        <v>14</v>
      </c>
      <c r="C331" t="s">
        <v>3048</v>
      </c>
      <c r="D331" t="str">
        <f>VLOOKUP(YouTube_University_Data_Final[[#This Row],[Title]],[1]!YouTube_University_Data_Final[[Title]:[Title_language]],2,FALSE)</f>
        <v>English</v>
      </c>
      <c r="E331" t="s">
        <v>2944</v>
      </c>
      <c r="F331">
        <v>27</v>
      </c>
      <c r="G331" s="1">
        <v>42399</v>
      </c>
      <c r="H331">
        <v>70</v>
      </c>
      <c r="I331" t="s">
        <v>16</v>
      </c>
      <c r="J331">
        <v>420</v>
      </c>
      <c r="K331">
        <v>1</v>
      </c>
      <c r="L331">
        <v>0</v>
      </c>
      <c r="M331">
        <v>0</v>
      </c>
      <c r="N331" t="s">
        <v>93</v>
      </c>
      <c r="O331">
        <v>2016</v>
      </c>
      <c r="P331" t="s">
        <v>18</v>
      </c>
    </row>
    <row r="332" spans="1:16" x14ac:dyDescent="0.3">
      <c r="A332">
        <v>330</v>
      </c>
      <c r="B332" t="s">
        <v>14</v>
      </c>
      <c r="C332" t="s">
        <v>3049</v>
      </c>
      <c r="D332" t="str">
        <f>VLOOKUP(YouTube_University_Data_Final[[#This Row],[Title]],[1]!YouTube_University_Data_Final[[Title]:[Title_language]],2,FALSE)</f>
        <v>English</v>
      </c>
      <c r="E332" t="s">
        <v>2944</v>
      </c>
      <c r="F332">
        <v>27</v>
      </c>
      <c r="G332" s="1">
        <v>42399</v>
      </c>
      <c r="H332">
        <v>76</v>
      </c>
      <c r="I332" t="s">
        <v>16</v>
      </c>
      <c r="J332">
        <v>544</v>
      </c>
      <c r="K332">
        <v>0</v>
      </c>
      <c r="L332">
        <v>0</v>
      </c>
      <c r="M332">
        <v>0</v>
      </c>
      <c r="N332" t="s">
        <v>93</v>
      </c>
      <c r="O332">
        <v>2016</v>
      </c>
      <c r="P332" t="s">
        <v>18</v>
      </c>
    </row>
    <row r="333" spans="1:16" x14ac:dyDescent="0.3">
      <c r="A333">
        <v>331</v>
      </c>
      <c r="B333" t="s">
        <v>14</v>
      </c>
      <c r="C333" t="s">
        <v>3050</v>
      </c>
      <c r="D333" t="str">
        <f>VLOOKUP(YouTube_University_Data_Final[[#This Row],[Title]],[1]!YouTube_University_Data_Final[[Title]:[Title_language]],2,FALSE)</f>
        <v>English</v>
      </c>
      <c r="E333" t="s">
        <v>2944</v>
      </c>
      <c r="F333">
        <v>27</v>
      </c>
      <c r="G333" s="1">
        <v>42399</v>
      </c>
      <c r="H333">
        <v>81</v>
      </c>
      <c r="I333" t="s">
        <v>16</v>
      </c>
      <c r="J333">
        <v>3569</v>
      </c>
      <c r="K333">
        <v>2</v>
      </c>
      <c r="L333">
        <v>0</v>
      </c>
      <c r="M333">
        <v>0</v>
      </c>
      <c r="N333" t="s">
        <v>93</v>
      </c>
      <c r="O333">
        <v>2016</v>
      </c>
      <c r="P333" t="s">
        <v>18</v>
      </c>
    </row>
    <row r="334" spans="1:16" x14ac:dyDescent="0.3">
      <c r="A334">
        <v>332</v>
      </c>
      <c r="B334" t="s">
        <v>14</v>
      </c>
      <c r="C334" t="s">
        <v>380</v>
      </c>
      <c r="D334" t="str">
        <f>VLOOKUP(YouTube_University_Data_Final[[#This Row],[Title]],[1]!YouTube_University_Data_Final[[Title]:[Title_language]],2,FALSE)</f>
        <v>English</v>
      </c>
      <c r="E334" t="s">
        <v>2944</v>
      </c>
      <c r="F334">
        <v>27</v>
      </c>
      <c r="G334" s="1">
        <v>42396</v>
      </c>
      <c r="H334">
        <v>31</v>
      </c>
      <c r="I334" t="s">
        <v>16</v>
      </c>
      <c r="J334">
        <v>49</v>
      </c>
      <c r="K334">
        <v>0</v>
      </c>
      <c r="L334">
        <v>0</v>
      </c>
      <c r="M334">
        <v>0</v>
      </c>
      <c r="N334" t="s">
        <v>93</v>
      </c>
      <c r="O334">
        <v>2016</v>
      </c>
      <c r="P334" t="s">
        <v>18</v>
      </c>
    </row>
    <row r="335" spans="1:16" x14ac:dyDescent="0.3">
      <c r="A335">
        <v>333</v>
      </c>
      <c r="B335" t="s">
        <v>14</v>
      </c>
      <c r="C335" t="s">
        <v>381</v>
      </c>
      <c r="D335" t="str">
        <f>VLOOKUP(YouTube_University_Data_Final[[#This Row],[Title]],[1]!YouTube_University_Data_Final[[Title]:[Title_language]],2,FALSE)</f>
        <v>English</v>
      </c>
      <c r="E335" t="s">
        <v>2944</v>
      </c>
      <c r="F335">
        <v>27</v>
      </c>
      <c r="G335" s="1">
        <v>42391</v>
      </c>
      <c r="H335">
        <v>145</v>
      </c>
      <c r="I335" t="s">
        <v>16</v>
      </c>
      <c r="J335">
        <v>1513</v>
      </c>
      <c r="K335">
        <v>12</v>
      </c>
      <c r="L335">
        <v>0</v>
      </c>
      <c r="M335">
        <v>0</v>
      </c>
      <c r="N335" t="s">
        <v>93</v>
      </c>
      <c r="O335">
        <v>2016</v>
      </c>
      <c r="P335" t="s">
        <v>18</v>
      </c>
    </row>
    <row r="336" spans="1:16" x14ac:dyDescent="0.3">
      <c r="A336">
        <v>334</v>
      </c>
      <c r="B336" t="s">
        <v>14</v>
      </c>
      <c r="C336" t="s">
        <v>3051</v>
      </c>
      <c r="D336" t="str">
        <f>VLOOKUP(YouTube_University_Data_Final[[#This Row],[Title]],[1]!YouTube_University_Data_Final[[Title]:[Title_language]],2,FALSE)</f>
        <v>English</v>
      </c>
      <c r="E336" t="s">
        <v>382</v>
      </c>
      <c r="F336">
        <v>27</v>
      </c>
      <c r="G336" s="1">
        <v>42345</v>
      </c>
      <c r="H336">
        <v>1917</v>
      </c>
      <c r="I336" t="s">
        <v>16</v>
      </c>
      <c r="J336">
        <v>475</v>
      </c>
      <c r="K336">
        <v>4</v>
      </c>
      <c r="L336">
        <v>0</v>
      </c>
      <c r="M336">
        <v>0</v>
      </c>
      <c r="N336" t="s">
        <v>98</v>
      </c>
      <c r="O336">
        <v>2015</v>
      </c>
      <c r="P336" t="s">
        <v>18</v>
      </c>
    </row>
    <row r="337" spans="1:16" x14ac:dyDescent="0.3">
      <c r="A337">
        <v>335</v>
      </c>
      <c r="B337" t="s">
        <v>14</v>
      </c>
      <c r="C337" t="s">
        <v>383</v>
      </c>
      <c r="D337" t="str">
        <f>VLOOKUP(YouTube_University_Data_Final[[#This Row],[Title]],[1]!YouTube_University_Data_Final[[Title]:[Title_language]],2,FALSE)</f>
        <v>English</v>
      </c>
      <c r="E337" t="s">
        <v>384</v>
      </c>
      <c r="F337">
        <v>27</v>
      </c>
      <c r="G337" s="1">
        <v>42345</v>
      </c>
      <c r="H337">
        <v>3812</v>
      </c>
      <c r="I337" t="s">
        <v>16</v>
      </c>
      <c r="J337">
        <v>2630</v>
      </c>
      <c r="K337">
        <v>21</v>
      </c>
      <c r="L337">
        <v>0</v>
      </c>
      <c r="M337">
        <v>1</v>
      </c>
      <c r="N337" t="s">
        <v>98</v>
      </c>
      <c r="O337">
        <v>2015</v>
      </c>
      <c r="P337" t="s">
        <v>18</v>
      </c>
    </row>
    <row r="338" spans="1:16" x14ac:dyDescent="0.3">
      <c r="A338">
        <v>336</v>
      </c>
      <c r="B338" t="s">
        <v>14</v>
      </c>
      <c r="C338" t="s">
        <v>385</v>
      </c>
      <c r="D338" t="str">
        <f>VLOOKUP(YouTube_University_Data_Final[[#This Row],[Title]],[1]!YouTube_University_Data_Final[[Title]:[Title_language]],2,FALSE)</f>
        <v>English</v>
      </c>
      <c r="E338" t="s">
        <v>386</v>
      </c>
      <c r="F338">
        <v>27</v>
      </c>
      <c r="G338" s="1">
        <v>42327</v>
      </c>
      <c r="H338">
        <v>3374</v>
      </c>
      <c r="I338" t="s">
        <v>16</v>
      </c>
      <c r="J338">
        <v>128</v>
      </c>
      <c r="K338">
        <v>0</v>
      </c>
      <c r="L338">
        <v>0</v>
      </c>
      <c r="M338">
        <v>0</v>
      </c>
      <c r="N338" t="s">
        <v>101</v>
      </c>
      <c r="O338">
        <v>2015</v>
      </c>
      <c r="P338" t="s">
        <v>18</v>
      </c>
    </row>
    <row r="339" spans="1:16" x14ac:dyDescent="0.3">
      <c r="A339">
        <v>337</v>
      </c>
      <c r="B339" t="s">
        <v>14</v>
      </c>
      <c r="C339" t="s">
        <v>387</v>
      </c>
      <c r="D339" t="str">
        <f>VLOOKUP(YouTube_University_Data_Final[[#This Row],[Title]],[1]!YouTube_University_Data_Final[[Title]:[Title_language]],2,FALSE)</f>
        <v>English</v>
      </c>
      <c r="E339" t="s">
        <v>2944</v>
      </c>
      <c r="F339">
        <v>27</v>
      </c>
      <c r="G339" s="1">
        <v>42320</v>
      </c>
      <c r="H339">
        <v>185</v>
      </c>
      <c r="I339" t="s">
        <v>16</v>
      </c>
      <c r="J339">
        <v>1304</v>
      </c>
      <c r="K339">
        <v>4</v>
      </c>
      <c r="L339">
        <v>0</v>
      </c>
      <c r="M339">
        <v>0</v>
      </c>
      <c r="N339" t="s">
        <v>101</v>
      </c>
      <c r="O339">
        <v>2015</v>
      </c>
      <c r="P339" t="s">
        <v>18</v>
      </c>
    </row>
    <row r="340" spans="1:16" x14ac:dyDescent="0.3">
      <c r="A340">
        <v>338</v>
      </c>
      <c r="B340" t="s">
        <v>14</v>
      </c>
      <c r="C340" t="s">
        <v>388</v>
      </c>
      <c r="D340" t="str">
        <f>VLOOKUP(YouTube_University_Data_Final[[#This Row],[Title]],[1]!YouTube_University_Data_Final[[Title]:[Title_language]],2,FALSE)</f>
        <v>English</v>
      </c>
      <c r="E340" t="s">
        <v>2944</v>
      </c>
      <c r="F340">
        <v>27</v>
      </c>
      <c r="G340" s="1">
        <v>42320</v>
      </c>
      <c r="H340">
        <v>243</v>
      </c>
      <c r="I340" t="s">
        <v>16</v>
      </c>
      <c r="J340">
        <v>676</v>
      </c>
      <c r="K340">
        <v>3</v>
      </c>
      <c r="L340">
        <v>0</v>
      </c>
      <c r="M340">
        <v>0</v>
      </c>
      <c r="N340" t="s">
        <v>101</v>
      </c>
      <c r="O340">
        <v>2015</v>
      </c>
      <c r="P340" t="s">
        <v>18</v>
      </c>
    </row>
    <row r="341" spans="1:16" x14ac:dyDescent="0.3">
      <c r="A341">
        <v>339</v>
      </c>
      <c r="B341" t="s">
        <v>14</v>
      </c>
      <c r="C341" t="s">
        <v>389</v>
      </c>
      <c r="D341" t="str">
        <f>VLOOKUP(YouTube_University_Data_Final[[#This Row],[Title]],[1]!YouTube_University_Data_Final[[Title]:[Title_language]],2,FALSE)</f>
        <v>English</v>
      </c>
      <c r="E341" t="s">
        <v>2944</v>
      </c>
      <c r="F341">
        <v>27</v>
      </c>
      <c r="G341" s="1">
        <v>42320</v>
      </c>
      <c r="H341">
        <v>202</v>
      </c>
      <c r="I341" t="s">
        <v>16</v>
      </c>
      <c r="J341">
        <v>371</v>
      </c>
      <c r="K341">
        <v>1</v>
      </c>
      <c r="L341">
        <v>0</v>
      </c>
      <c r="M341">
        <v>0</v>
      </c>
      <c r="N341" t="s">
        <v>101</v>
      </c>
      <c r="O341">
        <v>2015</v>
      </c>
      <c r="P341" t="s">
        <v>18</v>
      </c>
    </row>
    <row r="342" spans="1:16" x14ac:dyDescent="0.3">
      <c r="A342">
        <v>340</v>
      </c>
      <c r="B342" t="s">
        <v>14</v>
      </c>
      <c r="C342" t="s">
        <v>390</v>
      </c>
      <c r="D342" t="str">
        <f>VLOOKUP(YouTube_University_Data_Final[[#This Row],[Title]],[1]!YouTube_University_Data_Final[[Title]:[Title_language]],2,FALSE)</f>
        <v>English</v>
      </c>
      <c r="E342" t="s">
        <v>2944</v>
      </c>
      <c r="F342">
        <v>27</v>
      </c>
      <c r="G342" s="1">
        <v>42320</v>
      </c>
      <c r="H342">
        <v>204</v>
      </c>
      <c r="I342" t="s">
        <v>16</v>
      </c>
      <c r="J342">
        <v>435</v>
      </c>
      <c r="K342">
        <v>1</v>
      </c>
      <c r="L342">
        <v>0</v>
      </c>
      <c r="M342">
        <v>0</v>
      </c>
      <c r="N342" t="s">
        <v>101</v>
      </c>
      <c r="O342">
        <v>2015</v>
      </c>
      <c r="P342" t="s">
        <v>18</v>
      </c>
    </row>
    <row r="343" spans="1:16" x14ac:dyDescent="0.3">
      <c r="A343">
        <v>341</v>
      </c>
      <c r="B343" t="s">
        <v>14</v>
      </c>
      <c r="C343" t="s">
        <v>391</v>
      </c>
      <c r="D343" t="str">
        <f>VLOOKUP(YouTube_University_Data_Final[[#This Row],[Title]],[1]!YouTube_University_Data_Final[[Title]:[Title_language]],2,FALSE)</f>
        <v>English</v>
      </c>
      <c r="E343" t="s">
        <v>2944</v>
      </c>
      <c r="F343">
        <v>27</v>
      </c>
      <c r="G343" s="1">
        <v>42320</v>
      </c>
      <c r="H343">
        <v>147</v>
      </c>
      <c r="I343" t="s">
        <v>16</v>
      </c>
      <c r="J343">
        <v>503</v>
      </c>
      <c r="K343">
        <v>1</v>
      </c>
      <c r="L343">
        <v>0</v>
      </c>
      <c r="M343">
        <v>0</v>
      </c>
      <c r="N343" t="s">
        <v>101</v>
      </c>
      <c r="O343">
        <v>2015</v>
      </c>
      <c r="P343" t="s">
        <v>18</v>
      </c>
    </row>
    <row r="344" spans="1:16" x14ac:dyDescent="0.3">
      <c r="A344">
        <v>342</v>
      </c>
      <c r="B344" t="s">
        <v>14</v>
      </c>
      <c r="C344" t="s">
        <v>392</v>
      </c>
      <c r="D344" t="str">
        <f>VLOOKUP(YouTube_University_Data_Final[[#This Row],[Title]],[1]!YouTube_University_Data_Final[[Title]:[Title_language]],2,FALSE)</f>
        <v>English</v>
      </c>
      <c r="E344" t="s">
        <v>2944</v>
      </c>
      <c r="F344">
        <v>27</v>
      </c>
      <c r="G344" s="1">
        <v>42320</v>
      </c>
      <c r="H344">
        <v>128</v>
      </c>
      <c r="I344" t="s">
        <v>16</v>
      </c>
      <c r="J344">
        <v>606</v>
      </c>
      <c r="K344">
        <v>4</v>
      </c>
      <c r="L344">
        <v>0</v>
      </c>
      <c r="M344">
        <v>0</v>
      </c>
      <c r="N344" t="s">
        <v>101</v>
      </c>
      <c r="O344">
        <v>2015</v>
      </c>
      <c r="P344" t="s">
        <v>18</v>
      </c>
    </row>
    <row r="345" spans="1:16" x14ac:dyDescent="0.3">
      <c r="A345">
        <v>343</v>
      </c>
      <c r="B345" t="s">
        <v>14</v>
      </c>
      <c r="C345" t="s">
        <v>393</v>
      </c>
      <c r="D345" t="str">
        <f>VLOOKUP(YouTube_University_Data_Final[[#This Row],[Title]],[1]!YouTube_University_Data_Final[[Title]:[Title_language]],2,FALSE)</f>
        <v>English</v>
      </c>
      <c r="E345" t="s">
        <v>2944</v>
      </c>
      <c r="F345">
        <v>27</v>
      </c>
      <c r="G345" s="1">
        <v>42319</v>
      </c>
      <c r="H345">
        <v>312</v>
      </c>
      <c r="I345" t="s">
        <v>16</v>
      </c>
      <c r="J345">
        <v>604</v>
      </c>
      <c r="K345">
        <v>2</v>
      </c>
      <c r="L345">
        <v>0</v>
      </c>
      <c r="M345">
        <v>0</v>
      </c>
      <c r="N345" t="s">
        <v>101</v>
      </c>
      <c r="O345">
        <v>2015</v>
      </c>
      <c r="P345" t="s">
        <v>18</v>
      </c>
    </row>
    <row r="346" spans="1:16" x14ac:dyDescent="0.3">
      <c r="A346">
        <v>344</v>
      </c>
      <c r="B346" t="s">
        <v>14</v>
      </c>
      <c r="C346" t="s">
        <v>394</v>
      </c>
      <c r="D346" t="str">
        <f>VLOOKUP(YouTube_University_Data_Final[[#This Row],[Title]],[1]!YouTube_University_Data_Final[[Title]:[Title_language]],2,FALSE)</f>
        <v>English</v>
      </c>
      <c r="E346" t="s">
        <v>395</v>
      </c>
      <c r="F346">
        <v>27</v>
      </c>
      <c r="G346" s="1">
        <v>42319</v>
      </c>
      <c r="H346">
        <v>4013</v>
      </c>
      <c r="I346" t="s">
        <v>16</v>
      </c>
      <c r="J346">
        <v>233</v>
      </c>
      <c r="K346">
        <v>2</v>
      </c>
      <c r="L346">
        <v>0</v>
      </c>
      <c r="M346">
        <v>0</v>
      </c>
      <c r="N346" t="s">
        <v>101</v>
      </c>
      <c r="O346">
        <v>2015</v>
      </c>
      <c r="P346" t="s">
        <v>18</v>
      </c>
    </row>
    <row r="347" spans="1:16" x14ac:dyDescent="0.3">
      <c r="A347">
        <v>345</v>
      </c>
      <c r="B347" t="s">
        <v>14</v>
      </c>
      <c r="C347" t="s">
        <v>396</v>
      </c>
      <c r="D347" t="str">
        <f>VLOOKUP(YouTube_University_Data_Final[[#This Row],[Title]],[1]!YouTube_University_Data_Final[[Title]:[Title_language]],2,FALSE)</f>
        <v>English</v>
      </c>
      <c r="E347" t="s">
        <v>2944</v>
      </c>
      <c r="F347">
        <v>27</v>
      </c>
      <c r="G347" s="1">
        <v>42313</v>
      </c>
      <c r="H347">
        <v>16</v>
      </c>
      <c r="I347" t="s">
        <v>16</v>
      </c>
      <c r="J347">
        <v>317</v>
      </c>
      <c r="K347">
        <v>2</v>
      </c>
      <c r="L347">
        <v>0</v>
      </c>
      <c r="M347">
        <v>0</v>
      </c>
      <c r="N347" t="s">
        <v>101</v>
      </c>
      <c r="O347">
        <v>2015</v>
      </c>
      <c r="P347" t="s">
        <v>18</v>
      </c>
    </row>
    <row r="348" spans="1:16" x14ac:dyDescent="0.3">
      <c r="A348">
        <v>346</v>
      </c>
      <c r="B348" t="s">
        <v>14</v>
      </c>
      <c r="C348" t="s">
        <v>397</v>
      </c>
      <c r="D348" t="str">
        <f>VLOOKUP(YouTube_University_Data_Final[[#This Row],[Title]],[1]!YouTube_University_Data_Final[[Title]:[Title_language]],2,FALSE)</f>
        <v>English</v>
      </c>
      <c r="E348" t="s">
        <v>2944</v>
      </c>
      <c r="F348">
        <v>27</v>
      </c>
      <c r="G348" s="1">
        <v>42311</v>
      </c>
      <c r="H348">
        <v>2580</v>
      </c>
      <c r="I348" t="s">
        <v>16</v>
      </c>
      <c r="J348">
        <v>435</v>
      </c>
      <c r="K348">
        <v>8</v>
      </c>
      <c r="L348">
        <v>0</v>
      </c>
      <c r="M348">
        <v>0</v>
      </c>
      <c r="N348" t="s">
        <v>101</v>
      </c>
      <c r="O348">
        <v>2015</v>
      </c>
      <c r="P348" t="s">
        <v>18</v>
      </c>
    </row>
    <row r="349" spans="1:16" x14ac:dyDescent="0.3">
      <c r="A349">
        <v>347</v>
      </c>
      <c r="B349" t="s">
        <v>14</v>
      </c>
      <c r="C349" t="s">
        <v>398</v>
      </c>
      <c r="D349" t="str">
        <f>VLOOKUP(YouTube_University_Data_Final[[#This Row],[Title]],[1]!YouTube_University_Data_Final[[Title]:[Title_language]],2,FALSE)</f>
        <v>English</v>
      </c>
      <c r="E349" t="s">
        <v>399</v>
      </c>
      <c r="F349">
        <v>27</v>
      </c>
      <c r="G349" s="1">
        <v>42306</v>
      </c>
      <c r="H349">
        <v>1755</v>
      </c>
      <c r="I349" t="s">
        <v>16</v>
      </c>
      <c r="J349">
        <v>220</v>
      </c>
      <c r="K349">
        <v>1</v>
      </c>
      <c r="L349">
        <v>0</v>
      </c>
      <c r="M349">
        <v>0</v>
      </c>
      <c r="N349" t="s">
        <v>17</v>
      </c>
      <c r="O349">
        <v>2015</v>
      </c>
      <c r="P349" t="s">
        <v>18</v>
      </c>
    </row>
    <row r="350" spans="1:16" x14ac:dyDescent="0.3">
      <c r="A350">
        <v>348</v>
      </c>
      <c r="B350" t="s">
        <v>14</v>
      </c>
      <c r="C350" t="s">
        <v>400</v>
      </c>
      <c r="D350" t="str">
        <f>VLOOKUP(YouTube_University_Data_Final[[#This Row],[Title]],[1]!YouTube_University_Data_Final[[Title]:[Title_language]],2,FALSE)</f>
        <v>English</v>
      </c>
      <c r="E350" t="s">
        <v>401</v>
      </c>
      <c r="F350">
        <v>27</v>
      </c>
      <c r="G350" s="1">
        <v>42306</v>
      </c>
      <c r="H350">
        <v>3343</v>
      </c>
      <c r="I350" t="s">
        <v>16</v>
      </c>
      <c r="J350">
        <v>580</v>
      </c>
      <c r="K350">
        <v>3</v>
      </c>
      <c r="L350">
        <v>0</v>
      </c>
      <c r="M350">
        <v>0</v>
      </c>
      <c r="N350" t="s">
        <v>17</v>
      </c>
      <c r="O350">
        <v>2015</v>
      </c>
      <c r="P350" t="s">
        <v>18</v>
      </c>
    </row>
    <row r="351" spans="1:16" x14ac:dyDescent="0.3">
      <c r="A351">
        <v>349</v>
      </c>
      <c r="B351" t="s">
        <v>14</v>
      </c>
      <c r="C351" t="s">
        <v>402</v>
      </c>
      <c r="D351" t="str">
        <f>VLOOKUP(YouTube_University_Data_Final[[#This Row],[Title]],[1]!YouTube_University_Data_Final[[Title]:[Title_language]],2,FALSE)</f>
        <v>English</v>
      </c>
      <c r="E351" t="s">
        <v>2944</v>
      </c>
      <c r="F351">
        <v>27</v>
      </c>
      <c r="G351" s="1">
        <v>42306</v>
      </c>
      <c r="H351">
        <v>26</v>
      </c>
      <c r="I351" t="s">
        <v>16</v>
      </c>
      <c r="J351">
        <v>165</v>
      </c>
      <c r="K351">
        <v>0</v>
      </c>
      <c r="L351">
        <v>0</v>
      </c>
      <c r="M351">
        <v>0</v>
      </c>
      <c r="N351" t="s">
        <v>17</v>
      </c>
      <c r="O351">
        <v>2015</v>
      </c>
      <c r="P351" t="s">
        <v>18</v>
      </c>
    </row>
    <row r="352" spans="1:16" x14ac:dyDescent="0.3">
      <c r="A352">
        <v>350</v>
      </c>
      <c r="B352" t="s">
        <v>14</v>
      </c>
      <c r="C352" t="s">
        <v>403</v>
      </c>
      <c r="D352" t="str">
        <f>VLOOKUP(YouTube_University_Data_Final[[#This Row],[Title]],[1]!YouTube_University_Data_Final[[Title]:[Title_language]],2,FALSE)</f>
        <v>English</v>
      </c>
      <c r="E352" t="s">
        <v>2944</v>
      </c>
      <c r="F352">
        <v>27</v>
      </c>
      <c r="G352" s="1">
        <v>42306</v>
      </c>
      <c r="H352">
        <v>37</v>
      </c>
      <c r="I352" t="s">
        <v>16</v>
      </c>
      <c r="J352">
        <v>166</v>
      </c>
      <c r="K352">
        <v>0</v>
      </c>
      <c r="L352">
        <v>0</v>
      </c>
      <c r="M352">
        <v>0</v>
      </c>
      <c r="N352" t="s">
        <v>17</v>
      </c>
      <c r="O352">
        <v>2015</v>
      </c>
      <c r="P352" t="s">
        <v>18</v>
      </c>
    </row>
    <row r="353" spans="1:16" x14ac:dyDescent="0.3">
      <c r="A353">
        <v>351</v>
      </c>
      <c r="B353" t="s">
        <v>14</v>
      </c>
      <c r="C353" t="s">
        <v>404</v>
      </c>
      <c r="D353" t="str">
        <f>VLOOKUP(YouTube_University_Data_Final[[#This Row],[Title]],[1]!YouTube_University_Data_Final[[Title]:[Title_language]],2,FALSE)</f>
        <v>English</v>
      </c>
      <c r="E353" t="s">
        <v>2944</v>
      </c>
      <c r="F353">
        <v>27</v>
      </c>
      <c r="G353" s="1">
        <v>42306</v>
      </c>
      <c r="H353">
        <v>22</v>
      </c>
      <c r="I353" t="s">
        <v>16</v>
      </c>
      <c r="J353">
        <v>362</v>
      </c>
      <c r="K353">
        <v>1</v>
      </c>
      <c r="L353">
        <v>0</v>
      </c>
      <c r="M353">
        <v>0</v>
      </c>
      <c r="N353" t="s">
        <v>17</v>
      </c>
      <c r="O353">
        <v>2015</v>
      </c>
      <c r="P353" t="s">
        <v>18</v>
      </c>
    </row>
    <row r="354" spans="1:16" x14ac:dyDescent="0.3">
      <c r="A354">
        <v>352</v>
      </c>
      <c r="B354" t="s">
        <v>14</v>
      </c>
      <c r="C354" t="s">
        <v>405</v>
      </c>
      <c r="D354" t="str">
        <f>VLOOKUP(YouTube_University_Data_Final[[#This Row],[Title]],[1]!YouTube_University_Data_Final[[Title]:[Title_language]],2,FALSE)</f>
        <v>English</v>
      </c>
      <c r="E354" t="s">
        <v>2944</v>
      </c>
      <c r="F354">
        <v>27</v>
      </c>
      <c r="G354" s="1">
        <v>42306</v>
      </c>
      <c r="H354">
        <v>29</v>
      </c>
      <c r="I354" t="s">
        <v>16</v>
      </c>
      <c r="J354">
        <v>111</v>
      </c>
      <c r="K354">
        <v>0</v>
      </c>
      <c r="L354">
        <v>0</v>
      </c>
      <c r="M354">
        <v>0</v>
      </c>
      <c r="N354" t="s">
        <v>17</v>
      </c>
      <c r="O354">
        <v>2015</v>
      </c>
      <c r="P354" t="s">
        <v>18</v>
      </c>
    </row>
    <row r="355" spans="1:16" x14ac:dyDescent="0.3">
      <c r="A355">
        <v>353</v>
      </c>
      <c r="B355" t="s">
        <v>14</v>
      </c>
      <c r="C355" t="s">
        <v>406</v>
      </c>
      <c r="D355" t="str">
        <f>VLOOKUP(YouTube_University_Data_Final[[#This Row],[Title]],[1]!YouTube_University_Data_Final[[Title]:[Title_language]],2,FALSE)</f>
        <v>English</v>
      </c>
      <c r="E355" t="s">
        <v>2944</v>
      </c>
      <c r="F355">
        <v>27</v>
      </c>
      <c r="G355" s="1">
        <v>42303</v>
      </c>
      <c r="H355">
        <v>387</v>
      </c>
      <c r="I355" t="s">
        <v>16</v>
      </c>
      <c r="J355">
        <v>244</v>
      </c>
      <c r="K355">
        <v>1</v>
      </c>
      <c r="L355">
        <v>0</v>
      </c>
      <c r="M355">
        <v>0</v>
      </c>
      <c r="N355" t="s">
        <v>17</v>
      </c>
      <c r="O355">
        <v>2015</v>
      </c>
      <c r="P355" t="s">
        <v>18</v>
      </c>
    </row>
    <row r="356" spans="1:16" x14ac:dyDescent="0.3">
      <c r="A356">
        <v>354</v>
      </c>
      <c r="B356" t="s">
        <v>14</v>
      </c>
      <c r="C356" t="s">
        <v>407</v>
      </c>
      <c r="D356" t="str">
        <f>VLOOKUP(YouTube_University_Data_Final[[#This Row],[Title]],[1]!YouTube_University_Data_Final[[Title]:[Title_language]],2,FALSE)</f>
        <v>English</v>
      </c>
      <c r="E356" t="s">
        <v>2944</v>
      </c>
      <c r="F356">
        <v>27</v>
      </c>
      <c r="G356" s="1">
        <v>42303</v>
      </c>
      <c r="H356">
        <v>387</v>
      </c>
      <c r="I356" t="s">
        <v>16</v>
      </c>
      <c r="J356">
        <v>1638</v>
      </c>
      <c r="K356">
        <v>18</v>
      </c>
      <c r="L356">
        <v>0</v>
      </c>
      <c r="M356">
        <v>0</v>
      </c>
      <c r="N356" t="s">
        <v>17</v>
      </c>
      <c r="O356">
        <v>2015</v>
      </c>
      <c r="P356" t="s">
        <v>18</v>
      </c>
    </row>
    <row r="357" spans="1:16" x14ac:dyDescent="0.3">
      <c r="A357">
        <v>355</v>
      </c>
      <c r="B357" t="s">
        <v>14</v>
      </c>
      <c r="C357" t="s">
        <v>408</v>
      </c>
      <c r="D357" t="str">
        <f>VLOOKUP(YouTube_University_Data_Final[[#This Row],[Title]],[1]!YouTube_University_Data_Final[[Title]:[Title_language]],2,FALSE)</f>
        <v>English</v>
      </c>
      <c r="E357" t="s">
        <v>2944</v>
      </c>
      <c r="F357">
        <v>27</v>
      </c>
      <c r="G357" s="1">
        <v>42296</v>
      </c>
      <c r="H357">
        <v>30</v>
      </c>
      <c r="I357" t="s">
        <v>16</v>
      </c>
      <c r="J357">
        <v>730</v>
      </c>
      <c r="K357">
        <v>2</v>
      </c>
      <c r="L357">
        <v>0</v>
      </c>
      <c r="M357">
        <v>0</v>
      </c>
      <c r="N357" t="s">
        <v>17</v>
      </c>
      <c r="O357">
        <v>2015</v>
      </c>
      <c r="P357" t="s">
        <v>18</v>
      </c>
    </row>
    <row r="358" spans="1:16" x14ac:dyDescent="0.3">
      <c r="A358">
        <v>356</v>
      </c>
      <c r="B358" t="s">
        <v>14</v>
      </c>
      <c r="C358" t="s">
        <v>409</v>
      </c>
      <c r="D358" t="str">
        <f>VLOOKUP(YouTube_University_Data_Final[[#This Row],[Title]],[1]!YouTube_University_Data_Final[[Title]:[Title_language]],2,FALSE)</f>
        <v>English</v>
      </c>
      <c r="E358" t="s">
        <v>2944</v>
      </c>
      <c r="F358">
        <v>27</v>
      </c>
      <c r="G358" s="1">
        <v>42296</v>
      </c>
      <c r="H358">
        <v>16</v>
      </c>
      <c r="I358" t="s">
        <v>16</v>
      </c>
      <c r="J358">
        <v>104</v>
      </c>
      <c r="K358">
        <v>0</v>
      </c>
      <c r="L358">
        <v>0</v>
      </c>
      <c r="M358">
        <v>0</v>
      </c>
      <c r="N358" t="s">
        <v>17</v>
      </c>
      <c r="O358">
        <v>2015</v>
      </c>
      <c r="P358" t="s">
        <v>18</v>
      </c>
    </row>
    <row r="359" spans="1:16" x14ac:dyDescent="0.3">
      <c r="A359">
        <v>357</v>
      </c>
      <c r="B359" t="s">
        <v>14</v>
      </c>
      <c r="C359" t="s">
        <v>410</v>
      </c>
      <c r="D359" t="str">
        <f>VLOOKUP(YouTube_University_Data_Final[[#This Row],[Title]],[1]!YouTube_University_Data_Final[[Title]:[Title_language]],2,FALSE)</f>
        <v>English</v>
      </c>
      <c r="E359" t="s">
        <v>2944</v>
      </c>
      <c r="F359">
        <v>27</v>
      </c>
      <c r="G359" s="1">
        <v>42079</v>
      </c>
      <c r="H359">
        <v>115</v>
      </c>
      <c r="I359" t="s">
        <v>16</v>
      </c>
      <c r="J359">
        <v>6383</v>
      </c>
      <c r="K359">
        <v>23</v>
      </c>
      <c r="L359">
        <v>0</v>
      </c>
      <c r="M359">
        <v>1</v>
      </c>
      <c r="N359" t="s">
        <v>90</v>
      </c>
      <c r="O359">
        <v>2015</v>
      </c>
      <c r="P359" t="s">
        <v>18</v>
      </c>
    </row>
    <row r="360" spans="1:16" x14ac:dyDescent="0.3">
      <c r="A360">
        <v>358</v>
      </c>
      <c r="B360" t="s">
        <v>14</v>
      </c>
      <c r="C360" t="s">
        <v>411</v>
      </c>
      <c r="D360" t="str">
        <f>VLOOKUP(YouTube_University_Data_Final[[#This Row],[Title]],[1]!YouTube_University_Data_Final[[Title]:[Title_language]],2,FALSE)</f>
        <v>English</v>
      </c>
      <c r="E360" t="s">
        <v>412</v>
      </c>
      <c r="F360">
        <v>27</v>
      </c>
      <c r="G360" s="1">
        <v>42051</v>
      </c>
      <c r="H360">
        <v>21</v>
      </c>
      <c r="I360" t="s">
        <v>16</v>
      </c>
      <c r="J360">
        <v>229</v>
      </c>
      <c r="K360">
        <v>3</v>
      </c>
      <c r="L360">
        <v>0</v>
      </c>
      <c r="M360">
        <v>0</v>
      </c>
      <c r="N360" t="s">
        <v>162</v>
      </c>
      <c r="O360">
        <v>2015</v>
      </c>
      <c r="P360" t="s">
        <v>18</v>
      </c>
    </row>
    <row r="361" spans="1:16" x14ac:dyDescent="0.3">
      <c r="A361">
        <v>359</v>
      </c>
      <c r="B361" t="s">
        <v>14</v>
      </c>
      <c r="C361" t="s">
        <v>413</v>
      </c>
      <c r="D361" t="str">
        <f>VLOOKUP(YouTube_University_Data_Final[[#This Row],[Title]],[1]!YouTube_University_Data_Final[[Title]:[Title_language]],2,FALSE)</f>
        <v>English</v>
      </c>
      <c r="E361" t="s">
        <v>3052</v>
      </c>
      <c r="F361">
        <v>27</v>
      </c>
      <c r="G361" s="1">
        <v>42004</v>
      </c>
      <c r="H361">
        <v>291</v>
      </c>
      <c r="I361" t="s">
        <v>16</v>
      </c>
      <c r="J361">
        <v>15464</v>
      </c>
      <c r="K361">
        <v>44</v>
      </c>
      <c r="L361">
        <v>0</v>
      </c>
      <c r="M361">
        <v>0</v>
      </c>
      <c r="N361" t="s">
        <v>98</v>
      </c>
      <c r="O361">
        <v>2014</v>
      </c>
      <c r="P361" t="s">
        <v>18</v>
      </c>
    </row>
    <row r="362" spans="1:16" x14ac:dyDescent="0.3">
      <c r="A362">
        <v>360</v>
      </c>
      <c r="B362" t="s">
        <v>14</v>
      </c>
      <c r="C362" t="s">
        <v>414</v>
      </c>
      <c r="D362" t="str">
        <f>VLOOKUP(YouTube_University_Data_Final[[#This Row],[Title]],[1]!YouTube_University_Data_Final[[Title]:[Title_language]],2,FALSE)</f>
        <v>English</v>
      </c>
      <c r="E362" t="s">
        <v>3052</v>
      </c>
      <c r="F362">
        <v>27</v>
      </c>
      <c r="G362" s="1">
        <v>42004</v>
      </c>
      <c r="H362">
        <v>291</v>
      </c>
      <c r="I362" t="s">
        <v>16</v>
      </c>
      <c r="J362">
        <v>1092</v>
      </c>
      <c r="K362">
        <v>3</v>
      </c>
      <c r="L362">
        <v>0</v>
      </c>
      <c r="M362">
        <v>0</v>
      </c>
      <c r="N362" t="s">
        <v>98</v>
      </c>
      <c r="O362">
        <v>2014</v>
      </c>
      <c r="P362" t="s">
        <v>18</v>
      </c>
    </row>
    <row r="363" spans="1:16" x14ac:dyDescent="0.3">
      <c r="A363">
        <v>361</v>
      </c>
      <c r="B363" t="s">
        <v>14</v>
      </c>
      <c r="C363" t="s">
        <v>415</v>
      </c>
      <c r="D363" t="str">
        <f>VLOOKUP(YouTube_University_Data_Final[[#This Row],[Title]],[1]!YouTube_University_Data_Final[[Title]:[Title_language]],2,FALSE)</f>
        <v>English</v>
      </c>
      <c r="E363" t="s">
        <v>3052</v>
      </c>
      <c r="F363">
        <v>27</v>
      </c>
      <c r="G363" s="1">
        <v>42004</v>
      </c>
      <c r="H363">
        <v>291</v>
      </c>
      <c r="I363" t="s">
        <v>16</v>
      </c>
      <c r="J363">
        <v>449</v>
      </c>
      <c r="K363">
        <v>2</v>
      </c>
      <c r="L363">
        <v>0</v>
      </c>
      <c r="M363">
        <v>0</v>
      </c>
      <c r="N363" t="s">
        <v>98</v>
      </c>
      <c r="O363">
        <v>2014</v>
      </c>
      <c r="P363" t="s">
        <v>18</v>
      </c>
    </row>
    <row r="364" spans="1:16" x14ac:dyDescent="0.3">
      <c r="A364">
        <v>362</v>
      </c>
      <c r="B364" t="s">
        <v>14</v>
      </c>
      <c r="C364" t="s">
        <v>416</v>
      </c>
      <c r="D364" t="str">
        <f>VLOOKUP(YouTube_University_Data_Final[[#This Row],[Title]],[1]!YouTube_University_Data_Final[[Title]:[Title_language]],2,FALSE)</f>
        <v>English</v>
      </c>
      <c r="E364" t="s">
        <v>3053</v>
      </c>
      <c r="F364">
        <v>27</v>
      </c>
      <c r="G364" s="1">
        <v>41950</v>
      </c>
      <c r="H364">
        <v>583</v>
      </c>
      <c r="I364" t="s">
        <v>16</v>
      </c>
      <c r="J364">
        <v>1874</v>
      </c>
      <c r="K364">
        <v>14</v>
      </c>
      <c r="L364">
        <v>0</v>
      </c>
      <c r="M364">
        <v>1</v>
      </c>
      <c r="N364" t="s">
        <v>101</v>
      </c>
      <c r="O364">
        <v>2014</v>
      </c>
      <c r="P364" t="s">
        <v>18</v>
      </c>
    </row>
    <row r="365" spans="1:16" x14ac:dyDescent="0.3">
      <c r="A365">
        <v>363</v>
      </c>
      <c r="B365" t="s">
        <v>14</v>
      </c>
      <c r="C365" t="s">
        <v>417</v>
      </c>
      <c r="D365" t="str">
        <f>VLOOKUP(YouTube_University_Data_Final[[#This Row],[Title]],[1]!YouTube_University_Data_Final[[Title]:[Title_language]],2,FALSE)</f>
        <v>English</v>
      </c>
      <c r="E365" t="s">
        <v>418</v>
      </c>
      <c r="F365">
        <v>27</v>
      </c>
      <c r="G365" s="1">
        <v>41928</v>
      </c>
      <c r="H365">
        <v>64</v>
      </c>
      <c r="I365" t="s">
        <v>419</v>
      </c>
      <c r="J365">
        <v>509</v>
      </c>
      <c r="K365">
        <v>6</v>
      </c>
      <c r="L365">
        <v>0</v>
      </c>
      <c r="M365">
        <v>0</v>
      </c>
      <c r="N365" t="s">
        <v>17</v>
      </c>
      <c r="O365">
        <v>2014</v>
      </c>
      <c r="P365" t="s">
        <v>18</v>
      </c>
    </row>
    <row r="366" spans="1:16" x14ac:dyDescent="0.3">
      <c r="A366">
        <v>364</v>
      </c>
      <c r="B366" t="s">
        <v>14</v>
      </c>
      <c r="C366" t="s">
        <v>420</v>
      </c>
      <c r="D366" t="str">
        <f>VLOOKUP(YouTube_University_Data_Final[[#This Row],[Title]],[1]!YouTube_University_Data_Final[[Title]:[Title_language]],2,FALSE)</f>
        <v>English</v>
      </c>
      <c r="E366" t="s">
        <v>3054</v>
      </c>
      <c r="F366">
        <v>27</v>
      </c>
      <c r="G366" s="1">
        <v>41880</v>
      </c>
      <c r="H366">
        <v>31</v>
      </c>
      <c r="I366" t="s">
        <v>421</v>
      </c>
      <c r="J366">
        <v>388</v>
      </c>
      <c r="K366">
        <v>2</v>
      </c>
      <c r="L366">
        <v>0</v>
      </c>
      <c r="M366">
        <v>0</v>
      </c>
      <c r="N366" t="s">
        <v>48</v>
      </c>
      <c r="O366">
        <v>2014</v>
      </c>
      <c r="P366" t="s">
        <v>18</v>
      </c>
    </row>
    <row r="367" spans="1:16" x14ac:dyDescent="0.3">
      <c r="A367">
        <v>365</v>
      </c>
      <c r="B367" t="s">
        <v>14</v>
      </c>
      <c r="C367" t="s">
        <v>422</v>
      </c>
      <c r="D367" t="str">
        <f>VLOOKUP(YouTube_University_Data_Final[[#This Row],[Title]],[1]!YouTube_University_Data_Final[[Title]:[Title_language]],2,FALSE)</f>
        <v>English</v>
      </c>
      <c r="E367" t="s">
        <v>423</v>
      </c>
      <c r="F367">
        <v>27</v>
      </c>
      <c r="G367" s="1">
        <v>41873</v>
      </c>
      <c r="H367">
        <v>18</v>
      </c>
      <c r="I367" t="s">
        <v>424</v>
      </c>
      <c r="J367">
        <v>7282</v>
      </c>
      <c r="K367">
        <v>60</v>
      </c>
      <c r="L367">
        <v>0</v>
      </c>
      <c r="M367">
        <v>0</v>
      </c>
      <c r="N367" t="s">
        <v>48</v>
      </c>
      <c r="O367">
        <v>2014</v>
      </c>
      <c r="P367" t="s">
        <v>18</v>
      </c>
    </row>
    <row r="368" spans="1:16" x14ac:dyDescent="0.3">
      <c r="A368">
        <v>366</v>
      </c>
      <c r="B368" t="s">
        <v>14</v>
      </c>
      <c r="C368" t="s">
        <v>425</v>
      </c>
      <c r="D368" t="str">
        <f>VLOOKUP(YouTube_University_Data_Final[[#This Row],[Title]],[1]!YouTube_University_Data_Final[[Title]:[Title_language]],2,FALSE)</f>
        <v>English</v>
      </c>
      <c r="E368" t="s">
        <v>426</v>
      </c>
      <c r="F368">
        <v>27</v>
      </c>
      <c r="G368" s="1">
        <v>41701</v>
      </c>
      <c r="H368">
        <v>2502</v>
      </c>
      <c r="I368" t="s">
        <v>16</v>
      </c>
      <c r="J368">
        <v>10864</v>
      </c>
      <c r="K368">
        <v>91</v>
      </c>
      <c r="L368">
        <v>0</v>
      </c>
      <c r="M368">
        <v>3</v>
      </c>
      <c r="N368" t="s">
        <v>90</v>
      </c>
      <c r="O368">
        <v>2014</v>
      </c>
      <c r="P368" t="s">
        <v>18</v>
      </c>
    </row>
    <row r="369" spans="1:16" x14ac:dyDescent="0.3">
      <c r="A369">
        <v>367</v>
      </c>
      <c r="B369" t="s">
        <v>14</v>
      </c>
      <c r="C369" t="s">
        <v>427</v>
      </c>
      <c r="D369" t="str">
        <f>VLOOKUP(YouTube_University_Data_Final[[#This Row],[Title]],[1]!YouTube_University_Data_Final[[Title]:[Title_language]],2,FALSE)</f>
        <v>English</v>
      </c>
      <c r="E369" t="s">
        <v>2944</v>
      </c>
      <c r="F369">
        <v>27</v>
      </c>
      <c r="G369" s="1">
        <v>41627</v>
      </c>
      <c r="H369">
        <v>2</v>
      </c>
      <c r="I369" t="s">
        <v>16</v>
      </c>
      <c r="J369">
        <v>530</v>
      </c>
      <c r="K369">
        <v>6</v>
      </c>
      <c r="L369">
        <v>0</v>
      </c>
      <c r="M369">
        <v>1</v>
      </c>
      <c r="N369" t="s">
        <v>98</v>
      </c>
      <c r="O369">
        <v>2013</v>
      </c>
      <c r="P369" t="s">
        <v>18</v>
      </c>
    </row>
    <row r="370" spans="1:16" x14ac:dyDescent="0.3">
      <c r="A370">
        <v>368</v>
      </c>
      <c r="B370" t="s">
        <v>14</v>
      </c>
      <c r="C370" t="s">
        <v>428</v>
      </c>
      <c r="D370" t="str">
        <f>VLOOKUP(YouTube_University_Data_Final[[#This Row],[Title]],[1]!YouTube_University_Data_Final[[Title]:[Title_language]],2,FALSE)</f>
        <v>English</v>
      </c>
      <c r="E370" t="s">
        <v>429</v>
      </c>
      <c r="F370">
        <v>27</v>
      </c>
      <c r="G370" s="1">
        <v>41578</v>
      </c>
      <c r="H370">
        <v>142</v>
      </c>
      <c r="I370" t="s">
        <v>16</v>
      </c>
      <c r="J370">
        <v>58853</v>
      </c>
      <c r="K370">
        <v>255</v>
      </c>
      <c r="L370">
        <v>0</v>
      </c>
      <c r="M370">
        <v>10</v>
      </c>
      <c r="N370" t="s">
        <v>17</v>
      </c>
      <c r="O370">
        <v>2013</v>
      </c>
      <c r="P370" t="s">
        <v>18</v>
      </c>
    </row>
    <row r="371" spans="1:16" x14ac:dyDescent="0.3">
      <c r="A371">
        <v>369</v>
      </c>
      <c r="B371" t="s">
        <v>14</v>
      </c>
      <c r="C371" t="s">
        <v>430</v>
      </c>
      <c r="D371" t="str">
        <f>VLOOKUP(YouTube_University_Data_Final[[#This Row],[Title]],[1]!YouTube_University_Data_Final[[Title]:[Title_language]],2,FALSE)</f>
        <v>English</v>
      </c>
      <c r="E371" t="s">
        <v>2944</v>
      </c>
      <c r="F371">
        <v>27</v>
      </c>
      <c r="G371" s="1">
        <v>41541</v>
      </c>
      <c r="H371">
        <v>76</v>
      </c>
      <c r="I371" t="s">
        <v>16</v>
      </c>
      <c r="J371">
        <v>529</v>
      </c>
      <c r="K371">
        <v>1</v>
      </c>
      <c r="L371">
        <v>0</v>
      </c>
      <c r="M371">
        <v>0</v>
      </c>
      <c r="N371" t="s">
        <v>21</v>
      </c>
      <c r="O371">
        <v>2013</v>
      </c>
      <c r="P371" t="s">
        <v>18</v>
      </c>
    </row>
    <row r="372" spans="1:16" x14ac:dyDescent="0.3">
      <c r="A372">
        <v>370</v>
      </c>
      <c r="B372" t="s">
        <v>14</v>
      </c>
      <c r="C372" t="s">
        <v>431</v>
      </c>
      <c r="D372" t="str">
        <f>VLOOKUP(YouTube_University_Data_Final[[#This Row],[Title]],[1]!YouTube_University_Data_Final[[Title]:[Title_language]],2,FALSE)</f>
        <v>English</v>
      </c>
      <c r="E372" t="s">
        <v>432</v>
      </c>
      <c r="F372">
        <v>27</v>
      </c>
      <c r="G372" s="1">
        <v>41523</v>
      </c>
      <c r="H372">
        <v>863</v>
      </c>
      <c r="I372" t="s">
        <v>433</v>
      </c>
      <c r="J372">
        <v>86</v>
      </c>
      <c r="K372">
        <v>0</v>
      </c>
      <c r="L372">
        <v>0</v>
      </c>
      <c r="M372">
        <v>0</v>
      </c>
      <c r="N372" t="s">
        <v>21</v>
      </c>
      <c r="O372">
        <v>2013</v>
      </c>
      <c r="P372" t="s">
        <v>18</v>
      </c>
    </row>
    <row r="373" spans="1:16" x14ac:dyDescent="0.3">
      <c r="A373">
        <v>371</v>
      </c>
      <c r="B373" t="s">
        <v>14</v>
      </c>
      <c r="C373" t="s">
        <v>434</v>
      </c>
      <c r="D373" t="str">
        <f>VLOOKUP(YouTube_University_Data_Final[[#This Row],[Title]],[1]!YouTube_University_Data_Final[[Title]:[Title_language]],2,FALSE)</f>
        <v>English</v>
      </c>
      <c r="E373" t="s">
        <v>432</v>
      </c>
      <c r="F373">
        <v>27</v>
      </c>
      <c r="G373" s="1">
        <v>41523</v>
      </c>
      <c r="H373">
        <v>878</v>
      </c>
      <c r="I373" t="s">
        <v>433</v>
      </c>
      <c r="J373">
        <v>176</v>
      </c>
      <c r="K373">
        <v>0</v>
      </c>
      <c r="L373">
        <v>0</v>
      </c>
      <c r="M373">
        <v>0</v>
      </c>
      <c r="N373" t="s">
        <v>21</v>
      </c>
      <c r="O373">
        <v>2013</v>
      </c>
      <c r="P373" t="s">
        <v>18</v>
      </c>
    </row>
    <row r="374" spans="1:16" x14ac:dyDescent="0.3">
      <c r="A374">
        <v>372</v>
      </c>
      <c r="B374" t="s">
        <v>14</v>
      </c>
      <c r="C374" t="s">
        <v>435</v>
      </c>
      <c r="D374" t="str">
        <f>VLOOKUP(YouTube_University_Data_Final[[#This Row],[Title]],[1]!YouTube_University_Data_Final[[Title]:[Title_language]],2,FALSE)</f>
        <v>English</v>
      </c>
      <c r="E374" t="s">
        <v>436</v>
      </c>
      <c r="F374">
        <v>27</v>
      </c>
      <c r="G374" s="1">
        <v>41523</v>
      </c>
      <c r="H374">
        <v>202</v>
      </c>
      <c r="I374" t="s">
        <v>433</v>
      </c>
      <c r="J374">
        <v>295</v>
      </c>
      <c r="K374">
        <v>0</v>
      </c>
      <c r="L374">
        <v>0</v>
      </c>
      <c r="M374">
        <v>0</v>
      </c>
      <c r="N374" t="s">
        <v>21</v>
      </c>
      <c r="O374">
        <v>2013</v>
      </c>
      <c r="P374" t="s">
        <v>18</v>
      </c>
    </row>
    <row r="375" spans="1:16" x14ac:dyDescent="0.3">
      <c r="A375">
        <v>373</v>
      </c>
      <c r="B375" t="s">
        <v>14</v>
      </c>
      <c r="C375" t="s">
        <v>437</v>
      </c>
      <c r="D375" t="str">
        <f>VLOOKUP(YouTube_University_Data_Final[[#This Row],[Title]],[1]!YouTube_University_Data_Final[[Title]:[Title_language]],2,FALSE)</f>
        <v>English</v>
      </c>
      <c r="E375" t="s">
        <v>438</v>
      </c>
      <c r="F375">
        <v>27</v>
      </c>
      <c r="G375" s="1">
        <v>41523</v>
      </c>
      <c r="H375">
        <v>797</v>
      </c>
      <c r="I375" t="s">
        <v>433</v>
      </c>
      <c r="J375">
        <v>169</v>
      </c>
      <c r="K375">
        <v>0</v>
      </c>
      <c r="L375">
        <v>0</v>
      </c>
      <c r="M375">
        <v>0</v>
      </c>
      <c r="N375" t="s">
        <v>21</v>
      </c>
      <c r="O375">
        <v>2013</v>
      </c>
      <c r="P375" t="s">
        <v>18</v>
      </c>
    </row>
    <row r="376" spans="1:16" x14ac:dyDescent="0.3">
      <c r="A376">
        <v>374</v>
      </c>
      <c r="B376" t="s">
        <v>14</v>
      </c>
      <c r="C376" t="s">
        <v>439</v>
      </c>
      <c r="D376" t="str">
        <f>VLOOKUP(YouTube_University_Data_Final[[#This Row],[Title]],[1]!YouTube_University_Data_Final[[Title]:[Title_language]],2,FALSE)</f>
        <v>English</v>
      </c>
      <c r="E376" t="s">
        <v>432</v>
      </c>
      <c r="F376">
        <v>27</v>
      </c>
      <c r="G376" s="1">
        <v>41523</v>
      </c>
      <c r="H376">
        <v>369</v>
      </c>
      <c r="I376" t="s">
        <v>433</v>
      </c>
      <c r="J376">
        <v>220</v>
      </c>
      <c r="K376">
        <v>0</v>
      </c>
      <c r="L376">
        <v>0</v>
      </c>
      <c r="M376">
        <v>0</v>
      </c>
      <c r="N376" t="s">
        <v>21</v>
      </c>
      <c r="O376">
        <v>2013</v>
      </c>
      <c r="P376" t="s">
        <v>18</v>
      </c>
    </row>
    <row r="377" spans="1:16" x14ac:dyDescent="0.3">
      <c r="A377">
        <v>375</v>
      </c>
      <c r="B377" t="s">
        <v>14</v>
      </c>
      <c r="C377" t="s">
        <v>440</v>
      </c>
      <c r="D377" t="str">
        <f>VLOOKUP(YouTube_University_Data_Final[[#This Row],[Title]],[1]!YouTube_University_Data_Final[[Title]:[Title_language]],2,FALSE)</f>
        <v>English</v>
      </c>
      <c r="E377" t="s">
        <v>441</v>
      </c>
      <c r="F377">
        <v>27</v>
      </c>
      <c r="G377" s="1">
        <v>41523</v>
      </c>
      <c r="H377">
        <v>956</v>
      </c>
      <c r="I377" t="s">
        <v>433</v>
      </c>
      <c r="J377">
        <v>265</v>
      </c>
      <c r="K377">
        <v>1</v>
      </c>
      <c r="L377">
        <v>0</v>
      </c>
      <c r="M377">
        <v>0</v>
      </c>
      <c r="N377" t="s">
        <v>21</v>
      </c>
      <c r="O377">
        <v>2013</v>
      </c>
      <c r="P377" t="s">
        <v>18</v>
      </c>
    </row>
    <row r="378" spans="1:16" x14ac:dyDescent="0.3">
      <c r="A378">
        <v>376</v>
      </c>
      <c r="B378" t="s">
        <v>14</v>
      </c>
      <c r="C378" t="s">
        <v>442</v>
      </c>
      <c r="D378" t="str">
        <f>VLOOKUP(YouTube_University_Data_Final[[#This Row],[Title]],[1]!YouTube_University_Data_Final[[Title]:[Title_language]],2,FALSE)</f>
        <v>English</v>
      </c>
      <c r="E378" t="s">
        <v>443</v>
      </c>
      <c r="F378">
        <v>27</v>
      </c>
      <c r="G378" s="1">
        <v>41523</v>
      </c>
      <c r="H378">
        <v>383</v>
      </c>
      <c r="I378" t="s">
        <v>433</v>
      </c>
      <c r="J378">
        <v>319</v>
      </c>
      <c r="K378">
        <v>0</v>
      </c>
      <c r="L378">
        <v>0</v>
      </c>
      <c r="M378">
        <v>0</v>
      </c>
      <c r="N378" t="s">
        <v>21</v>
      </c>
      <c r="O378">
        <v>2013</v>
      </c>
      <c r="P378" t="s">
        <v>18</v>
      </c>
    </row>
    <row r="379" spans="1:16" x14ac:dyDescent="0.3">
      <c r="A379">
        <v>377</v>
      </c>
      <c r="B379" t="s">
        <v>14</v>
      </c>
      <c r="C379" t="s">
        <v>444</v>
      </c>
      <c r="D379" t="str">
        <f>VLOOKUP(YouTube_University_Data_Final[[#This Row],[Title]],[1]!YouTube_University_Data_Final[[Title]:[Title_language]],2,FALSE)</f>
        <v>English</v>
      </c>
      <c r="E379" t="s">
        <v>441</v>
      </c>
      <c r="F379">
        <v>27</v>
      </c>
      <c r="G379" s="1">
        <v>41523</v>
      </c>
      <c r="H379">
        <v>228</v>
      </c>
      <c r="I379" t="s">
        <v>433</v>
      </c>
      <c r="J379">
        <v>105</v>
      </c>
      <c r="K379">
        <v>1</v>
      </c>
      <c r="L379">
        <v>0</v>
      </c>
      <c r="M379">
        <v>0</v>
      </c>
      <c r="N379" t="s">
        <v>21</v>
      </c>
      <c r="O379">
        <v>2013</v>
      </c>
      <c r="P379" t="s">
        <v>18</v>
      </c>
    </row>
    <row r="380" spans="1:16" x14ac:dyDescent="0.3">
      <c r="A380">
        <v>378</v>
      </c>
      <c r="B380" t="s">
        <v>14</v>
      </c>
      <c r="C380" t="s">
        <v>445</v>
      </c>
      <c r="D380" t="str">
        <f>VLOOKUP(YouTube_University_Data_Final[[#This Row],[Title]],[1]!YouTube_University_Data_Final[[Title]:[Title_language]],2,FALSE)</f>
        <v>English</v>
      </c>
      <c r="E380" t="s">
        <v>446</v>
      </c>
      <c r="F380">
        <v>27</v>
      </c>
      <c r="G380" s="1">
        <v>41523</v>
      </c>
      <c r="H380">
        <v>822</v>
      </c>
      <c r="I380" t="s">
        <v>433</v>
      </c>
      <c r="J380">
        <v>98</v>
      </c>
      <c r="K380">
        <v>1</v>
      </c>
      <c r="L380">
        <v>0</v>
      </c>
      <c r="M380">
        <v>0</v>
      </c>
      <c r="N380" t="s">
        <v>21</v>
      </c>
      <c r="O380">
        <v>2013</v>
      </c>
      <c r="P380" t="s">
        <v>18</v>
      </c>
    </row>
    <row r="381" spans="1:16" x14ac:dyDescent="0.3">
      <c r="A381">
        <v>379</v>
      </c>
      <c r="B381" t="s">
        <v>14</v>
      </c>
      <c r="C381" t="s">
        <v>447</v>
      </c>
      <c r="D381" t="str">
        <f>VLOOKUP(YouTube_University_Data_Final[[#This Row],[Title]],[1]!YouTube_University_Data_Final[[Title]:[Title_language]],2,FALSE)</f>
        <v>English</v>
      </c>
      <c r="E381" t="s">
        <v>448</v>
      </c>
      <c r="F381">
        <v>27</v>
      </c>
      <c r="G381" s="1">
        <v>41523</v>
      </c>
      <c r="H381">
        <v>226</v>
      </c>
      <c r="I381" t="s">
        <v>433</v>
      </c>
      <c r="J381">
        <v>274</v>
      </c>
      <c r="K381">
        <v>0</v>
      </c>
      <c r="L381">
        <v>0</v>
      </c>
      <c r="M381">
        <v>0</v>
      </c>
      <c r="N381" t="s">
        <v>21</v>
      </c>
      <c r="O381">
        <v>2013</v>
      </c>
      <c r="P381" t="s">
        <v>18</v>
      </c>
    </row>
    <row r="382" spans="1:16" x14ac:dyDescent="0.3">
      <c r="A382">
        <v>380</v>
      </c>
      <c r="B382" t="s">
        <v>14</v>
      </c>
      <c r="C382" t="s">
        <v>449</v>
      </c>
      <c r="D382" t="str">
        <f>VLOOKUP(YouTube_University_Data_Final[[#This Row],[Title]],[1]!YouTube_University_Data_Final[[Title]:[Title_language]],2,FALSE)</f>
        <v>English</v>
      </c>
      <c r="E382" t="s">
        <v>446</v>
      </c>
      <c r="F382">
        <v>27</v>
      </c>
      <c r="G382" s="1">
        <v>41523</v>
      </c>
      <c r="H382">
        <v>781</v>
      </c>
      <c r="I382" t="s">
        <v>433</v>
      </c>
      <c r="J382">
        <v>114</v>
      </c>
      <c r="K382">
        <v>0</v>
      </c>
      <c r="L382">
        <v>0</v>
      </c>
      <c r="M382">
        <v>0</v>
      </c>
      <c r="N382" t="s">
        <v>21</v>
      </c>
      <c r="O382">
        <v>2013</v>
      </c>
      <c r="P382" t="s">
        <v>18</v>
      </c>
    </row>
    <row r="383" spans="1:16" x14ac:dyDescent="0.3">
      <c r="A383">
        <v>381</v>
      </c>
      <c r="B383" t="s">
        <v>14</v>
      </c>
      <c r="C383" t="s">
        <v>450</v>
      </c>
      <c r="D383" t="str">
        <f>VLOOKUP(YouTube_University_Data_Final[[#This Row],[Title]],[1]!YouTube_University_Data_Final[[Title]:[Title_language]],2,FALSE)</f>
        <v>English</v>
      </c>
      <c r="E383" t="s">
        <v>451</v>
      </c>
      <c r="F383">
        <v>27</v>
      </c>
      <c r="G383" s="1">
        <v>41523</v>
      </c>
      <c r="H383">
        <v>1181</v>
      </c>
      <c r="I383" t="s">
        <v>433</v>
      </c>
      <c r="J383">
        <v>144</v>
      </c>
      <c r="K383">
        <v>0</v>
      </c>
      <c r="L383">
        <v>0</v>
      </c>
      <c r="M383">
        <v>0</v>
      </c>
      <c r="N383" t="s">
        <v>21</v>
      </c>
      <c r="O383">
        <v>2013</v>
      </c>
      <c r="P383" t="s">
        <v>18</v>
      </c>
    </row>
    <row r="384" spans="1:16" x14ac:dyDescent="0.3">
      <c r="A384">
        <v>382</v>
      </c>
      <c r="B384" t="s">
        <v>14</v>
      </c>
      <c r="C384" t="s">
        <v>452</v>
      </c>
      <c r="D384" t="str">
        <f>VLOOKUP(YouTube_University_Data_Final[[#This Row],[Title]],[1]!YouTube_University_Data_Final[[Title]:[Title_language]],2,FALSE)</f>
        <v>English</v>
      </c>
      <c r="E384" t="s">
        <v>441</v>
      </c>
      <c r="F384">
        <v>27</v>
      </c>
      <c r="G384" s="1">
        <v>41523</v>
      </c>
      <c r="H384">
        <v>864</v>
      </c>
      <c r="I384" t="s">
        <v>433</v>
      </c>
      <c r="J384">
        <v>371</v>
      </c>
      <c r="K384">
        <v>1</v>
      </c>
      <c r="L384">
        <v>0</v>
      </c>
      <c r="M384">
        <v>0</v>
      </c>
      <c r="N384" t="s">
        <v>21</v>
      </c>
      <c r="O384">
        <v>2013</v>
      </c>
      <c r="P384" t="s">
        <v>18</v>
      </c>
    </row>
    <row r="385" spans="1:16" x14ac:dyDescent="0.3">
      <c r="A385">
        <v>383</v>
      </c>
      <c r="B385" t="s">
        <v>14</v>
      </c>
      <c r="C385" t="s">
        <v>453</v>
      </c>
      <c r="D385" t="str">
        <f>VLOOKUP(YouTube_University_Data_Final[[#This Row],[Title]],[1]!YouTube_University_Data_Final[[Title]:[Title_language]],2,FALSE)</f>
        <v>English</v>
      </c>
      <c r="E385" t="s">
        <v>451</v>
      </c>
      <c r="F385">
        <v>27</v>
      </c>
      <c r="G385" s="1">
        <v>41523</v>
      </c>
      <c r="H385">
        <v>981</v>
      </c>
      <c r="I385" t="s">
        <v>454</v>
      </c>
      <c r="J385">
        <v>162</v>
      </c>
      <c r="K385">
        <v>0</v>
      </c>
      <c r="L385">
        <v>0</v>
      </c>
      <c r="M385">
        <v>0</v>
      </c>
      <c r="N385" t="s">
        <v>21</v>
      </c>
      <c r="O385">
        <v>2013</v>
      </c>
      <c r="P385" t="s">
        <v>18</v>
      </c>
    </row>
    <row r="386" spans="1:16" x14ac:dyDescent="0.3">
      <c r="A386">
        <v>384</v>
      </c>
      <c r="B386" t="s">
        <v>14</v>
      </c>
      <c r="C386" t="s">
        <v>455</v>
      </c>
      <c r="D386" t="str">
        <f>VLOOKUP(YouTube_University_Data_Final[[#This Row],[Title]],[1]!YouTube_University_Data_Final[[Title]:[Title_language]],2,FALSE)</f>
        <v>English</v>
      </c>
      <c r="E386" t="s">
        <v>438</v>
      </c>
      <c r="F386">
        <v>27</v>
      </c>
      <c r="G386" s="1">
        <v>41523</v>
      </c>
      <c r="H386">
        <v>625</v>
      </c>
      <c r="I386" t="s">
        <v>433</v>
      </c>
      <c r="J386">
        <v>59</v>
      </c>
      <c r="K386">
        <v>0</v>
      </c>
      <c r="L386">
        <v>0</v>
      </c>
      <c r="M386">
        <v>0</v>
      </c>
      <c r="N386" t="s">
        <v>21</v>
      </c>
      <c r="O386">
        <v>2013</v>
      </c>
      <c r="P386" t="s">
        <v>18</v>
      </c>
    </row>
    <row r="387" spans="1:16" x14ac:dyDescent="0.3">
      <c r="A387">
        <v>385</v>
      </c>
      <c r="B387" t="s">
        <v>14</v>
      </c>
      <c r="C387" t="s">
        <v>456</v>
      </c>
      <c r="D387" t="str">
        <f>VLOOKUP(YouTube_University_Data_Final[[#This Row],[Title]],[1]!YouTube_University_Data_Final[[Title]:[Title_language]],2,FALSE)</f>
        <v>English</v>
      </c>
      <c r="E387" t="s">
        <v>438</v>
      </c>
      <c r="F387">
        <v>27</v>
      </c>
      <c r="G387" s="1">
        <v>41523</v>
      </c>
      <c r="H387">
        <v>40</v>
      </c>
      <c r="I387" t="s">
        <v>433</v>
      </c>
      <c r="J387">
        <v>50</v>
      </c>
      <c r="K387">
        <v>1</v>
      </c>
      <c r="L387">
        <v>0</v>
      </c>
      <c r="M387">
        <v>0</v>
      </c>
      <c r="N387" t="s">
        <v>21</v>
      </c>
      <c r="O387">
        <v>2013</v>
      </c>
      <c r="P387" t="s">
        <v>18</v>
      </c>
    </row>
    <row r="388" spans="1:16" x14ac:dyDescent="0.3">
      <c r="A388">
        <v>386</v>
      </c>
      <c r="B388" t="s">
        <v>14</v>
      </c>
      <c r="C388" t="s">
        <v>457</v>
      </c>
      <c r="D388" t="str">
        <f>VLOOKUP(YouTube_University_Data_Final[[#This Row],[Title]],[1]!YouTube_University_Data_Final[[Title]:[Title_language]],2,FALSE)</f>
        <v>English</v>
      </c>
      <c r="E388" t="s">
        <v>438</v>
      </c>
      <c r="F388">
        <v>27</v>
      </c>
      <c r="G388" s="1">
        <v>41523</v>
      </c>
      <c r="H388">
        <v>799</v>
      </c>
      <c r="I388" t="s">
        <v>433</v>
      </c>
      <c r="J388">
        <v>45</v>
      </c>
      <c r="K388">
        <v>0</v>
      </c>
      <c r="L388">
        <v>0</v>
      </c>
      <c r="M388">
        <v>0</v>
      </c>
      <c r="N388" t="s">
        <v>21</v>
      </c>
      <c r="O388">
        <v>2013</v>
      </c>
      <c r="P388" t="s">
        <v>18</v>
      </c>
    </row>
    <row r="389" spans="1:16" x14ac:dyDescent="0.3">
      <c r="A389">
        <v>387</v>
      </c>
      <c r="B389" t="s">
        <v>14</v>
      </c>
      <c r="C389" t="s">
        <v>458</v>
      </c>
      <c r="D389" t="str">
        <f>VLOOKUP(YouTube_University_Data_Final[[#This Row],[Title]],[1]!YouTube_University_Data_Final[[Title]:[Title_language]],2,FALSE)</f>
        <v>English</v>
      </c>
      <c r="E389" t="s">
        <v>438</v>
      </c>
      <c r="F389">
        <v>27</v>
      </c>
      <c r="G389" s="1">
        <v>41523</v>
      </c>
      <c r="H389">
        <v>179</v>
      </c>
      <c r="I389" t="s">
        <v>433</v>
      </c>
      <c r="J389">
        <v>103</v>
      </c>
      <c r="K389">
        <v>0</v>
      </c>
      <c r="L389">
        <v>0</v>
      </c>
      <c r="M389">
        <v>0</v>
      </c>
      <c r="N389" t="s">
        <v>21</v>
      </c>
      <c r="O389">
        <v>2013</v>
      </c>
      <c r="P389" t="s">
        <v>18</v>
      </c>
    </row>
    <row r="390" spans="1:16" x14ac:dyDescent="0.3">
      <c r="A390">
        <v>388</v>
      </c>
      <c r="B390" t="s">
        <v>14</v>
      </c>
      <c r="C390" t="s">
        <v>459</v>
      </c>
      <c r="D390" t="str">
        <f>VLOOKUP(YouTube_University_Data_Final[[#This Row],[Title]],[1]!YouTube_University_Data_Final[[Title]:[Title_language]],2,FALSE)</f>
        <v>English</v>
      </c>
      <c r="E390" t="s">
        <v>446</v>
      </c>
      <c r="F390">
        <v>27</v>
      </c>
      <c r="G390" s="1">
        <v>41522</v>
      </c>
      <c r="H390">
        <v>368</v>
      </c>
      <c r="I390" t="s">
        <v>433</v>
      </c>
      <c r="J390">
        <v>137</v>
      </c>
      <c r="K390">
        <v>0</v>
      </c>
      <c r="L390">
        <v>0</v>
      </c>
      <c r="M390">
        <v>0</v>
      </c>
      <c r="N390" t="s">
        <v>21</v>
      </c>
      <c r="O390">
        <v>2013</v>
      </c>
      <c r="P390" t="s">
        <v>18</v>
      </c>
    </row>
    <row r="391" spans="1:16" x14ac:dyDescent="0.3">
      <c r="A391">
        <v>389</v>
      </c>
      <c r="B391" t="s">
        <v>14</v>
      </c>
      <c r="C391" t="s">
        <v>460</v>
      </c>
      <c r="D391" t="str">
        <f>VLOOKUP(YouTube_University_Data_Final[[#This Row],[Title]],[1]!YouTube_University_Data_Final[[Title]:[Title_language]],2,FALSE)</f>
        <v>English</v>
      </c>
      <c r="E391" t="s">
        <v>451</v>
      </c>
      <c r="F391">
        <v>27</v>
      </c>
      <c r="G391" s="1">
        <v>41522</v>
      </c>
      <c r="H391">
        <v>193</v>
      </c>
      <c r="I391" t="s">
        <v>433</v>
      </c>
      <c r="J391">
        <v>405</v>
      </c>
      <c r="K391">
        <v>2</v>
      </c>
      <c r="L391">
        <v>0</v>
      </c>
      <c r="M391">
        <v>0</v>
      </c>
      <c r="N391" t="s">
        <v>21</v>
      </c>
      <c r="O391">
        <v>2013</v>
      </c>
      <c r="P391" t="s">
        <v>18</v>
      </c>
    </row>
    <row r="392" spans="1:16" x14ac:dyDescent="0.3">
      <c r="A392">
        <v>390</v>
      </c>
      <c r="B392" t="s">
        <v>14</v>
      </c>
      <c r="C392" t="s">
        <v>461</v>
      </c>
      <c r="D392" t="str">
        <f>VLOOKUP(YouTube_University_Data_Final[[#This Row],[Title]],[1]!YouTube_University_Data_Final[[Title]:[Title_language]],2,FALSE)</f>
        <v>English</v>
      </c>
      <c r="E392" t="s">
        <v>462</v>
      </c>
      <c r="F392">
        <v>27</v>
      </c>
      <c r="G392" s="1">
        <v>41522</v>
      </c>
      <c r="H392">
        <v>63</v>
      </c>
      <c r="I392" t="s">
        <v>463</v>
      </c>
      <c r="J392">
        <v>418</v>
      </c>
      <c r="K392">
        <v>1</v>
      </c>
      <c r="L392">
        <v>0</v>
      </c>
      <c r="M392">
        <v>1</v>
      </c>
      <c r="N392" t="s">
        <v>21</v>
      </c>
      <c r="O392">
        <v>2013</v>
      </c>
      <c r="P392" t="s">
        <v>18</v>
      </c>
    </row>
    <row r="393" spans="1:16" x14ac:dyDescent="0.3">
      <c r="A393">
        <v>391</v>
      </c>
      <c r="B393" t="s">
        <v>14</v>
      </c>
      <c r="C393" t="s">
        <v>464</v>
      </c>
      <c r="D393" t="str">
        <f>VLOOKUP(YouTube_University_Data_Final[[#This Row],[Title]],[1]!YouTube_University_Data_Final[[Title]:[Title_language]],2,FALSE)</f>
        <v>English</v>
      </c>
      <c r="E393" t="s">
        <v>465</v>
      </c>
      <c r="F393">
        <v>27</v>
      </c>
      <c r="G393" s="1">
        <v>41522</v>
      </c>
      <c r="H393">
        <v>39</v>
      </c>
      <c r="I393" t="s">
        <v>466</v>
      </c>
      <c r="J393">
        <v>142</v>
      </c>
      <c r="K393">
        <v>0</v>
      </c>
      <c r="L393">
        <v>0</v>
      </c>
      <c r="M393">
        <v>0</v>
      </c>
      <c r="N393" t="s">
        <v>21</v>
      </c>
      <c r="O393">
        <v>2013</v>
      </c>
      <c r="P393" t="s">
        <v>18</v>
      </c>
    </row>
    <row r="394" spans="1:16" x14ac:dyDescent="0.3">
      <c r="A394">
        <v>392</v>
      </c>
      <c r="B394" t="s">
        <v>14</v>
      </c>
      <c r="C394" t="s">
        <v>467</v>
      </c>
      <c r="D394" t="str">
        <f>VLOOKUP(YouTube_University_Data_Final[[#This Row],[Title]],[1]!YouTube_University_Data_Final[[Title]:[Title_language]],2,FALSE)</f>
        <v>English</v>
      </c>
      <c r="E394" t="s">
        <v>467</v>
      </c>
      <c r="F394">
        <v>27</v>
      </c>
      <c r="G394" s="1">
        <v>41451</v>
      </c>
      <c r="H394">
        <v>121</v>
      </c>
      <c r="I394" t="s">
        <v>468</v>
      </c>
      <c r="J394">
        <v>722</v>
      </c>
      <c r="K394">
        <v>3</v>
      </c>
      <c r="L394">
        <v>0</v>
      </c>
      <c r="M394">
        <v>0</v>
      </c>
      <c r="N394" t="s">
        <v>78</v>
      </c>
      <c r="O394">
        <v>2013</v>
      </c>
      <c r="P394" t="s">
        <v>18</v>
      </c>
    </row>
    <row r="395" spans="1:16" x14ac:dyDescent="0.3">
      <c r="A395">
        <v>393</v>
      </c>
      <c r="B395" t="s">
        <v>14</v>
      </c>
      <c r="C395" t="s">
        <v>469</v>
      </c>
      <c r="D395" t="str">
        <f>VLOOKUP(YouTube_University_Data_Final[[#This Row],[Title]],[1]!YouTube_University_Data_Final[[Title]:[Title_language]],2,FALSE)</f>
        <v>English</v>
      </c>
      <c r="E395" t="s">
        <v>470</v>
      </c>
      <c r="F395">
        <v>27</v>
      </c>
      <c r="G395" s="1">
        <v>41346</v>
      </c>
      <c r="H395">
        <v>51</v>
      </c>
      <c r="I395" t="s">
        <v>471</v>
      </c>
      <c r="J395">
        <v>213</v>
      </c>
      <c r="K395">
        <v>1</v>
      </c>
      <c r="L395">
        <v>0</v>
      </c>
      <c r="M395">
        <v>0</v>
      </c>
      <c r="N395" t="s">
        <v>90</v>
      </c>
      <c r="O395">
        <v>2013</v>
      </c>
      <c r="P395" t="s">
        <v>18</v>
      </c>
    </row>
    <row r="396" spans="1:16" x14ac:dyDescent="0.3">
      <c r="A396">
        <v>394</v>
      </c>
      <c r="B396" t="s">
        <v>14</v>
      </c>
      <c r="C396" t="s">
        <v>472</v>
      </c>
      <c r="D396" t="str">
        <f>VLOOKUP(YouTube_University_Data_Final[[#This Row],[Title]],[1]!YouTube_University_Data_Final[[Title]:[Title_language]],2,FALSE)</f>
        <v>English</v>
      </c>
      <c r="E396" t="s">
        <v>473</v>
      </c>
      <c r="F396">
        <v>27</v>
      </c>
      <c r="G396" s="1">
        <v>41337</v>
      </c>
      <c r="H396">
        <v>69</v>
      </c>
      <c r="I396" t="s">
        <v>474</v>
      </c>
      <c r="J396">
        <v>1627</v>
      </c>
      <c r="K396">
        <v>2</v>
      </c>
      <c r="L396">
        <v>0</v>
      </c>
      <c r="M396">
        <v>0</v>
      </c>
      <c r="N396" t="s">
        <v>90</v>
      </c>
      <c r="O396">
        <v>2013</v>
      </c>
      <c r="P396" t="s">
        <v>18</v>
      </c>
    </row>
    <row r="397" spans="1:16" x14ac:dyDescent="0.3">
      <c r="A397">
        <v>395</v>
      </c>
      <c r="B397" t="s">
        <v>14</v>
      </c>
      <c r="C397" t="s">
        <v>475</v>
      </c>
      <c r="D397" t="str">
        <f>VLOOKUP(YouTube_University_Data_Final[[#This Row],[Title]],[1]!YouTube_University_Data_Final[[Title]:[Title_language]],2,FALSE)</f>
        <v>English</v>
      </c>
      <c r="E397" t="s">
        <v>476</v>
      </c>
      <c r="F397">
        <v>27</v>
      </c>
      <c r="G397" s="1">
        <v>41324</v>
      </c>
      <c r="H397">
        <v>219</v>
      </c>
      <c r="I397" t="s">
        <v>16</v>
      </c>
      <c r="J397">
        <v>8695</v>
      </c>
      <c r="K397">
        <v>29</v>
      </c>
      <c r="L397">
        <v>0</v>
      </c>
      <c r="M397">
        <v>2</v>
      </c>
      <c r="N397" t="s">
        <v>162</v>
      </c>
      <c r="O397">
        <v>2013</v>
      </c>
      <c r="P397" t="s">
        <v>18</v>
      </c>
    </row>
    <row r="398" spans="1:16" x14ac:dyDescent="0.3">
      <c r="A398">
        <v>396</v>
      </c>
      <c r="B398" t="s">
        <v>14</v>
      </c>
      <c r="C398" t="s">
        <v>477</v>
      </c>
      <c r="D398" t="str">
        <f>VLOOKUP(YouTube_University_Data_Final[[#This Row],[Title]],[1]!YouTube_University_Data_Final[[Title]:[Title_language]],2,FALSE)</f>
        <v>English</v>
      </c>
      <c r="E398" t="s">
        <v>478</v>
      </c>
      <c r="F398">
        <v>28</v>
      </c>
      <c r="G398" s="1">
        <v>41324</v>
      </c>
      <c r="H398">
        <v>144</v>
      </c>
      <c r="I398" t="s">
        <v>479</v>
      </c>
      <c r="J398">
        <v>1625</v>
      </c>
      <c r="K398">
        <v>3</v>
      </c>
      <c r="L398">
        <v>0</v>
      </c>
      <c r="M398">
        <v>4</v>
      </c>
      <c r="N398" t="s">
        <v>162</v>
      </c>
      <c r="O398">
        <v>2013</v>
      </c>
      <c r="P398" t="s">
        <v>480</v>
      </c>
    </row>
    <row r="399" spans="1:16" x14ac:dyDescent="0.3">
      <c r="A399">
        <v>397</v>
      </c>
      <c r="B399" t="s">
        <v>14</v>
      </c>
      <c r="C399" t="s">
        <v>481</v>
      </c>
      <c r="D399" t="str">
        <f>VLOOKUP(YouTube_University_Data_Final[[#This Row],[Title]],[1]!YouTube_University_Data_Final[[Title]:[Title_language]],2,FALSE)</f>
        <v>English</v>
      </c>
      <c r="E399" t="s">
        <v>482</v>
      </c>
      <c r="F399">
        <v>27</v>
      </c>
      <c r="G399" s="1">
        <v>41312</v>
      </c>
      <c r="H399">
        <v>70</v>
      </c>
      <c r="I399" t="s">
        <v>483</v>
      </c>
      <c r="J399">
        <v>1466</v>
      </c>
      <c r="K399">
        <v>5</v>
      </c>
      <c r="L399">
        <v>0</v>
      </c>
      <c r="M399">
        <v>0</v>
      </c>
      <c r="N399" t="s">
        <v>162</v>
      </c>
      <c r="O399">
        <v>2013</v>
      </c>
      <c r="P399" t="s">
        <v>18</v>
      </c>
    </row>
    <row r="400" spans="1:16" x14ac:dyDescent="0.3">
      <c r="A400">
        <v>398</v>
      </c>
      <c r="B400" t="s">
        <v>14</v>
      </c>
      <c r="C400" t="s">
        <v>484</v>
      </c>
      <c r="D400" t="str">
        <f>VLOOKUP(YouTube_University_Data_Final[[#This Row],[Title]],[1]!YouTube_University_Data_Final[[Title]:[Title_language]],2,FALSE)</f>
        <v>English</v>
      </c>
      <c r="E400" t="s">
        <v>485</v>
      </c>
      <c r="F400">
        <v>27</v>
      </c>
      <c r="G400" s="1">
        <v>41114</v>
      </c>
      <c r="H400">
        <v>140</v>
      </c>
      <c r="I400" t="s">
        <v>486</v>
      </c>
      <c r="J400">
        <v>356</v>
      </c>
      <c r="K400">
        <v>0</v>
      </c>
      <c r="L400">
        <v>0</v>
      </c>
      <c r="M400">
        <v>0</v>
      </c>
      <c r="N400" t="s">
        <v>56</v>
      </c>
      <c r="O400">
        <v>2012</v>
      </c>
      <c r="P400" t="s">
        <v>18</v>
      </c>
    </row>
    <row r="401" spans="1:16" x14ac:dyDescent="0.3">
      <c r="A401">
        <v>399</v>
      </c>
      <c r="B401" t="s">
        <v>14</v>
      </c>
      <c r="C401" t="s">
        <v>487</v>
      </c>
      <c r="D401" t="str">
        <f>VLOOKUP(YouTube_University_Data_Final[[#This Row],[Title]],[1]!YouTube_University_Data_Final[[Title]:[Title_language]],2,FALSE)</f>
        <v>English</v>
      </c>
      <c r="E401" t="s">
        <v>487</v>
      </c>
      <c r="F401">
        <v>27</v>
      </c>
      <c r="G401" s="1">
        <v>40814</v>
      </c>
      <c r="H401">
        <v>1135</v>
      </c>
      <c r="I401" t="s">
        <v>16</v>
      </c>
      <c r="J401">
        <v>710</v>
      </c>
      <c r="K401">
        <v>1</v>
      </c>
      <c r="L401">
        <v>0</v>
      </c>
      <c r="M401">
        <v>1</v>
      </c>
      <c r="N401" t="s">
        <v>21</v>
      </c>
      <c r="O401">
        <v>2011</v>
      </c>
      <c r="P401" t="s">
        <v>18</v>
      </c>
    </row>
    <row r="402" spans="1:16" x14ac:dyDescent="0.3">
      <c r="A402">
        <v>400</v>
      </c>
      <c r="B402" t="s">
        <v>14</v>
      </c>
      <c r="C402" t="s">
        <v>488</v>
      </c>
      <c r="D402" t="str">
        <f>VLOOKUP(YouTube_University_Data_Final[[#This Row],[Title]],[1]!YouTube_University_Data_Final[[Title]:[Title_language]],2,FALSE)</f>
        <v>English</v>
      </c>
      <c r="E402" t="s">
        <v>3055</v>
      </c>
      <c r="F402">
        <v>27</v>
      </c>
      <c r="G402" s="1">
        <v>40787</v>
      </c>
      <c r="H402">
        <v>311</v>
      </c>
      <c r="I402" t="s">
        <v>489</v>
      </c>
      <c r="J402">
        <v>572</v>
      </c>
      <c r="K402">
        <v>0</v>
      </c>
      <c r="L402">
        <v>0</v>
      </c>
      <c r="M402">
        <v>0</v>
      </c>
      <c r="N402" t="s">
        <v>21</v>
      </c>
      <c r="O402">
        <v>2011</v>
      </c>
      <c r="P402" t="s">
        <v>18</v>
      </c>
    </row>
    <row r="403" spans="1:16" x14ac:dyDescent="0.3">
      <c r="A403">
        <v>401</v>
      </c>
      <c r="B403" t="s">
        <v>14</v>
      </c>
      <c r="C403" t="s">
        <v>490</v>
      </c>
      <c r="D403" t="str">
        <f>VLOOKUP(YouTube_University_Data_Final[[#This Row],[Title]],[1]!YouTube_University_Data_Final[[Title]:[Title_language]],2,FALSE)</f>
        <v>English</v>
      </c>
      <c r="E403" t="s">
        <v>3056</v>
      </c>
      <c r="F403">
        <v>27</v>
      </c>
      <c r="G403" s="1">
        <v>40746</v>
      </c>
      <c r="H403">
        <v>31</v>
      </c>
      <c r="I403" t="s">
        <v>491</v>
      </c>
      <c r="J403">
        <v>468</v>
      </c>
      <c r="K403">
        <v>4</v>
      </c>
      <c r="L403">
        <v>0</v>
      </c>
      <c r="M403">
        <v>0</v>
      </c>
      <c r="N403" t="s">
        <v>56</v>
      </c>
      <c r="O403">
        <v>2011</v>
      </c>
      <c r="P403" t="s">
        <v>18</v>
      </c>
    </row>
    <row r="404" spans="1:16" x14ac:dyDescent="0.3">
      <c r="A404">
        <v>402</v>
      </c>
      <c r="B404" t="s">
        <v>14</v>
      </c>
      <c r="C404" t="s">
        <v>492</v>
      </c>
      <c r="D404" t="str">
        <f>VLOOKUP(YouTube_University_Data_Final[[#This Row],[Title]],[1]!YouTube_University_Data_Final[[Title]:[Title_language]],2,FALSE)</f>
        <v>English</v>
      </c>
      <c r="E404" t="s">
        <v>492</v>
      </c>
      <c r="F404">
        <v>27</v>
      </c>
      <c r="G404" s="1">
        <v>40744</v>
      </c>
      <c r="H404">
        <v>98</v>
      </c>
      <c r="I404" t="s">
        <v>16</v>
      </c>
      <c r="J404">
        <v>562</v>
      </c>
      <c r="K404">
        <v>1</v>
      </c>
      <c r="L404">
        <v>0</v>
      </c>
      <c r="M404">
        <v>0</v>
      </c>
      <c r="N404" t="s">
        <v>56</v>
      </c>
      <c r="O404">
        <v>2011</v>
      </c>
      <c r="P404" t="s">
        <v>18</v>
      </c>
    </row>
    <row r="405" spans="1:16" x14ac:dyDescent="0.3">
      <c r="A405">
        <v>403</v>
      </c>
      <c r="B405" t="s">
        <v>14</v>
      </c>
      <c r="C405" t="s">
        <v>487</v>
      </c>
      <c r="D405" t="str">
        <f>VLOOKUP(YouTube_University_Data_Final[[#This Row],[Title]],[1]!YouTube_University_Data_Final[[Title]:[Title_language]],2,FALSE)</f>
        <v>English</v>
      </c>
      <c r="E405" t="s">
        <v>487</v>
      </c>
      <c r="F405">
        <v>27</v>
      </c>
      <c r="G405" s="1">
        <v>40682</v>
      </c>
      <c r="H405">
        <v>722</v>
      </c>
      <c r="I405" t="s">
        <v>16</v>
      </c>
      <c r="J405">
        <v>347</v>
      </c>
      <c r="K405">
        <v>0</v>
      </c>
      <c r="L405">
        <v>0</v>
      </c>
      <c r="M405">
        <v>0</v>
      </c>
      <c r="N405" t="s">
        <v>81</v>
      </c>
      <c r="O405">
        <v>2011</v>
      </c>
      <c r="P405" t="s">
        <v>18</v>
      </c>
    </row>
    <row r="406" spans="1:16" x14ac:dyDescent="0.3">
      <c r="A406">
        <v>404</v>
      </c>
      <c r="B406" t="s">
        <v>14</v>
      </c>
      <c r="C406" t="s">
        <v>493</v>
      </c>
      <c r="D406" t="str">
        <f>VLOOKUP(YouTube_University_Data_Final[[#This Row],[Title]],[1]!YouTube_University_Data_Final[[Title]:[Title_language]],2,FALSE)</f>
        <v>English</v>
      </c>
      <c r="E406" t="s">
        <v>494</v>
      </c>
      <c r="F406">
        <v>27</v>
      </c>
      <c r="G406" s="1">
        <v>40533</v>
      </c>
      <c r="H406">
        <v>135</v>
      </c>
      <c r="I406" t="s">
        <v>16</v>
      </c>
      <c r="J406">
        <v>3782</v>
      </c>
      <c r="K406">
        <v>5</v>
      </c>
      <c r="L406">
        <v>0</v>
      </c>
      <c r="M406">
        <v>1</v>
      </c>
      <c r="N406" t="s">
        <v>98</v>
      </c>
      <c r="O406">
        <v>2010</v>
      </c>
      <c r="P406" t="s">
        <v>18</v>
      </c>
    </row>
    <row r="407" spans="1:16" x14ac:dyDescent="0.3">
      <c r="A407">
        <v>405</v>
      </c>
      <c r="B407" t="s">
        <v>14</v>
      </c>
      <c r="C407" t="s">
        <v>495</v>
      </c>
      <c r="D407" t="str">
        <f>VLOOKUP(YouTube_University_Data_Final[[#This Row],[Title]],[1]!YouTube_University_Data_Final[[Title]:[Title_language]],2,FALSE)</f>
        <v>English</v>
      </c>
      <c r="E407" t="s">
        <v>496</v>
      </c>
      <c r="F407">
        <v>27</v>
      </c>
      <c r="G407" s="1">
        <v>40312</v>
      </c>
      <c r="H407">
        <v>556</v>
      </c>
      <c r="I407" t="s">
        <v>497</v>
      </c>
      <c r="J407">
        <v>1600</v>
      </c>
      <c r="K407">
        <v>3</v>
      </c>
      <c r="L407">
        <v>0</v>
      </c>
      <c r="M407">
        <v>0</v>
      </c>
      <c r="N407" t="s">
        <v>81</v>
      </c>
      <c r="O407">
        <v>2010</v>
      </c>
      <c r="P407" t="s">
        <v>18</v>
      </c>
    </row>
    <row r="408" spans="1:16" x14ac:dyDescent="0.3">
      <c r="A408">
        <v>406</v>
      </c>
      <c r="B408" t="s">
        <v>14</v>
      </c>
      <c r="C408" t="s">
        <v>498</v>
      </c>
      <c r="D408" t="str">
        <f>VLOOKUP(YouTube_University_Data_Final[[#This Row],[Title]],[1]!YouTube_University_Data_Final[[Title]:[Title_language]],2,FALSE)</f>
        <v>English</v>
      </c>
      <c r="E408" t="s">
        <v>499</v>
      </c>
      <c r="F408">
        <v>27</v>
      </c>
      <c r="G408" s="1">
        <v>40312</v>
      </c>
      <c r="H408">
        <v>572</v>
      </c>
      <c r="I408" t="s">
        <v>500</v>
      </c>
      <c r="J408">
        <v>258</v>
      </c>
      <c r="K408">
        <v>1</v>
      </c>
      <c r="L408">
        <v>0</v>
      </c>
      <c r="M408">
        <v>0</v>
      </c>
      <c r="N408" t="s">
        <v>81</v>
      </c>
      <c r="O408">
        <v>2010</v>
      </c>
      <c r="P408" t="s">
        <v>18</v>
      </c>
    </row>
    <row r="409" spans="1:16" x14ac:dyDescent="0.3">
      <c r="A409">
        <v>407</v>
      </c>
      <c r="B409" t="s">
        <v>14</v>
      </c>
      <c r="C409" t="s">
        <v>501</v>
      </c>
      <c r="D409" t="str">
        <f>VLOOKUP(YouTube_University_Data_Final[[#This Row],[Title]],[1]!YouTube_University_Data_Final[[Title]:[Title_language]],2,FALSE)</f>
        <v>English</v>
      </c>
      <c r="E409" t="s">
        <v>502</v>
      </c>
      <c r="F409">
        <v>27</v>
      </c>
      <c r="G409" s="1">
        <v>40312</v>
      </c>
      <c r="H409">
        <v>410</v>
      </c>
      <c r="I409" t="s">
        <v>500</v>
      </c>
      <c r="J409">
        <v>429</v>
      </c>
      <c r="K409">
        <v>1</v>
      </c>
      <c r="L409">
        <v>0</v>
      </c>
      <c r="M409">
        <v>0</v>
      </c>
      <c r="N409" t="s">
        <v>81</v>
      </c>
      <c r="O409">
        <v>2010</v>
      </c>
      <c r="P409" t="s">
        <v>18</v>
      </c>
    </row>
    <row r="410" spans="1:16" x14ac:dyDescent="0.3">
      <c r="A410">
        <v>408</v>
      </c>
      <c r="B410" t="s">
        <v>14</v>
      </c>
      <c r="C410" t="s">
        <v>503</v>
      </c>
      <c r="D410" t="str">
        <f>VLOOKUP(YouTube_University_Data_Final[[#This Row],[Title]],[1]!YouTube_University_Data_Final[[Title]:[Title_language]],2,FALSE)</f>
        <v>English</v>
      </c>
      <c r="E410" t="s">
        <v>504</v>
      </c>
      <c r="F410">
        <v>27</v>
      </c>
      <c r="G410" s="1">
        <v>40312</v>
      </c>
      <c r="H410">
        <v>581</v>
      </c>
      <c r="I410" t="s">
        <v>500</v>
      </c>
      <c r="J410">
        <v>111</v>
      </c>
      <c r="K410">
        <v>1</v>
      </c>
      <c r="L410">
        <v>0</v>
      </c>
      <c r="M410">
        <v>0</v>
      </c>
      <c r="N410" t="s">
        <v>81</v>
      </c>
      <c r="O410">
        <v>2010</v>
      </c>
      <c r="P410" t="s">
        <v>18</v>
      </c>
    </row>
    <row r="411" spans="1:16" x14ac:dyDescent="0.3">
      <c r="A411">
        <v>409</v>
      </c>
      <c r="B411" t="s">
        <v>14</v>
      </c>
      <c r="C411" t="s">
        <v>505</v>
      </c>
      <c r="D411" t="str">
        <f>VLOOKUP(YouTube_University_Data_Final[[#This Row],[Title]],[1]!YouTube_University_Data_Final[[Title]:[Title_language]],2,FALSE)</f>
        <v>English</v>
      </c>
      <c r="E411" t="s">
        <v>506</v>
      </c>
      <c r="F411">
        <v>27</v>
      </c>
      <c r="G411" s="1">
        <v>40312</v>
      </c>
      <c r="H411">
        <v>555</v>
      </c>
      <c r="I411" t="s">
        <v>500</v>
      </c>
      <c r="J411">
        <v>419</v>
      </c>
      <c r="K411">
        <v>1</v>
      </c>
      <c r="L411">
        <v>0</v>
      </c>
      <c r="M411">
        <v>0</v>
      </c>
      <c r="N411" t="s">
        <v>81</v>
      </c>
      <c r="O411">
        <v>2010</v>
      </c>
      <c r="P411" t="s">
        <v>18</v>
      </c>
    </row>
    <row r="412" spans="1:16" x14ac:dyDescent="0.3">
      <c r="A412">
        <v>410</v>
      </c>
      <c r="B412" t="s">
        <v>14</v>
      </c>
      <c r="C412" t="s">
        <v>507</v>
      </c>
      <c r="D412" t="str">
        <f>VLOOKUP(YouTube_University_Data_Final[[#This Row],[Title]],[1]!YouTube_University_Data_Final[[Title]:[Title_language]],2,FALSE)</f>
        <v>English</v>
      </c>
      <c r="E412" t="s">
        <v>508</v>
      </c>
      <c r="F412">
        <v>27</v>
      </c>
      <c r="G412" s="1">
        <v>40312</v>
      </c>
      <c r="H412">
        <v>333</v>
      </c>
      <c r="I412" t="s">
        <v>500</v>
      </c>
      <c r="J412">
        <v>132</v>
      </c>
      <c r="K412">
        <v>0</v>
      </c>
      <c r="L412">
        <v>0</v>
      </c>
      <c r="M412">
        <v>0</v>
      </c>
      <c r="N412" t="s">
        <v>81</v>
      </c>
      <c r="O412">
        <v>2010</v>
      </c>
      <c r="P412" t="s">
        <v>18</v>
      </c>
    </row>
    <row r="413" spans="1:16" x14ac:dyDescent="0.3">
      <c r="A413">
        <v>411</v>
      </c>
      <c r="B413" t="s">
        <v>14</v>
      </c>
      <c r="C413" t="s">
        <v>509</v>
      </c>
      <c r="D413" t="str">
        <f>VLOOKUP(YouTube_University_Data_Final[[#This Row],[Title]],[1]!YouTube_University_Data_Final[[Title]:[Title_language]],2,FALSE)</f>
        <v>English</v>
      </c>
      <c r="E413" t="s">
        <v>510</v>
      </c>
      <c r="F413">
        <v>27</v>
      </c>
      <c r="G413" s="1">
        <v>40312</v>
      </c>
      <c r="H413">
        <v>543</v>
      </c>
      <c r="I413" t="s">
        <v>500</v>
      </c>
      <c r="J413">
        <v>2145</v>
      </c>
      <c r="K413">
        <v>3</v>
      </c>
      <c r="L413">
        <v>0</v>
      </c>
      <c r="M413">
        <v>1</v>
      </c>
      <c r="N413" t="s">
        <v>81</v>
      </c>
      <c r="O413">
        <v>2010</v>
      </c>
      <c r="P413" t="s">
        <v>18</v>
      </c>
    </row>
    <row r="414" spans="1:16" x14ac:dyDescent="0.3">
      <c r="A414">
        <v>412</v>
      </c>
      <c r="B414" t="s">
        <v>14</v>
      </c>
      <c r="C414" t="s">
        <v>511</v>
      </c>
      <c r="D414" t="str">
        <f>VLOOKUP(YouTube_University_Data_Final[[#This Row],[Title]],[1]!YouTube_University_Data_Final[[Title]:[Title_language]],2,FALSE)</f>
        <v>English</v>
      </c>
      <c r="E414" t="s">
        <v>512</v>
      </c>
      <c r="F414">
        <v>27</v>
      </c>
      <c r="G414" s="1">
        <v>40312</v>
      </c>
      <c r="H414">
        <v>249</v>
      </c>
      <c r="I414" t="s">
        <v>500</v>
      </c>
      <c r="J414">
        <v>259</v>
      </c>
      <c r="K414">
        <v>0</v>
      </c>
      <c r="L414">
        <v>0</v>
      </c>
      <c r="M414">
        <v>0</v>
      </c>
      <c r="N414" t="s">
        <v>81</v>
      </c>
      <c r="O414">
        <v>2010</v>
      </c>
      <c r="P414" t="s">
        <v>18</v>
      </c>
    </row>
    <row r="415" spans="1:16" x14ac:dyDescent="0.3">
      <c r="A415">
        <v>413</v>
      </c>
      <c r="B415" t="s">
        <v>14</v>
      </c>
      <c r="C415" t="s">
        <v>513</v>
      </c>
      <c r="D415" t="str">
        <f>VLOOKUP(YouTube_University_Data_Final[[#This Row],[Title]],[1]!YouTube_University_Data_Final[[Title]:[Title_language]],2,FALSE)</f>
        <v>English</v>
      </c>
      <c r="E415" t="s">
        <v>513</v>
      </c>
      <c r="F415">
        <v>27</v>
      </c>
      <c r="G415" s="1">
        <v>40203</v>
      </c>
      <c r="H415">
        <v>437</v>
      </c>
      <c r="I415" t="s">
        <v>514</v>
      </c>
      <c r="J415">
        <v>1090</v>
      </c>
      <c r="K415">
        <v>2</v>
      </c>
      <c r="L415">
        <v>0</v>
      </c>
      <c r="M415">
        <v>2</v>
      </c>
      <c r="N415" t="s">
        <v>93</v>
      </c>
      <c r="O415">
        <v>2010</v>
      </c>
      <c r="P415" t="s">
        <v>18</v>
      </c>
    </row>
    <row r="416" spans="1:16" x14ac:dyDescent="0.3">
      <c r="A416">
        <v>414</v>
      </c>
      <c r="B416" t="s">
        <v>14</v>
      </c>
      <c r="C416" t="s">
        <v>515</v>
      </c>
      <c r="D416" t="str">
        <f>VLOOKUP(YouTube_University_Data_Final[[#This Row],[Title]],[1]!YouTube_University_Data_Final[[Title]:[Title_language]],2,FALSE)</f>
        <v>English</v>
      </c>
      <c r="E416" t="s">
        <v>515</v>
      </c>
      <c r="F416">
        <v>27</v>
      </c>
      <c r="G416" s="1">
        <v>40203</v>
      </c>
      <c r="H416">
        <v>436</v>
      </c>
      <c r="I416" t="s">
        <v>516</v>
      </c>
      <c r="J416">
        <v>1522</v>
      </c>
      <c r="K416">
        <v>2</v>
      </c>
      <c r="L416">
        <v>0</v>
      </c>
      <c r="M416">
        <v>0</v>
      </c>
      <c r="N416" t="s">
        <v>93</v>
      </c>
      <c r="O416">
        <v>2010</v>
      </c>
      <c r="P416" t="s">
        <v>18</v>
      </c>
    </row>
    <row r="417" spans="1:16" x14ac:dyDescent="0.3">
      <c r="A417">
        <v>415</v>
      </c>
      <c r="B417" t="s">
        <v>14</v>
      </c>
      <c r="C417" t="s">
        <v>517</v>
      </c>
      <c r="D417" t="str">
        <f>VLOOKUP(YouTube_University_Data_Final[[#This Row],[Title]],[1]!YouTube_University_Data_Final[[Title]:[Title_language]],2,FALSE)</f>
        <v>English</v>
      </c>
      <c r="E417" t="s">
        <v>517</v>
      </c>
      <c r="F417">
        <v>22</v>
      </c>
      <c r="G417" s="1">
        <v>40202</v>
      </c>
      <c r="H417">
        <v>432</v>
      </c>
      <c r="I417" t="s">
        <v>518</v>
      </c>
      <c r="J417">
        <v>19351</v>
      </c>
      <c r="K417">
        <v>54</v>
      </c>
      <c r="L417">
        <v>0</v>
      </c>
      <c r="M417">
        <v>2</v>
      </c>
      <c r="N417" t="s">
        <v>93</v>
      </c>
      <c r="O417">
        <v>2010</v>
      </c>
      <c r="P417" t="s">
        <v>519</v>
      </c>
    </row>
    <row r="418" spans="1:16" x14ac:dyDescent="0.3">
      <c r="A418">
        <v>0</v>
      </c>
      <c r="B418" t="s">
        <v>520</v>
      </c>
      <c r="C418" t="s">
        <v>521</v>
      </c>
      <c r="D418" t="str">
        <f>VLOOKUP(YouTube_University_Data_Final[[#This Row],[Title]],[1]!YouTube_University_Data_Final[[Title]:[Title_language]],2,FALSE)</f>
        <v>English</v>
      </c>
      <c r="E418" t="s">
        <v>3057</v>
      </c>
      <c r="F418">
        <v>27</v>
      </c>
      <c r="G418" s="1">
        <v>44839</v>
      </c>
      <c r="H418">
        <v>80</v>
      </c>
      <c r="I418" t="s">
        <v>522</v>
      </c>
      <c r="J418">
        <v>38</v>
      </c>
      <c r="K418">
        <v>1</v>
      </c>
      <c r="L418">
        <v>0</v>
      </c>
      <c r="M418">
        <v>0</v>
      </c>
      <c r="N418" t="s">
        <v>17</v>
      </c>
      <c r="O418">
        <v>2022</v>
      </c>
      <c r="P418" t="s">
        <v>18</v>
      </c>
    </row>
    <row r="419" spans="1:16" x14ac:dyDescent="0.3">
      <c r="A419">
        <v>1</v>
      </c>
      <c r="B419" t="s">
        <v>520</v>
      </c>
      <c r="C419" t="s">
        <v>3058</v>
      </c>
      <c r="D419" t="str">
        <f>VLOOKUP(YouTube_University_Data_Final[[#This Row],[Title]],[1]!YouTube_University_Data_Final[[Title]:[Title_language]],2,FALSE)</f>
        <v>English</v>
      </c>
      <c r="E419" t="s">
        <v>3059</v>
      </c>
      <c r="F419">
        <v>27</v>
      </c>
      <c r="G419" s="1">
        <v>44828</v>
      </c>
      <c r="H419">
        <v>76</v>
      </c>
      <c r="I419" t="s">
        <v>522</v>
      </c>
      <c r="J419">
        <v>389</v>
      </c>
      <c r="K419">
        <v>9</v>
      </c>
      <c r="L419">
        <v>0</v>
      </c>
      <c r="M419">
        <v>0</v>
      </c>
      <c r="N419" t="s">
        <v>21</v>
      </c>
      <c r="O419">
        <v>2022</v>
      </c>
      <c r="P419" t="s">
        <v>18</v>
      </c>
    </row>
    <row r="420" spans="1:16" x14ac:dyDescent="0.3">
      <c r="A420">
        <v>2</v>
      </c>
      <c r="B420" t="s">
        <v>520</v>
      </c>
      <c r="C420" t="s">
        <v>523</v>
      </c>
      <c r="D420" t="str">
        <f>VLOOKUP(YouTube_University_Data_Final[[#This Row],[Title]],[1]!YouTube_University_Data_Final[[Title]:[Title_language]],2,FALSE)</f>
        <v>English</v>
      </c>
      <c r="E420" t="s">
        <v>3060</v>
      </c>
      <c r="F420">
        <v>27</v>
      </c>
      <c r="G420" s="1">
        <v>44824</v>
      </c>
      <c r="H420">
        <v>94</v>
      </c>
      <c r="I420" t="s">
        <v>522</v>
      </c>
      <c r="J420">
        <v>994</v>
      </c>
      <c r="K420">
        <v>18</v>
      </c>
      <c r="L420">
        <v>0</v>
      </c>
      <c r="M420">
        <v>0</v>
      </c>
      <c r="N420" t="s">
        <v>21</v>
      </c>
      <c r="O420">
        <v>2022</v>
      </c>
      <c r="P420" t="s">
        <v>18</v>
      </c>
    </row>
    <row r="421" spans="1:16" x14ac:dyDescent="0.3">
      <c r="A421">
        <v>3</v>
      </c>
      <c r="B421" t="s">
        <v>520</v>
      </c>
      <c r="C421" t="s">
        <v>3061</v>
      </c>
      <c r="D421" t="str">
        <f>VLOOKUP(YouTube_University_Data_Final[[#This Row],[Title]],[1]!YouTube_University_Data_Final[[Title]:[Title_language]],2,FALSE)</f>
        <v>Bilingual</v>
      </c>
      <c r="E421" t="s">
        <v>3062</v>
      </c>
      <c r="F421">
        <v>27</v>
      </c>
      <c r="G421" s="1">
        <v>44805</v>
      </c>
      <c r="H421">
        <v>114</v>
      </c>
      <c r="I421" t="s">
        <v>522</v>
      </c>
      <c r="J421">
        <v>563</v>
      </c>
      <c r="K421">
        <v>22</v>
      </c>
      <c r="L421">
        <v>0</v>
      </c>
      <c r="M421">
        <v>0</v>
      </c>
      <c r="N421" t="s">
        <v>21</v>
      </c>
      <c r="O421">
        <v>2022</v>
      </c>
      <c r="P421" t="s">
        <v>18</v>
      </c>
    </row>
    <row r="422" spans="1:16" x14ac:dyDescent="0.3">
      <c r="A422">
        <v>4</v>
      </c>
      <c r="B422" t="s">
        <v>520</v>
      </c>
      <c r="C422" t="s">
        <v>524</v>
      </c>
      <c r="D422" t="str">
        <f>VLOOKUP(YouTube_University_Data_Final[[#This Row],[Title]],[1]!YouTube_University_Data_Final[[Title]:[Title_language]],2,FALSE)</f>
        <v>English</v>
      </c>
      <c r="E422" t="s">
        <v>2944</v>
      </c>
      <c r="F422">
        <v>27</v>
      </c>
      <c r="G422" s="1">
        <v>44803</v>
      </c>
      <c r="H422">
        <v>83</v>
      </c>
      <c r="I422" t="s">
        <v>522</v>
      </c>
      <c r="J422">
        <v>322</v>
      </c>
      <c r="K422">
        <v>6</v>
      </c>
      <c r="L422">
        <v>0</v>
      </c>
      <c r="M422">
        <v>0</v>
      </c>
      <c r="N422" t="s">
        <v>48</v>
      </c>
      <c r="O422">
        <v>2022</v>
      </c>
      <c r="P422" t="s">
        <v>18</v>
      </c>
    </row>
    <row r="423" spans="1:16" x14ac:dyDescent="0.3">
      <c r="A423">
        <v>5</v>
      </c>
      <c r="B423" t="s">
        <v>520</v>
      </c>
      <c r="C423" t="s">
        <v>3063</v>
      </c>
      <c r="D423" t="str">
        <f>VLOOKUP(YouTube_University_Data_Final[[#This Row],[Title]],[1]!YouTube_University_Data_Final[[Title]:[Title_language]],2,FALSE)</f>
        <v>English</v>
      </c>
      <c r="E423" t="s">
        <v>3064</v>
      </c>
      <c r="F423">
        <v>27</v>
      </c>
      <c r="G423" s="1">
        <v>44790</v>
      </c>
      <c r="H423">
        <v>880</v>
      </c>
      <c r="I423" t="s">
        <v>522</v>
      </c>
      <c r="J423">
        <v>200</v>
      </c>
      <c r="K423">
        <v>0</v>
      </c>
      <c r="L423">
        <v>0</v>
      </c>
      <c r="M423">
        <v>0</v>
      </c>
      <c r="N423" t="s">
        <v>48</v>
      </c>
      <c r="O423">
        <v>2022</v>
      </c>
      <c r="P423" t="s">
        <v>18</v>
      </c>
    </row>
    <row r="424" spans="1:16" x14ac:dyDescent="0.3">
      <c r="A424">
        <v>6</v>
      </c>
      <c r="B424" t="s">
        <v>520</v>
      </c>
      <c r="C424" t="s">
        <v>3065</v>
      </c>
      <c r="D424" t="str">
        <f>VLOOKUP(YouTube_University_Data_Final[[#This Row],[Title]],[1]!YouTube_University_Data_Final[[Title]:[Title_language]],2,FALSE)</f>
        <v>English</v>
      </c>
      <c r="E424" t="s">
        <v>3066</v>
      </c>
      <c r="F424">
        <v>27</v>
      </c>
      <c r="G424" s="1">
        <v>44790</v>
      </c>
      <c r="H424">
        <v>528</v>
      </c>
      <c r="I424" t="s">
        <v>522</v>
      </c>
      <c r="J424">
        <v>164</v>
      </c>
      <c r="K424">
        <v>3</v>
      </c>
      <c r="L424">
        <v>0</v>
      </c>
      <c r="M424">
        <v>0</v>
      </c>
      <c r="N424" t="s">
        <v>48</v>
      </c>
      <c r="O424">
        <v>2022</v>
      </c>
      <c r="P424" t="s">
        <v>18</v>
      </c>
    </row>
    <row r="425" spans="1:16" x14ac:dyDescent="0.3">
      <c r="A425">
        <v>7</v>
      </c>
      <c r="B425" t="s">
        <v>520</v>
      </c>
      <c r="C425" t="s">
        <v>3067</v>
      </c>
      <c r="D425" t="str">
        <f>VLOOKUP(YouTube_University_Data_Final[[#This Row],[Title]],[1]!YouTube_University_Data_Final[[Title]:[Title_language]],2,FALSE)</f>
        <v>English</v>
      </c>
      <c r="E425" t="s">
        <v>3068</v>
      </c>
      <c r="F425">
        <v>27</v>
      </c>
      <c r="G425" s="1">
        <v>44790</v>
      </c>
      <c r="H425">
        <v>374</v>
      </c>
      <c r="I425" t="s">
        <v>522</v>
      </c>
      <c r="J425">
        <v>98</v>
      </c>
      <c r="K425">
        <v>0</v>
      </c>
      <c r="L425">
        <v>0</v>
      </c>
      <c r="M425">
        <v>0</v>
      </c>
      <c r="N425" t="s">
        <v>48</v>
      </c>
      <c r="O425">
        <v>2022</v>
      </c>
      <c r="P425" t="s">
        <v>18</v>
      </c>
    </row>
    <row r="426" spans="1:16" x14ac:dyDescent="0.3">
      <c r="A426">
        <v>8</v>
      </c>
      <c r="B426" t="s">
        <v>520</v>
      </c>
      <c r="C426" t="s">
        <v>525</v>
      </c>
      <c r="D426" t="str">
        <f>VLOOKUP(YouTube_University_Data_Final[[#This Row],[Title]],[1]!YouTube_University_Data_Final[[Title]:[Title_language]],2,FALSE)</f>
        <v>English</v>
      </c>
      <c r="E426" t="s">
        <v>2944</v>
      </c>
      <c r="F426">
        <v>27</v>
      </c>
      <c r="G426" s="1">
        <v>44785</v>
      </c>
      <c r="H426">
        <v>66</v>
      </c>
      <c r="I426" t="s">
        <v>522</v>
      </c>
      <c r="J426">
        <v>524</v>
      </c>
      <c r="K426">
        <v>5</v>
      </c>
      <c r="L426">
        <v>0</v>
      </c>
      <c r="M426">
        <v>0</v>
      </c>
      <c r="N426" t="s">
        <v>48</v>
      </c>
      <c r="O426">
        <v>2022</v>
      </c>
      <c r="P426" t="s">
        <v>18</v>
      </c>
    </row>
    <row r="427" spans="1:16" x14ac:dyDescent="0.3">
      <c r="A427">
        <v>9</v>
      </c>
      <c r="B427" t="s">
        <v>520</v>
      </c>
      <c r="C427" t="s">
        <v>3069</v>
      </c>
      <c r="D427" t="str">
        <f>VLOOKUP(YouTube_University_Data_Final[[#This Row],[Title]],[1]!YouTube_University_Data_Final[[Title]:[Title_language]],2,FALSE)</f>
        <v>English</v>
      </c>
      <c r="E427" t="s">
        <v>3070</v>
      </c>
      <c r="F427">
        <v>27</v>
      </c>
      <c r="G427" s="1">
        <v>44778</v>
      </c>
      <c r="H427">
        <v>192</v>
      </c>
      <c r="I427" t="s">
        <v>522</v>
      </c>
      <c r="J427">
        <v>692</v>
      </c>
      <c r="K427">
        <v>15</v>
      </c>
      <c r="L427">
        <v>0</v>
      </c>
      <c r="M427">
        <v>0</v>
      </c>
      <c r="N427" t="s">
        <v>48</v>
      </c>
      <c r="O427">
        <v>2022</v>
      </c>
      <c r="P427" t="s">
        <v>18</v>
      </c>
    </row>
    <row r="428" spans="1:16" x14ac:dyDescent="0.3">
      <c r="A428">
        <v>10</v>
      </c>
      <c r="B428" t="s">
        <v>520</v>
      </c>
      <c r="C428" t="s">
        <v>526</v>
      </c>
      <c r="D428" t="str">
        <f>VLOOKUP(YouTube_University_Data_Final[[#This Row],[Title]],[1]!YouTube_University_Data_Final[[Title]:[Title_language]],2,FALSE)</f>
        <v>English</v>
      </c>
      <c r="E428" t="s">
        <v>3071</v>
      </c>
      <c r="F428">
        <v>27</v>
      </c>
      <c r="G428" s="1">
        <v>44770</v>
      </c>
      <c r="H428">
        <v>83</v>
      </c>
      <c r="I428" t="s">
        <v>522</v>
      </c>
      <c r="J428">
        <v>434</v>
      </c>
      <c r="K428">
        <v>5</v>
      </c>
      <c r="L428">
        <v>0</v>
      </c>
      <c r="M428">
        <v>0</v>
      </c>
      <c r="N428" t="s">
        <v>56</v>
      </c>
      <c r="O428">
        <v>2022</v>
      </c>
      <c r="P428" t="s">
        <v>18</v>
      </c>
    </row>
    <row r="429" spans="1:16" x14ac:dyDescent="0.3">
      <c r="A429">
        <v>11</v>
      </c>
      <c r="B429" t="s">
        <v>520</v>
      </c>
      <c r="C429" t="s">
        <v>3072</v>
      </c>
      <c r="D429" t="str">
        <f>VLOOKUP(YouTube_University_Data_Final[[#This Row],[Title]],[1]!YouTube_University_Data_Final[[Title]:[Title_language]],2,FALSE)</f>
        <v>Chinese</v>
      </c>
      <c r="E429" t="s">
        <v>3073</v>
      </c>
      <c r="F429">
        <v>27</v>
      </c>
      <c r="G429" s="1">
        <v>44705</v>
      </c>
      <c r="H429">
        <v>3428</v>
      </c>
      <c r="I429" t="s">
        <v>522</v>
      </c>
      <c r="J429">
        <v>5251</v>
      </c>
      <c r="K429">
        <v>56</v>
      </c>
      <c r="L429">
        <v>0</v>
      </c>
      <c r="M429">
        <v>0</v>
      </c>
      <c r="N429" t="s">
        <v>81</v>
      </c>
      <c r="O429">
        <v>2022</v>
      </c>
      <c r="P429" t="s">
        <v>18</v>
      </c>
    </row>
    <row r="430" spans="1:16" x14ac:dyDescent="0.3">
      <c r="A430">
        <v>12</v>
      </c>
      <c r="B430" t="s">
        <v>520</v>
      </c>
      <c r="C430" t="s">
        <v>527</v>
      </c>
      <c r="D430" t="str">
        <f>VLOOKUP(YouTube_University_Data_Final[[#This Row],[Title]],[1]!YouTube_University_Data_Final[[Title]:[Title_language]],2,FALSE)</f>
        <v>English</v>
      </c>
      <c r="E430" t="s">
        <v>528</v>
      </c>
      <c r="F430">
        <v>27</v>
      </c>
      <c r="G430" s="1">
        <v>44701</v>
      </c>
      <c r="H430">
        <v>150</v>
      </c>
      <c r="I430" t="s">
        <v>522</v>
      </c>
      <c r="J430">
        <v>282</v>
      </c>
      <c r="K430">
        <v>4</v>
      </c>
      <c r="L430">
        <v>0</v>
      </c>
      <c r="M430">
        <v>0</v>
      </c>
      <c r="N430" t="s">
        <v>81</v>
      </c>
      <c r="O430">
        <v>2022</v>
      </c>
      <c r="P430" t="s">
        <v>18</v>
      </c>
    </row>
    <row r="431" spans="1:16" x14ac:dyDescent="0.3">
      <c r="A431">
        <v>13</v>
      </c>
      <c r="B431" t="s">
        <v>520</v>
      </c>
      <c r="C431" t="s">
        <v>529</v>
      </c>
      <c r="D431" t="str">
        <f>VLOOKUP(YouTube_University_Data_Final[[#This Row],[Title]],[1]!YouTube_University_Data_Final[[Title]:[Title_language]],2,FALSE)</f>
        <v>English</v>
      </c>
      <c r="E431" t="s">
        <v>530</v>
      </c>
      <c r="F431">
        <v>27</v>
      </c>
      <c r="G431" s="1">
        <v>44701</v>
      </c>
      <c r="H431">
        <v>571</v>
      </c>
      <c r="I431" t="s">
        <v>522</v>
      </c>
      <c r="J431">
        <v>382</v>
      </c>
      <c r="K431">
        <v>5</v>
      </c>
      <c r="L431">
        <v>0</v>
      </c>
      <c r="M431">
        <v>0</v>
      </c>
      <c r="N431" t="s">
        <v>81</v>
      </c>
      <c r="O431">
        <v>2022</v>
      </c>
      <c r="P431" t="s">
        <v>18</v>
      </c>
    </row>
    <row r="432" spans="1:16" x14ac:dyDescent="0.3">
      <c r="A432">
        <v>14</v>
      </c>
      <c r="B432" t="s">
        <v>520</v>
      </c>
      <c r="C432" t="s">
        <v>531</v>
      </c>
      <c r="D432" t="str">
        <f>VLOOKUP(YouTube_University_Data_Final[[#This Row],[Title]],[1]!YouTube_University_Data_Final[[Title]:[Title_language]],2,FALSE)</f>
        <v>English</v>
      </c>
      <c r="E432" t="s">
        <v>532</v>
      </c>
      <c r="F432">
        <v>27</v>
      </c>
      <c r="G432" s="1">
        <v>44701</v>
      </c>
      <c r="H432">
        <v>204</v>
      </c>
      <c r="I432" t="s">
        <v>522</v>
      </c>
      <c r="J432">
        <v>263</v>
      </c>
      <c r="K432">
        <v>4</v>
      </c>
      <c r="L432">
        <v>0</v>
      </c>
      <c r="M432">
        <v>0</v>
      </c>
      <c r="N432" t="s">
        <v>81</v>
      </c>
      <c r="O432">
        <v>2022</v>
      </c>
      <c r="P432" t="s">
        <v>18</v>
      </c>
    </row>
    <row r="433" spans="1:16" x14ac:dyDescent="0.3">
      <c r="A433">
        <v>15</v>
      </c>
      <c r="B433" t="s">
        <v>520</v>
      </c>
      <c r="C433" t="s">
        <v>533</v>
      </c>
      <c r="D433" t="str">
        <f>VLOOKUP(YouTube_University_Data_Final[[#This Row],[Title]],[1]!YouTube_University_Data_Final[[Title]:[Title_language]],2,FALSE)</f>
        <v>English</v>
      </c>
      <c r="E433" t="s">
        <v>534</v>
      </c>
      <c r="F433">
        <v>27</v>
      </c>
      <c r="G433" s="1">
        <v>44701</v>
      </c>
      <c r="H433">
        <v>145</v>
      </c>
      <c r="I433" t="s">
        <v>522</v>
      </c>
      <c r="J433">
        <v>144</v>
      </c>
      <c r="K433">
        <v>1</v>
      </c>
      <c r="L433">
        <v>0</v>
      </c>
      <c r="M433">
        <v>0</v>
      </c>
      <c r="N433" t="s">
        <v>81</v>
      </c>
      <c r="O433">
        <v>2022</v>
      </c>
      <c r="P433" t="s">
        <v>18</v>
      </c>
    </row>
    <row r="434" spans="1:16" x14ac:dyDescent="0.3">
      <c r="A434">
        <v>16</v>
      </c>
      <c r="B434" t="s">
        <v>520</v>
      </c>
      <c r="C434" t="s">
        <v>535</v>
      </c>
      <c r="D434" t="str">
        <f>VLOOKUP(YouTube_University_Data_Final[[#This Row],[Title]],[1]!YouTube_University_Data_Final[[Title]:[Title_language]],2,FALSE)</f>
        <v>English</v>
      </c>
      <c r="E434" t="s">
        <v>536</v>
      </c>
      <c r="F434">
        <v>27</v>
      </c>
      <c r="G434" s="1">
        <v>44701</v>
      </c>
      <c r="H434">
        <v>101</v>
      </c>
      <c r="I434" t="s">
        <v>522</v>
      </c>
      <c r="J434">
        <v>104</v>
      </c>
      <c r="K434">
        <v>0</v>
      </c>
      <c r="L434">
        <v>0</v>
      </c>
      <c r="M434">
        <v>0</v>
      </c>
      <c r="N434" t="s">
        <v>81</v>
      </c>
      <c r="O434">
        <v>2022</v>
      </c>
      <c r="P434" t="s">
        <v>18</v>
      </c>
    </row>
    <row r="435" spans="1:16" x14ac:dyDescent="0.3">
      <c r="A435">
        <v>17</v>
      </c>
      <c r="B435" t="s">
        <v>520</v>
      </c>
      <c r="C435" t="s">
        <v>537</v>
      </c>
      <c r="D435" t="str">
        <f>VLOOKUP(YouTube_University_Data_Final[[#This Row],[Title]],[1]!YouTube_University_Data_Final[[Title]:[Title_language]],2,FALSE)</f>
        <v>English</v>
      </c>
      <c r="E435" t="s">
        <v>538</v>
      </c>
      <c r="F435">
        <v>27</v>
      </c>
      <c r="G435" s="1">
        <v>44692</v>
      </c>
      <c r="H435">
        <v>93</v>
      </c>
      <c r="I435" t="s">
        <v>522</v>
      </c>
      <c r="J435">
        <v>193831</v>
      </c>
      <c r="K435">
        <v>31</v>
      </c>
      <c r="L435">
        <v>0</v>
      </c>
      <c r="M435">
        <v>0</v>
      </c>
      <c r="N435" t="s">
        <v>81</v>
      </c>
      <c r="O435">
        <v>2022</v>
      </c>
      <c r="P435" t="s">
        <v>18</v>
      </c>
    </row>
    <row r="436" spans="1:16" x14ac:dyDescent="0.3">
      <c r="A436">
        <v>18</v>
      </c>
      <c r="B436" t="s">
        <v>520</v>
      </c>
      <c r="C436" t="s">
        <v>3074</v>
      </c>
      <c r="D436" t="str">
        <f>VLOOKUP(YouTube_University_Data_Final[[#This Row],[Title]],[1]!YouTube_University_Data_Final[[Title]:[Title_language]],2,FALSE)</f>
        <v>English</v>
      </c>
      <c r="E436" t="s">
        <v>539</v>
      </c>
      <c r="F436">
        <v>27</v>
      </c>
      <c r="G436" s="1">
        <v>44685</v>
      </c>
      <c r="H436">
        <v>228</v>
      </c>
      <c r="I436" t="s">
        <v>522</v>
      </c>
      <c r="J436">
        <v>481</v>
      </c>
      <c r="K436">
        <v>5</v>
      </c>
      <c r="L436">
        <v>0</v>
      </c>
      <c r="M436">
        <v>0</v>
      </c>
      <c r="N436" t="s">
        <v>81</v>
      </c>
      <c r="O436">
        <v>2022</v>
      </c>
      <c r="P436" t="s">
        <v>18</v>
      </c>
    </row>
    <row r="437" spans="1:16" x14ac:dyDescent="0.3">
      <c r="A437">
        <v>19</v>
      </c>
      <c r="B437" t="s">
        <v>520</v>
      </c>
      <c r="C437" t="s">
        <v>3075</v>
      </c>
      <c r="D437" t="str">
        <f>VLOOKUP(YouTube_University_Data_Final[[#This Row],[Title]],[1]!YouTube_University_Data_Final[[Title]:[Title_language]],2,FALSE)</f>
        <v>English</v>
      </c>
      <c r="E437" t="s">
        <v>540</v>
      </c>
      <c r="F437">
        <v>27</v>
      </c>
      <c r="G437" s="1">
        <v>44685</v>
      </c>
      <c r="H437">
        <v>134</v>
      </c>
      <c r="I437" t="s">
        <v>522</v>
      </c>
      <c r="J437">
        <v>321</v>
      </c>
      <c r="K437">
        <v>3</v>
      </c>
      <c r="L437">
        <v>0</v>
      </c>
      <c r="M437">
        <v>0</v>
      </c>
      <c r="N437" t="s">
        <v>81</v>
      </c>
      <c r="O437">
        <v>2022</v>
      </c>
      <c r="P437" t="s">
        <v>18</v>
      </c>
    </row>
    <row r="438" spans="1:16" x14ac:dyDescent="0.3">
      <c r="A438">
        <v>20</v>
      </c>
      <c r="B438" t="s">
        <v>520</v>
      </c>
      <c r="C438" t="s">
        <v>3076</v>
      </c>
      <c r="D438" t="str">
        <f>VLOOKUP(YouTube_University_Data_Final[[#This Row],[Title]],[1]!YouTube_University_Data_Final[[Title]:[Title_language]],2,FALSE)</f>
        <v>English</v>
      </c>
      <c r="E438" t="s">
        <v>541</v>
      </c>
      <c r="F438">
        <v>27</v>
      </c>
      <c r="G438" s="1">
        <v>44685</v>
      </c>
      <c r="H438">
        <v>142</v>
      </c>
      <c r="I438" t="s">
        <v>522</v>
      </c>
      <c r="J438">
        <v>642</v>
      </c>
      <c r="K438">
        <v>7</v>
      </c>
      <c r="L438">
        <v>0</v>
      </c>
      <c r="M438">
        <v>0</v>
      </c>
      <c r="N438" t="s">
        <v>81</v>
      </c>
      <c r="O438">
        <v>2022</v>
      </c>
      <c r="P438" t="s">
        <v>18</v>
      </c>
    </row>
    <row r="439" spans="1:16" x14ac:dyDescent="0.3">
      <c r="A439">
        <v>21</v>
      </c>
      <c r="B439" t="s">
        <v>520</v>
      </c>
      <c r="C439" t="s">
        <v>3077</v>
      </c>
      <c r="D439" t="str">
        <f>VLOOKUP(YouTube_University_Data_Final[[#This Row],[Title]],[1]!YouTube_University_Data_Final[[Title]:[Title_language]],2,FALSE)</f>
        <v>English</v>
      </c>
      <c r="E439" t="s">
        <v>542</v>
      </c>
      <c r="F439">
        <v>27</v>
      </c>
      <c r="G439" s="1">
        <v>44685</v>
      </c>
      <c r="H439">
        <v>134</v>
      </c>
      <c r="I439" t="s">
        <v>522</v>
      </c>
      <c r="J439">
        <v>276</v>
      </c>
      <c r="K439">
        <v>3</v>
      </c>
      <c r="L439">
        <v>0</v>
      </c>
      <c r="M439">
        <v>0</v>
      </c>
      <c r="N439" t="s">
        <v>81</v>
      </c>
      <c r="O439">
        <v>2022</v>
      </c>
      <c r="P439" t="s">
        <v>18</v>
      </c>
    </row>
    <row r="440" spans="1:16" x14ac:dyDescent="0.3">
      <c r="A440">
        <v>22</v>
      </c>
      <c r="B440" t="s">
        <v>520</v>
      </c>
      <c r="C440" t="s">
        <v>3078</v>
      </c>
      <c r="D440" t="str">
        <f>VLOOKUP(YouTube_University_Data_Final[[#This Row],[Title]],[1]!YouTube_University_Data_Final[[Title]:[Title_language]],2,FALSE)</f>
        <v>Chinese</v>
      </c>
      <c r="E440" t="s">
        <v>3079</v>
      </c>
      <c r="F440">
        <v>27</v>
      </c>
      <c r="G440" s="1">
        <v>44685</v>
      </c>
      <c r="H440">
        <v>144</v>
      </c>
      <c r="I440" t="s">
        <v>522</v>
      </c>
      <c r="J440">
        <v>106232</v>
      </c>
      <c r="K440">
        <v>3</v>
      </c>
      <c r="L440">
        <v>0</v>
      </c>
      <c r="M440">
        <v>0</v>
      </c>
      <c r="N440" t="s">
        <v>81</v>
      </c>
      <c r="O440">
        <v>2022</v>
      </c>
      <c r="P440" t="s">
        <v>18</v>
      </c>
    </row>
    <row r="441" spans="1:16" x14ac:dyDescent="0.3">
      <c r="A441">
        <v>23</v>
      </c>
      <c r="B441" t="s">
        <v>520</v>
      </c>
      <c r="C441" t="s">
        <v>3080</v>
      </c>
      <c r="D441" t="str">
        <f>VLOOKUP(YouTube_University_Data_Final[[#This Row],[Title]],[1]!YouTube_University_Data_Final[[Title]:[Title_language]],2,FALSE)</f>
        <v>Chinese</v>
      </c>
      <c r="E441" t="s">
        <v>3081</v>
      </c>
      <c r="F441">
        <v>27</v>
      </c>
      <c r="G441" s="1">
        <v>44685</v>
      </c>
      <c r="H441">
        <v>139</v>
      </c>
      <c r="I441" t="s">
        <v>522</v>
      </c>
      <c r="J441">
        <v>150986</v>
      </c>
      <c r="K441">
        <v>5</v>
      </c>
      <c r="L441">
        <v>0</v>
      </c>
      <c r="M441">
        <v>0</v>
      </c>
      <c r="N441" t="s">
        <v>81</v>
      </c>
      <c r="O441">
        <v>2022</v>
      </c>
      <c r="P441" t="s">
        <v>18</v>
      </c>
    </row>
    <row r="442" spans="1:16" x14ac:dyDescent="0.3">
      <c r="A442">
        <v>24</v>
      </c>
      <c r="B442" t="s">
        <v>520</v>
      </c>
      <c r="C442" t="s">
        <v>3082</v>
      </c>
      <c r="D442" t="str">
        <f>VLOOKUP(YouTube_University_Data_Final[[#This Row],[Title]],[1]!YouTube_University_Data_Final[[Title]:[Title_language]],2,FALSE)</f>
        <v>Chinese</v>
      </c>
      <c r="E442" t="s">
        <v>3083</v>
      </c>
      <c r="F442">
        <v>27</v>
      </c>
      <c r="G442" s="1">
        <v>44685</v>
      </c>
      <c r="H442">
        <v>121</v>
      </c>
      <c r="I442" t="s">
        <v>522</v>
      </c>
      <c r="J442">
        <v>88889</v>
      </c>
      <c r="K442">
        <v>11</v>
      </c>
      <c r="L442">
        <v>0</v>
      </c>
      <c r="M442">
        <v>0</v>
      </c>
      <c r="N442" t="s">
        <v>81</v>
      </c>
      <c r="O442">
        <v>2022</v>
      </c>
      <c r="P442" t="s">
        <v>18</v>
      </c>
    </row>
    <row r="443" spans="1:16" x14ac:dyDescent="0.3">
      <c r="A443">
        <v>25</v>
      </c>
      <c r="B443" t="s">
        <v>520</v>
      </c>
      <c r="C443" t="s">
        <v>3084</v>
      </c>
      <c r="D443" t="str">
        <f>VLOOKUP(YouTube_University_Data_Final[[#This Row],[Title]],[1]!YouTube_University_Data_Final[[Title]:[Title_language]],2,FALSE)</f>
        <v>Chinese</v>
      </c>
      <c r="E443" t="s">
        <v>3085</v>
      </c>
      <c r="F443">
        <v>27</v>
      </c>
      <c r="G443" s="1">
        <v>44685</v>
      </c>
      <c r="H443">
        <v>127</v>
      </c>
      <c r="I443" t="s">
        <v>522</v>
      </c>
      <c r="J443">
        <v>148427</v>
      </c>
      <c r="K443">
        <v>5</v>
      </c>
      <c r="L443">
        <v>0</v>
      </c>
      <c r="M443">
        <v>0</v>
      </c>
      <c r="N443" t="s">
        <v>81</v>
      </c>
      <c r="O443">
        <v>2022</v>
      </c>
      <c r="P443" t="s">
        <v>18</v>
      </c>
    </row>
    <row r="444" spans="1:16" x14ac:dyDescent="0.3">
      <c r="A444">
        <v>26</v>
      </c>
      <c r="B444" t="s">
        <v>520</v>
      </c>
      <c r="C444" t="s">
        <v>3086</v>
      </c>
      <c r="D444" t="str">
        <f>VLOOKUP(YouTube_University_Data_Final[[#This Row],[Title]],[1]!YouTube_University_Data_Final[[Title]:[Title_language]],2,FALSE)</f>
        <v>Bilingual</v>
      </c>
      <c r="E444" t="s">
        <v>3087</v>
      </c>
      <c r="F444">
        <v>27</v>
      </c>
      <c r="G444" s="1">
        <v>44676</v>
      </c>
      <c r="H444">
        <v>1215</v>
      </c>
      <c r="I444" t="s">
        <v>543</v>
      </c>
      <c r="J444">
        <v>292</v>
      </c>
      <c r="K444">
        <v>7</v>
      </c>
      <c r="L444">
        <v>0</v>
      </c>
      <c r="M444">
        <v>0</v>
      </c>
      <c r="N444" t="s">
        <v>87</v>
      </c>
      <c r="O444">
        <v>2022</v>
      </c>
      <c r="P444" t="s">
        <v>18</v>
      </c>
    </row>
    <row r="445" spans="1:16" x14ac:dyDescent="0.3">
      <c r="A445">
        <v>27</v>
      </c>
      <c r="B445" t="s">
        <v>520</v>
      </c>
      <c r="C445" t="s">
        <v>3088</v>
      </c>
      <c r="D445" t="str">
        <f>VLOOKUP(YouTube_University_Data_Final[[#This Row],[Title]],[1]!YouTube_University_Data_Final[[Title]:[Title_language]],2,FALSE)</f>
        <v>Bilingual</v>
      </c>
      <c r="E445" t="s">
        <v>3087</v>
      </c>
      <c r="F445">
        <v>27</v>
      </c>
      <c r="G445" s="1">
        <v>44676</v>
      </c>
      <c r="H445">
        <v>1013</v>
      </c>
      <c r="I445" t="s">
        <v>544</v>
      </c>
      <c r="J445">
        <v>897</v>
      </c>
      <c r="K445">
        <v>8</v>
      </c>
      <c r="L445">
        <v>0</v>
      </c>
      <c r="M445">
        <v>0</v>
      </c>
      <c r="N445" t="s">
        <v>87</v>
      </c>
      <c r="O445">
        <v>2022</v>
      </c>
      <c r="P445" t="s">
        <v>18</v>
      </c>
    </row>
    <row r="446" spans="1:16" x14ac:dyDescent="0.3">
      <c r="A446">
        <v>28</v>
      </c>
      <c r="B446" t="s">
        <v>520</v>
      </c>
      <c r="C446" t="s">
        <v>3089</v>
      </c>
      <c r="D446" t="str">
        <f>VLOOKUP(YouTube_University_Data_Final[[#This Row],[Title]],[1]!YouTube_University_Data_Final[[Title]:[Title_language]],2,FALSE)</f>
        <v>Bilingual</v>
      </c>
      <c r="E446" t="s">
        <v>3087</v>
      </c>
      <c r="F446">
        <v>27</v>
      </c>
      <c r="G446" s="1">
        <v>44676</v>
      </c>
      <c r="H446">
        <v>942</v>
      </c>
      <c r="I446" t="s">
        <v>545</v>
      </c>
      <c r="J446">
        <v>518</v>
      </c>
      <c r="K446">
        <v>12</v>
      </c>
      <c r="L446">
        <v>0</v>
      </c>
      <c r="M446">
        <v>0</v>
      </c>
      <c r="N446" t="s">
        <v>87</v>
      </c>
      <c r="O446">
        <v>2022</v>
      </c>
      <c r="P446" t="s">
        <v>18</v>
      </c>
    </row>
    <row r="447" spans="1:16" x14ac:dyDescent="0.3">
      <c r="A447">
        <v>29</v>
      </c>
      <c r="B447" t="s">
        <v>520</v>
      </c>
      <c r="C447" t="s">
        <v>3090</v>
      </c>
      <c r="D447" t="str">
        <f>VLOOKUP(YouTube_University_Data_Final[[#This Row],[Title]],[1]!YouTube_University_Data_Final[[Title]:[Title_language]],2,FALSE)</f>
        <v>Bilingual</v>
      </c>
      <c r="E447" t="s">
        <v>3087</v>
      </c>
      <c r="F447">
        <v>27</v>
      </c>
      <c r="G447" s="1">
        <v>44676</v>
      </c>
      <c r="H447">
        <v>896</v>
      </c>
      <c r="I447" t="s">
        <v>546</v>
      </c>
      <c r="J447">
        <v>918</v>
      </c>
      <c r="K447">
        <v>17</v>
      </c>
      <c r="L447">
        <v>0</v>
      </c>
      <c r="M447">
        <v>0</v>
      </c>
      <c r="N447" t="s">
        <v>87</v>
      </c>
      <c r="O447">
        <v>2022</v>
      </c>
      <c r="P447" t="s">
        <v>18</v>
      </c>
    </row>
    <row r="448" spans="1:16" x14ac:dyDescent="0.3">
      <c r="A448">
        <v>30</v>
      </c>
      <c r="B448" t="s">
        <v>520</v>
      </c>
      <c r="C448" t="s">
        <v>3091</v>
      </c>
      <c r="D448" t="str">
        <f>VLOOKUP(YouTube_University_Data_Final[[#This Row],[Title]],[1]!YouTube_University_Data_Final[[Title]:[Title_language]],2,FALSE)</f>
        <v>Bilingual</v>
      </c>
      <c r="E448" t="s">
        <v>3087</v>
      </c>
      <c r="F448">
        <v>27</v>
      </c>
      <c r="G448" s="1">
        <v>44676</v>
      </c>
      <c r="H448">
        <v>1081</v>
      </c>
      <c r="I448" t="s">
        <v>547</v>
      </c>
      <c r="J448">
        <v>485</v>
      </c>
      <c r="K448">
        <v>9</v>
      </c>
      <c r="L448">
        <v>0</v>
      </c>
      <c r="M448">
        <v>0</v>
      </c>
      <c r="N448" t="s">
        <v>87</v>
      </c>
      <c r="O448">
        <v>2022</v>
      </c>
      <c r="P448" t="s">
        <v>18</v>
      </c>
    </row>
    <row r="449" spans="1:16" x14ac:dyDescent="0.3">
      <c r="A449">
        <v>31</v>
      </c>
      <c r="B449" t="s">
        <v>520</v>
      </c>
      <c r="C449" t="s">
        <v>3092</v>
      </c>
      <c r="D449" t="str">
        <f>VLOOKUP(YouTube_University_Data_Final[[#This Row],[Title]],[1]!YouTube_University_Data_Final[[Title]:[Title_language]],2,FALSE)</f>
        <v>Bilingual</v>
      </c>
      <c r="E449" t="s">
        <v>2944</v>
      </c>
      <c r="F449">
        <v>27</v>
      </c>
      <c r="G449" s="1">
        <v>44664</v>
      </c>
      <c r="H449">
        <v>3135</v>
      </c>
      <c r="I449" t="s">
        <v>522</v>
      </c>
      <c r="J449">
        <v>865</v>
      </c>
      <c r="K449">
        <v>18</v>
      </c>
      <c r="L449">
        <v>0</v>
      </c>
      <c r="M449">
        <v>0</v>
      </c>
      <c r="N449" t="s">
        <v>87</v>
      </c>
      <c r="O449">
        <v>2022</v>
      </c>
      <c r="P449" t="s">
        <v>18</v>
      </c>
    </row>
    <row r="450" spans="1:16" x14ac:dyDescent="0.3">
      <c r="A450">
        <v>32</v>
      </c>
      <c r="B450" t="s">
        <v>520</v>
      </c>
      <c r="C450" t="s">
        <v>3093</v>
      </c>
      <c r="D450" t="str">
        <f>VLOOKUP(YouTube_University_Data_Final[[#This Row],[Title]],[1]!YouTube_University_Data_Final[[Title]:[Title_language]],2,FALSE)</f>
        <v>Bilingual</v>
      </c>
      <c r="E450" t="s">
        <v>2944</v>
      </c>
      <c r="F450">
        <v>27</v>
      </c>
      <c r="G450" s="1">
        <v>44663</v>
      </c>
      <c r="H450">
        <v>4366</v>
      </c>
      <c r="I450" t="s">
        <v>522</v>
      </c>
      <c r="J450">
        <v>1073</v>
      </c>
      <c r="K450">
        <v>20</v>
      </c>
      <c r="L450">
        <v>0</v>
      </c>
      <c r="M450">
        <v>0</v>
      </c>
      <c r="N450" t="s">
        <v>87</v>
      </c>
      <c r="O450">
        <v>2022</v>
      </c>
      <c r="P450" t="s">
        <v>18</v>
      </c>
    </row>
    <row r="451" spans="1:16" x14ac:dyDescent="0.3">
      <c r="A451">
        <v>33</v>
      </c>
      <c r="B451" t="s">
        <v>520</v>
      </c>
      <c r="C451" t="s">
        <v>548</v>
      </c>
      <c r="D451" t="str">
        <f>VLOOKUP(YouTube_University_Data_Final[[#This Row],[Title]],[1]!YouTube_University_Data_Final[[Title]:[Title_language]],2,FALSE)</f>
        <v>English</v>
      </c>
      <c r="E451" t="s">
        <v>3094</v>
      </c>
      <c r="F451">
        <v>27</v>
      </c>
      <c r="G451" s="1">
        <v>44662</v>
      </c>
      <c r="H451">
        <v>60</v>
      </c>
      <c r="I451" t="s">
        <v>522</v>
      </c>
      <c r="J451">
        <v>542</v>
      </c>
      <c r="K451">
        <v>8</v>
      </c>
      <c r="L451">
        <v>0</v>
      </c>
      <c r="M451">
        <v>0</v>
      </c>
      <c r="N451" t="s">
        <v>87</v>
      </c>
      <c r="O451">
        <v>2022</v>
      </c>
      <c r="P451" t="s">
        <v>18</v>
      </c>
    </row>
    <row r="452" spans="1:16" x14ac:dyDescent="0.3">
      <c r="A452">
        <v>34</v>
      </c>
      <c r="B452" t="s">
        <v>520</v>
      </c>
      <c r="C452" t="s">
        <v>3095</v>
      </c>
      <c r="D452" t="str">
        <f>VLOOKUP(YouTube_University_Data_Final[[#This Row],[Title]],[1]!YouTube_University_Data_Final[[Title]:[Title_language]],2,FALSE)</f>
        <v>Bilingual</v>
      </c>
      <c r="E452" t="s">
        <v>2944</v>
      </c>
      <c r="F452">
        <v>27</v>
      </c>
      <c r="G452" s="1">
        <v>44662</v>
      </c>
      <c r="H452">
        <v>5505</v>
      </c>
      <c r="I452" t="s">
        <v>522</v>
      </c>
      <c r="J452">
        <v>2216</v>
      </c>
      <c r="K452">
        <v>53</v>
      </c>
      <c r="L452">
        <v>0</v>
      </c>
      <c r="M452">
        <v>0</v>
      </c>
      <c r="N452" t="s">
        <v>87</v>
      </c>
      <c r="O452">
        <v>2022</v>
      </c>
      <c r="P452" t="s">
        <v>18</v>
      </c>
    </row>
    <row r="453" spans="1:16" x14ac:dyDescent="0.3">
      <c r="A453">
        <v>35</v>
      </c>
      <c r="B453" t="s">
        <v>520</v>
      </c>
      <c r="C453" t="s">
        <v>549</v>
      </c>
      <c r="D453" t="str">
        <f>VLOOKUP(YouTube_University_Data_Final[[#This Row],[Title]],[1]!YouTube_University_Data_Final[[Title]:[Title_language]],2,FALSE)</f>
        <v>English</v>
      </c>
      <c r="E453" t="s">
        <v>2944</v>
      </c>
      <c r="F453">
        <v>27</v>
      </c>
      <c r="G453" s="1">
        <v>44657</v>
      </c>
      <c r="H453">
        <v>161</v>
      </c>
      <c r="I453" t="s">
        <v>522</v>
      </c>
      <c r="J453">
        <v>933</v>
      </c>
      <c r="K453">
        <v>22</v>
      </c>
      <c r="L453">
        <v>0</v>
      </c>
      <c r="M453">
        <v>0</v>
      </c>
      <c r="N453" t="s">
        <v>87</v>
      </c>
      <c r="O453">
        <v>2022</v>
      </c>
      <c r="P453" t="s">
        <v>18</v>
      </c>
    </row>
    <row r="454" spans="1:16" x14ac:dyDescent="0.3">
      <c r="A454">
        <v>36</v>
      </c>
      <c r="B454" t="s">
        <v>520</v>
      </c>
      <c r="C454" t="s">
        <v>550</v>
      </c>
      <c r="D454" t="str">
        <f>VLOOKUP(YouTube_University_Data_Final[[#This Row],[Title]],[1]!YouTube_University_Data_Final[[Title]:[Title_language]],2,FALSE)</f>
        <v>English</v>
      </c>
      <c r="E454" t="s">
        <v>3096</v>
      </c>
      <c r="F454">
        <v>27</v>
      </c>
      <c r="G454" s="1">
        <v>44655</v>
      </c>
      <c r="H454">
        <v>237</v>
      </c>
      <c r="I454" t="s">
        <v>522</v>
      </c>
      <c r="J454">
        <v>1080</v>
      </c>
      <c r="K454">
        <v>4</v>
      </c>
      <c r="L454">
        <v>0</v>
      </c>
      <c r="M454">
        <v>0</v>
      </c>
      <c r="N454" t="s">
        <v>87</v>
      </c>
      <c r="O454">
        <v>2022</v>
      </c>
      <c r="P454" t="s">
        <v>18</v>
      </c>
    </row>
    <row r="455" spans="1:16" x14ac:dyDescent="0.3">
      <c r="A455">
        <v>37</v>
      </c>
      <c r="B455" t="s">
        <v>520</v>
      </c>
      <c r="C455" t="s">
        <v>3097</v>
      </c>
      <c r="D455" t="str">
        <f>VLOOKUP(YouTube_University_Data_Final[[#This Row],[Title]],[1]!YouTube_University_Data_Final[[Title]:[Title_language]],2,FALSE)</f>
        <v>English</v>
      </c>
      <c r="E455" t="s">
        <v>3098</v>
      </c>
      <c r="F455">
        <v>27</v>
      </c>
      <c r="G455" s="1">
        <v>44650</v>
      </c>
      <c r="H455">
        <v>3123</v>
      </c>
      <c r="I455" t="s">
        <v>522</v>
      </c>
      <c r="J455">
        <v>173</v>
      </c>
      <c r="K455">
        <v>3</v>
      </c>
      <c r="L455">
        <v>0</v>
      </c>
      <c r="M455">
        <v>0</v>
      </c>
      <c r="N455" t="s">
        <v>90</v>
      </c>
      <c r="O455">
        <v>2022</v>
      </c>
      <c r="P455" t="s">
        <v>18</v>
      </c>
    </row>
    <row r="456" spans="1:16" x14ac:dyDescent="0.3">
      <c r="A456">
        <v>38</v>
      </c>
      <c r="B456" t="s">
        <v>520</v>
      </c>
      <c r="C456" t="s">
        <v>3099</v>
      </c>
      <c r="D456" t="str">
        <f>VLOOKUP(YouTube_University_Data_Final[[#This Row],[Title]],[1]!YouTube_University_Data_Final[[Title]:[Title_language]],2,FALSE)</f>
        <v>Bilingual</v>
      </c>
      <c r="E456" t="s">
        <v>3100</v>
      </c>
      <c r="F456">
        <v>27</v>
      </c>
      <c r="G456" s="1">
        <v>44650</v>
      </c>
      <c r="H456">
        <v>3586</v>
      </c>
      <c r="I456" t="s">
        <v>522</v>
      </c>
      <c r="J456">
        <v>315</v>
      </c>
      <c r="K456">
        <v>1</v>
      </c>
      <c r="L456">
        <v>0</v>
      </c>
      <c r="M456">
        <v>0</v>
      </c>
      <c r="N456" t="s">
        <v>90</v>
      </c>
      <c r="O456">
        <v>2022</v>
      </c>
      <c r="P456" t="s">
        <v>18</v>
      </c>
    </row>
    <row r="457" spans="1:16" x14ac:dyDescent="0.3">
      <c r="A457">
        <v>39</v>
      </c>
      <c r="B457" t="s">
        <v>520</v>
      </c>
      <c r="C457" t="s">
        <v>3101</v>
      </c>
      <c r="D457" t="str">
        <f>VLOOKUP(YouTube_University_Data_Final[[#This Row],[Title]],[1]!YouTube_University_Data_Final[[Title]:[Title_language]],2,FALSE)</f>
        <v>Bilingual</v>
      </c>
      <c r="E457" t="s">
        <v>3102</v>
      </c>
      <c r="F457">
        <v>27</v>
      </c>
      <c r="G457" s="1">
        <v>44650</v>
      </c>
      <c r="H457">
        <v>3726</v>
      </c>
      <c r="I457" t="s">
        <v>522</v>
      </c>
      <c r="J457">
        <v>197</v>
      </c>
      <c r="K457">
        <v>1</v>
      </c>
      <c r="L457">
        <v>0</v>
      </c>
      <c r="M457">
        <v>0</v>
      </c>
      <c r="N457" t="s">
        <v>90</v>
      </c>
      <c r="O457">
        <v>2022</v>
      </c>
      <c r="P457" t="s">
        <v>18</v>
      </c>
    </row>
    <row r="458" spans="1:16" x14ac:dyDescent="0.3">
      <c r="A458">
        <v>40</v>
      </c>
      <c r="B458" t="s">
        <v>520</v>
      </c>
      <c r="C458" t="s">
        <v>3103</v>
      </c>
      <c r="D458" t="str">
        <f>VLOOKUP(YouTube_University_Data_Final[[#This Row],[Title]],[1]!YouTube_University_Data_Final[[Title]:[Title_language]],2,FALSE)</f>
        <v>Bilingual</v>
      </c>
      <c r="E458" t="s">
        <v>3102</v>
      </c>
      <c r="F458">
        <v>27</v>
      </c>
      <c r="G458" s="1">
        <v>44650</v>
      </c>
      <c r="H458">
        <v>3412</v>
      </c>
      <c r="I458" t="s">
        <v>522</v>
      </c>
      <c r="J458">
        <v>174</v>
      </c>
      <c r="K458">
        <v>1</v>
      </c>
      <c r="L458">
        <v>0</v>
      </c>
      <c r="M458">
        <v>0</v>
      </c>
      <c r="N458" t="s">
        <v>90</v>
      </c>
      <c r="O458">
        <v>2022</v>
      </c>
      <c r="P458" t="s">
        <v>18</v>
      </c>
    </row>
    <row r="459" spans="1:16" x14ac:dyDescent="0.3">
      <c r="A459">
        <v>41</v>
      </c>
      <c r="B459" t="s">
        <v>520</v>
      </c>
      <c r="C459" t="s">
        <v>3104</v>
      </c>
      <c r="D459" t="str">
        <f>VLOOKUP(YouTube_University_Data_Final[[#This Row],[Title]],[1]!YouTube_University_Data_Final[[Title]:[Title_language]],2,FALSE)</f>
        <v>English</v>
      </c>
      <c r="E459" t="s">
        <v>551</v>
      </c>
      <c r="F459">
        <v>27</v>
      </c>
      <c r="G459" s="1">
        <v>44636</v>
      </c>
      <c r="H459">
        <v>924</v>
      </c>
      <c r="I459" t="s">
        <v>522</v>
      </c>
      <c r="J459">
        <v>11325</v>
      </c>
      <c r="K459">
        <v>263</v>
      </c>
      <c r="L459">
        <v>0</v>
      </c>
      <c r="M459">
        <v>0</v>
      </c>
      <c r="N459" t="s">
        <v>90</v>
      </c>
      <c r="O459">
        <v>2022</v>
      </c>
      <c r="P459" t="s">
        <v>18</v>
      </c>
    </row>
    <row r="460" spans="1:16" x14ac:dyDescent="0.3">
      <c r="A460">
        <v>42</v>
      </c>
      <c r="B460" t="s">
        <v>520</v>
      </c>
      <c r="C460" t="s">
        <v>3105</v>
      </c>
      <c r="D460" t="str">
        <f>VLOOKUP(YouTube_University_Data_Final[[#This Row],[Title]],[1]!YouTube_University_Data_Final[[Title]:[Title_language]],2,FALSE)</f>
        <v>English</v>
      </c>
      <c r="E460" t="s">
        <v>3106</v>
      </c>
      <c r="F460">
        <v>27</v>
      </c>
      <c r="G460" s="1">
        <v>44636</v>
      </c>
      <c r="H460">
        <v>31</v>
      </c>
      <c r="I460" t="s">
        <v>522</v>
      </c>
      <c r="J460">
        <v>1246</v>
      </c>
      <c r="K460">
        <v>27</v>
      </c>
      <c r="L460">
        <v>0</v>
      </c>
      <c r="M460">
        <v>0</v>
      </c>
      <c r="N460" t="s">
        <v>90</v>
      </c>
      <c r="O460">
        <v>2022</v>
      </c>
      <c r="P460" t="s">
        <v>18</v>
      </c>
    </row>
    <row r="461" spans="1:16" x14ac:dyDescent="0.3">
      <c r="A461">
        <v>43</v>
      </c>
      <c r="B461" t="s">
        <v>520</v>
      </c>
      <c r="C461" t="s">
        <v>3107</v>
      </c>
      <c r="D461" t="str">
        <f>VLOOKUP(YouTube_University_Data_Final[[#This Row],[Title]],[1]!YouTube_University_Data_Final[[Title]:[Title_language]],2,FALSE)</f>
        <v>Bilingual</v>
      </c>
      <c r="E461" t="s">
        <v>3108</v>
      </c>
      <c r="F461">
        <v>27</v>
      </c>
      <c r="G461" s="1">
        <v>44631</v>
      </c>
      <c r="H461">
        <v>4915</v>
      </c>
      <c r="I461" t="s">
        <v>522</v>
      </c>
      <c r="J461">
        <v>7410</v>
      </c>
      <c r="K461">
        <v>164</v>
      </c>
      <c r="L461">
        <v>0</v>
      </c>
      <c r="M461">
        <v>0</v>
      </c>
      <c r="N461" t="s">
        <v>90</v>
      </c>
      <c r="O461">
        <v>2022</v>
      </c>
      <c r="P461" t="s">
        <v>18</v>
      </c>
    </row>
    <row r="462" spans="1:16" x14ac:dyDescent="0.3">
      <c r="A462">
        <v>44</v>
      </c>
      <c r="B462" t="s">
        <v>520</v>
      </c>
      <c r="C462" t="s">
        <v>552</v>
      </c>
      <c r="D462" t="str">
        <f>VLOOKUP(YouTube_University_Data_Final[[#This Row],[Title]],[1]!YouTube_University_Data_Final[[Title]:[Title_language]],2,FALSE)</f>
        <v>English</v>
      </c>
      <c r="E462" t="s">
        <v>552</v>
      </c>
      <c r="F462">
        <v>27</v>
      </c>
      <c r="G462" s="1">
        <v>44624</v>
      </c>
      <c r="H462">
        <v>298</v>
      </c>
      <c r="I462" t="s">
        <v>522</v>
      </c>
      <c r="J462">
        <v>655</v>
      </c>
      <c r="K462">
        <v>13</v>
      </c>
      <c r="L462">
        <v>0</v>
      </c>
      <c r="M462">
        <v>0</v>
      </c>
      <c r="N462" t="s">
        <v>90</v>
      </c>
      <c r="O462">
        <v>2022</v>
      </c>
      <c r="P462" t="s">
        <v>18</v>
      </c>
    </row>
    <row r="463" spans="1:16" x14ac:dyDescent="0.3">
      <c r="A463">
        <v>45</v>
      </c>
      <c r="B463" t="s">
        <v>520</v>
      </c>
      <c r="C463" t="s">
        <v>553</v>
      </c>
      <c r="D463" t="str">
        <f>VLOOKUP(YouTube_University_Data_Final[[#This Row],[Title]],[1]!YouTube_University_Data_Final[[Title]:[Title_language]],2,FALSE)</f>
        <v>English</v>
      </c>
      <c r="E463" t="s">
        <v>2944</v>
      </c>
      <c r="F463">
        <v>27</v>
      </c>
      <c r="G463" s="1">
        <v>44615</v>
      </c>
      <c r="H463">
        <v>84</v>
      </c>
      <c r="I463" t="s">
        <v>522</v>
      </c>
      <c r="J463">
        <v>400</v>
      </c>
      <c r="K463">
        <v>11</v>
      </c>
      <c r="L463">
        <v>0</v>
      </c>
      <c r="M463">
        <v>0</v>
      </c>
      <c r="N463" t="s">
        <v>162</v>
      </c>
      <c r="O463">
        <v>2022</v>
      </c>
      <c r="P463" t="s">
        <v>18</v>
      </c>
    </row>
    <row r="464" spans="1:16" x14ac:dyDescent="0.3">
      <c r="A464">
        <v>46</v>
      </c>
      <c r="B464" t="s">
        <v>520</v>
      </c>
      <c r="C464" t="s">
        <v>554</v>
      </c>
      <c r="D464" t="str">
        <f>VLOOKUP(YouTube_University_Data_Final[[#This Row],[Title]],[1]!YouTube_University_Data_Final[[Title]:[Title_language]],2,FALSE)</f>
        <v>English</v>
      </c>
      <c r="E464" t="s">
        <v>3109</v>
      </c>
      <c r="F464">
        <v>27</v>
      </c>
      <c r="G464" s="1">
        <v>44592</v>
      </c>
      <c r="H464">
        <v>97</v>
      </c>
      <c r="I464" t="s">
        <v>522</v>
      </c>
      <c r="J464">
        <v>553</v>
      </c>
      <c r="K464">
        <v>17</v>
      </c>
      <c r="L464">
        <v>0</v>
      </c>
      <c r="M464">
        <v>0</v>
      </c>
      <c r="N464" t="s">
        <v>93</v>
      </c>
      <c r="O464">
        <v>2022</v>
      </c>
      <c r="P464" t="s">
        <v>18</v>
      </c>
    </row>
    <row r="465" spans="1:16" x14ac:dyDescent="0.3">
      <c r="A465">
        <v>47</v>
      </c>
      <c r="B465" t="s">
        <v>520</v>
      </c>
      <c r="C465" t="s">
        <v>555</v>
      </c>
      <c r="D465" t="str">
        <f>VLOOKUP(YouTube_University_Data_Final[[#This Row],[Title]],[1]!YouTube_University_Data_Final[[Title]:[Title_language]],2,FALSE)</f>
        <v>English</v>
      </c>
      <c r="E465" t="s">
        <v>3110</v>
      </c>
      <c r="F465">
        <v>27</v>
      </c>
      <c r="G465" s="1">
        <v>44578</v>
      </c>
      <c r="H465">
        <v>217</v>
      </c>
      <c r="I465" t="s">
        <v>2944</v>
      </c>
      <c r="J465">
        <v>477</v>
      </c>
      <c r="K465">
        <v>11</v>
      </c>
      <c r="L465">
        <v>0</v>
      </c>
      <c r="M465">
        <v>0</v>
      </c>
      <c r="N465" t="s">
        <v>93</v>
      </c>
      <c r="O465">
        <v>2022</v>
      </c>
      <c r="P465" t="s">
        <v>18</v>
      </c>
    </row>
    <row r="466" spans="1:16" x14ac:dyDescent="0.3">
      <c r="A466">
        <v>48</v>
      </c>
      <c r="B466" t="s">
        <v>520</v>
      </c>
      <c r="C466" t="s">
        <v>556</v>
      </c>
      <c r="D466" t="str">
        <f>VLOOKUP(YouTube_University_Data_Final[[#This Row],[Title]],[1]!YouTube_University_Data_Final[[Title]:[Title_language]],2,FALSE)</f>
        <v>English</v>
      </c>
      <c r="E466" t="s">
        <v>2944</v>
      </c>
      <c r="F466">
        <v>27</v>
      </c>
      <c r="G466" s="1">
        <v>44571</v>
      </c>
      <c r="H466">
        <v>226</v>
      </c>
      <c r="I466" t="s">
        <v>522</v>
      </c>
      <c r="J466">
        <v>587</v>
      </c>
      <c r="K466">
        <v>7</v>
      </c>
      <c r="L466">
        <v>0</v>
      </c>
      <c r="M466">
        <v>0</v>
      </c>
      <c r="N466" t="s">
        <v>93</v>
      </c>
      <c r="O466">
        <v>2022</v>
      </c>
      <c r="P466" t="s">
        <v>18</v>
      </c>
    </row>
    <row r="467" spans="1:16" x14ac:dyDescent="0.3">
      <c r="A467">
        <v>49</v>
      </c>
      <c r="B467" t="s">
        <v>520</v>
      </c>
      <c r="C467" t="s">
        <v>3111</v>
      </c>
      <c r="D467" t="str">
        <f>VLOOKUP(YouTube_University_Data_Final[[#This Row],[Title]],[1]!YouTube_University_Data_Final[[Title]:[Title_language]],2,FALSE)</f>
        <v>English</v>
      </c>
      <c r="E467" t="s">
        <v>2944</v>
      </c>
      <c r="F467">
        <v>27</v>
      </c>
      <c r="G467" s="1">
        <v>44539</v>
      </c>
      <c r="H467">
        <v>1651</v>
      </c>
      <c r="I467" t="s">
        <v>522</v>
      </c>
      <c r="J467">
        <v>455</v>
      </c>
      <c r="K467">
        <v>0</v>
      </c>
      <c r="L467">
        <v>0</v>
      </c>
      <c r="M467">
        <v>0</v>
      </c>
      <c r="N467" t="s">
        <v>98</v>
      </c>
      <c r="O467">
        <v>2021</v>
      </c>
      <c r="P467" t="s">
        <v>18</v>
      </c>
    </row>
    <row r="468" spans="1:16" x14ac:dyDescent="0.3">
      <c r="A468">
        <v>50</v>
      </c>
      <c r="B468" t="s">
        <v>520</v>
      </c>
      <c r="C468" t="s">
        <v>3112</v>
      </c>
      <c r="D468" t="str">
        <f>VLOOKUP(YouTube_University_Data_Final[[#This Row],[Title]],[1]!YouTube_University_Data_Final[[Title]:[Title_language]],2,FALSE)</f>
        <v>English</v>
      </c>
      <c r="E468" t="s">
        <v>2944</v>
      </c>
      <c r="F468">
        <v>27</v>
      </c>
      <c r="G468" s="1">
        <v>44539</v>
      </c>
      <c r="H468">
        <v>1816</v>
      </c>
      <c r="I468" t="s">
        <v>522</v>
      </c>
      <c r="J468">
        <v>624</v>
      </c>
      <c r="K468">
        <v>2</v>
      </c>
      <c r="L468">
        <v>0</v>
      </c>
      <c r="M468">
        <v>0</v>
      </c>
      <c r="N468" t="s">
        <v>98</v>
      </c>
      <c r="O468">
        <v>2021</v>
      </c>
      <c r="P468" t="s">
        <v>18</v>
      </c>
    </row>
    <row r="469" spans="1:16" x14ac:dyDescent="0.3">
      <c r="A469">
        <v>51</v>
      </c>
      <c r="B469" t="s">
        <v>520</v>
      </c>
      <c r="C469" t="s">
        <v>3113</v>
      </c>
      <c r="D469" t="str">
        <f>VLOOKUP(YouTube_University_Data_Final[[#This Row],[Title]],[1]!YouTube_University_Data_Final[[Title]:[Title_language]],2,FALSE)</f>
        <v>English</v>
      </c>
      <c r="E469" t="s">
        <v>2944</v>
      </c>
      <c r="F469">
        <v>27</v>
      </c>
      <c r="G469" s="1">
        <v>44539</v>
      </c>
      <c r="H469">
        <v>1720</v>
      </c>
      <c r="I469" t="s">
        <v>522</v>
      </c>
      <c r="J469">
        <v>239</v>
      </c>
      <c r="K469">
        <v>1</v>
      </c>
      <c r="L469">
        <v>0</v>
      </c>
      <c r="M469">
        <v>0</v>
      </c>
      <c r="N469" t="s">
        <v>98</v>
      </c>
      <c r="O469">
        <v>2021</v>
      </c>
      <c r="P469" t="s">
        <v>18</v>
      </c>
    </row>
    <row r="470" spans="1:16" x14ac:dyDescent="0.3">
      <c r="A470">
        <v>52</v>
      </c>
      <c r="B470" t="s">
        <v>520</v>
      </c>
      <c r="C470" t="s">
        <v>3114</v>
      </c>
      <c r="D470" t="str">
        <f>VLOOKUP(YouTube_University_Data_Final[[#This Row],[Title]],[1]!YouTube_University_Data_Final[[Title]:[Title_language]],2,FALSE)</f>
        <v>English</v>
      </c>
      <c r="E470" t="s">
        <v>2944</v>
      </c>
      <c r="F470">
        <v>27</v>
      </c>
      <c r="G470" s="1">
        <v>44539</v>
      </c>
      <c r="H470">
        <v>3336</v>
      </c>
      <c r="I470" t="s">
        <v>522</v>
      </c>
      <c r="J470">
        <v>343</v>
      </c>
      <c r="K470">
        <v>2</v>
      </c>
      <c r="L470">
        <v>0</v>
      </c>
      <c r="M470">
        <v>0</v>
      </c>
      <c r="N470" t="s">
        <v>98</v>
      </c>
      <c r="O470">
        <v>2021</v>
      </c>
      <c r="P470" t="s">
        <v>18</v>
      </c>
    </row>
    <row r="471" spans="1:16" x14ac:dyDescent="0.3">
      <c r="A471">
        <v>53</v>
      </c>
      <c r="B471" t="s">
        <v>520</v>
      </c>
      <c r="C471" t="s">
        <v>3115</v>
      </c>
      <c r="D471" t="str">
        <f>VLOOKUP(YouTube_University_Data_Final[[#This Row],[Title]],[1]!YouTube_University_Data_Final[[Title]:[Title_language]],2,FALSE)</f>
        <v>English</v>
      </c>
      <c r="E471" t="s">
        <v>2944</v>
      </c>
      <c r="F471">
        <v>27</v>
      </c>
      <c r="G471" s="1">
        <v>44539</v>
      </c>
      <c r="H471">
        <v>3191</v>
      </c>
      <c r="I471" t="s">
        <v>522</v>
      </c>
      <c r="J471">
        <v>341</v>
      </c>
      <c r="K471">
        <v>2</v>
      </c>
      <c r="L471">
        <v>0</v>
      </c>
      <c r="M471">
        <v>0</v>
      </c>
      <c r="N471" t="s">
        <v>98</v>
      </c>
      <c r="O471">
        <v>2021</v>
      </c>
      <c r="P471" t="s">
        <v>18</v>
      </c>
    </row>
    <row r="472" spans="1:16" x14ac:dyDescent="0.3">
      <c r="A472">
        <v>54</v>
      </c>
      <c r="B472" t="s">
        <v>520</v>
      </c>
      <c r="C472" t="s">
        <v>3116</v>
      </c>
      <c r="D472" t="str">
        <f>VLOOKUP(YouTube_University_Data_Final[[#This Row],[Title]],[1]!YouTube_University_Data_Final[[Title]:[Title_language]],2,FALSE)</f>
        <v>English</v>
      </c>
      <c r="E472" t="s">
        <v>2944</v>
      </c>
      <c r="F472">
        <v>27</v>
      </c>
      <c r="G472" s="1">
        <v>44539</v>
      </c>
      <c r="H472">
        <v>2053</v>
      </c>
      <c r="I472" t="s">
        <v>522</v>
      </c>
      <c r="J472">
        <v>675</v>
      </c>
      <c r="K472">
        <v>5</v>
      </c>
      <c r="L472">
        <v>0</v>
      </c>
      <c r="M472">
        <v>0</v>
      </c>
      <c r="N472" t="s">
        <v>98</v>
      </c>
      <c r="O472">
        <v>2021</v>
      </c>
      <c r="P472" t="s">
        <v>18</v>
      </c>
    </row>
    <row r="473" spans="1:16" x14ac:dyDescent="0.3">
      <c r="A473">
        <v>55</v>
      </c>
      <c r="B473" t="s">
        <v>520</v>
      </c>
      <c r="C473" t="s">
        <v>3117</v>
      </c>
      <c r="D473" t="str">
        <f>VLOOKUP(YouTube_University_Data_Final[[#This Row],[Title]],[1]!YouTube_University_Data_Final[[Title]:[Title_language]],2,FALSE)</f>
        <v>English</v>
      </c>
      <c r="E473" t="s">
        <v>2944</v>
      </c>
      <c r="F473">
        <v>27</v>
      </c>
      <c r="G473" s="1">
        <v>44539</v>
      </c>
      <c r="H473">
        <v>1691</v>
      </c>
      <c r="I473" t="s">
        <v>522</v>
      </c>
      <c r="J473">
        <v>554</v>
      </c>
      <c r="K473">
        <v>3</v>
      </c>
      <c r="L473">
        <v>0</v>
      </c>
      <c r="M473">
        <v>0</v>
      </c>
      <c r="N473" t="s">
        <v>98</v>
      </c>
      <c r="O473">
        <v>2021</v>
      </c>
      <c r="P473" t="s">
        <v>18</v>
      </c>
    </row>
    <row r="474" spans="1:16" x14ac:dyDescent="0.3">
      <c r="A474">
        <v>56</v>
      </c>
      <c r="B474" t="s">
        <v>520</v>
      </c>
      <c r="C474" t="s">
        <v>3118</v>
      </c>
      <c r="D474" t="str">
        <f>VLOOKUP(YouTube_University_Data_Final[[#This Row],[Title]],[1]!YouTube_University_Data_Final[[Title]:[Title_language]],2,FALSE)</f>
        <v>Bilingual</v>
      </c>
      <c r="E474" t="s">
        <v>2944</v>
      </c>
      <c r="F474">
        <v>27</v>
      </c>
      <c r="G474" s="1">
        <v>44539</v>
      </c>
      <c r="H474">
        <v>3551</v>
      </c>
      <c r="I474" t="s">
        <v>522</v>
      </c>
      <c r="J474">
        <v>6111</v>
      </c>
      <c r="K474">
        <v>72</v>
      </c>
      <c r="L474">
        <v>0</v>
      </c>
      <c r="M474">
        <v>0</v>
      </c>
      <c r="N474" t="s">
        <v>98</v>
      </c>
      <c r="O474">
        <v>2021</v>
      </c>
      <c r="P474" t="s">
        <v>18</v>
      </c>
    </row>
    <row r="475" spans="1:16" x14ac:dyDescent="0.3">
      <c r="A475">
        <v>57</v>
      </c>
      <c r="B475" t="s">
        <v>520</v>
      </c>
      <c r="C475" t="s">
        <v>3119</v>
      </c>
      <c r="D475" t="str">
        <f>VLOOKUP(YouTube_University_Data_Final[[#This Row],[Title]],[1]!YouTube_University_Data_Final[[Title]:[Title_language]],2,FALSE)</f>
        <v>English</v>
      </c>
      <c r="E475" t="s">
        <v>2944</v>
      </c>
      <c r="F475">
        <v>27</v>
      </c>
      <c r="G475" s="1">
        <v>44539</v>
      </c>
      <c r="H475">
        <v>3352</v>
      </c>
      <c r="I475" t="s">
        <v>522</v>
      </c>
      <c r="J475">
        <v>572</v>
      </c>
      <c r="K475">
        <v>5</v>
      </c>
      <c r="L475">
        <v>0</v>
      </c>
      <c r="M475">
        <v>0</v>
      </c>
      <c r="N475" t="s">
        <v>98</v>
      </c>
      <c r="O475">
        <v>2021</v>
      </c>
      <c r="P475" t="s">
        <v>18</v>
      </c>
    </row>
    <row r="476" spans="1:16" x14ac:dyDescent="0.3">
      <c r="A476">
        <v>58</v>
      </c>
      <c r="B476" t="s">
        <v>520</v>
      </c>
      <c r="C476" t="s">
        <v>3120</v>
      </c>
      <c r="D476" t="str">
        <f>VLOOKUP(YouTube_University_Data_Final[[#This Row],[Title]],[1]!YouTube_University_Data_Final[[Title]:[Title_language]],2,FALSE)</f>
        <v>English</v>
      </c>
      <c r="E476" t="s">
        <v>2944</v>
      </c>
      <c r="F476">
        <v>27</v>
      </c>
      <c r="G476" s="1">
        <v>44539</v>
      </c>
      <c r="H476">
        <v>3554</v>
      </c>
      <c r="I476" t="s">
        <v>522</v>
      </c>
      <c r="J476">
        <v>585</v>
      </c>
      <c r="K476">
        <v>2</v>
      </c>
      <c r="L476">
        <v>0</v>
      </c>
      <c r="M476">
        <v>0</v>
      </c>
      <c r="N476" t="s">
        <v>98</v>
      </c>
      <c r="O476">
        <v>2021</v>
      </c>
      <c r="P476" t="s">
        <v>18</v>
      </c>
    </row>
    <row r="477" spans="1:16" x14ac:dyDescent="0.3">
      <c r="A477">
        <v>59</v>
      </c>
      <c r="B477" t="s">
        <v>520</v>
      </c>
      <c r="C477" t="s">
        <v>3121</v>
      </c>
      <c r="D477" t="str">
        <f>VLOOKUP(YouTube_University_Data_Final[[#This Row],[Title]],[1]!YouTube_University_Data_Final[[Title]:[Title_language]],2,FALSE)</f>
        <v>English</v>
      </c>
      <c r="E477" t="s">
        <v>2944</v>
      </c>
      <c r="F477">
        <v>27</v>
      </c>
      <c r="G477" s="1">
        <v>44539</v>
      </c>
      <c r="H477">
        <v>3430</v>
      </c>
      <c r="I477" t="s">
        <v>522</v>
      </c>
      <c r="J477">
        <v>573</v>
      </c>
      <c r="K477">
        <v>4</v>
      </c>
      <c r="L477">
        <v>0</v>
      </c>
      <c r="M477">
        <v>0</v>
      </c>
      <c r="N477" t="s">
        <v>98</v>
      </c>
      <c r="O477">
        <v>2021</v>
      </c>
      <c r="P477" t="s">
        <v>18</v>
      </c>
    </row>
    <row r="478" spans="1:16" x14ac:dyDescent="0.3">
      <c r="A478">
        <v>60</v>
      </c>
      <c r="B478" t="s">
        <v>520</v>
      </c>
      <c r="C478" t="s">
        <v>3122</v>
      </c>
      <c r="D478" t="str">
        <f>VLOOKUP(YouTube_University_Data_Final[[#This Row],[Title]],[1]!YouTube_University_Data_Final[[Title]:[Title_language]],2,FALSE)</f>
        <v>English</v>
      </c>
      <c r="E478" t="s">
        <v>2944</v>
      </c>
      <c r="F478">
        <v>27</v>
      </c>
      <c r="G478" s="1">
        <v>44539</v>
      </c>
      <c r="H478">
        <v>3381</v>
      </c>
      <c r="I478" t="s">
        <v>522</v>
      </c>
      <c r="J478">
        <v>455</v>
      </c>
      <c r="K478">
        <v>1</v>
      </c>
      <c r="L478">
        <v>0</v>
      </c>
      <c r="M478">
        <v>0</v>
      </c>
      <c r="N478" t="s">
        <v>98</v>
      </c>
      <c r="O478">
        <v>2021</v>
      </c>
      <c r="P478" t="s">
        <v>18</v>
      </c>
    </row>
    <row r="479" spans="1:16" x14ac:dyDescent="0.3">
      <c r="A479">
        <v>61</v>
      </c>
      <c r="B479" t="s">
        <v>520</v>
      </c>
      <c r="C479" t="s">
        <v>3123</v>
      </c>
      <c r="D479" t="str">
        <f>VLOOKUP(YouTube_University_Data_Final[[#This Row],[Title]],[1]!YouTube_University_Data_Final[[Title]:[Title_language]],2,FALSE)</f>
        <v>English</v>
      </c>
      <c r="E479" t="s">
        <v>2944</v>
      </c>
      <c r="F479">
        <v>27</v>
      </c>
      <c r="G479" s="1">
        <v>44539</v>
      </c>
      <c r="H479">
        <v>3602</v>
      </c>
      <c r="I479" t="s">
        <v>522</v>
      </c>
      <c r="J479">
        <v>537</v>
      </c>
      <c r="K479">
        <v>10</v>
      </c>
      <c r="L479">
        <v>0</v>
      </c>
      <c r="M479">
        <v>0</v>
      </c>
      <c r="N479" t="s">
        <v>98</v>
      </c>
      <c r="O479">
        <v>2021</v>
      </c>
      <c r="P479" t="s">
        <v>18</v>
      </c>
    </row>
    <row r="480" spans="1:16" x14ac:dyDescent="0.3">
      <c r="A480">
        <v>62</v>
      </c>
      <c r="B480" t="s">
        <v>520</v>
      </c>
      <c r="C480" t="s">
        <v>557</v>
      </c>
      <c r="D480" t="str">
        <f>VLOOKUP(YouTube_University_Data_Final[[#This Row],[Title]],[1]!YouTube_University_Data_Final[[Title]:[Title_language]],2,FALSE)</f>
        <v>English</v>
      </c>
      <c r="E480" t="s">
        <v>558</v>
      </c>
      <c r="F480">
        <v>27</v>
      </c>
      <c r="G480" s="1">
        <v>44533</v>
      </c>
      <c r="H480">
        <v>229</v>
      </c>
      <c r="I480" t="s">
        <v>522</v>
      </c>
      <c r="J480">
        <v>429</v>
      </c>
      <c r="K480">
        <v>5</v>
      </c>
      <c r="L480">
        <v>0</v>
      </c>
      <c r="M480">
        <v>0</v>
      </c>
      <c r="N480" t="s">
        <v>98</v>
      </c>
      <c r="O480">
        <v>2021</v>
      </c>
      <c r="P480" t="s">
        <v>18</v>
      </c>
    </row>
    <row r="481" spans="1:16" x14ac:dyDescent="0.3">
      <c r="A481">
        <v>63</v>
      </c>
      <c r="B481" t="s">
        <v>520</v>
      </c>
      <c r="C481" t="s">
        <v>3124</v>
      </c>
      <c r="D481" t="str">
        <f>VLOOKUP(YouTube_University_Data_Final[[#This Row],[Title]],[1]!YouTube_University_Data_Final[[Title]:[Title_language]],2,FALSE)</f>
        <v>English</v>
      </c>
      <c r="E481" t="s">
        <v>2944</v>
      </c>
      <c r="F481">
        <v>27</v>
      </c>
      <c r="G481" s="1">
        <v>44531</v>
      </c>
      <c r="H481">
        <v>87</v>
      </c>
      <c r="I481" t="s">
        <v>522</v>
      </c>
      <c r="J481">
        <v>490</v>
      </c>
      <c r="K481">
        <v>7</v>
      </c>
      <c r="L481">
        <v>0</v>
      </c>
      <c r="M481">
        <v>0</v>
      </c>
      <c r="N481" t="s">
        <v>98</v>
      </c>
      <c r="O481">
        <v>2021</v>
      </c>
      <c r="P481" t="s">
        <v>18</v>
      </c>
    </row>
    <row r="482" spans="1:16" x14ac:dyDescent="0.3">
      <c r="A482">
        <v>64</v>
      </c>
      <c r="B482" t="s">
        <v>520</v>
      </c>
      <c r="C482" t="s">
        <v>3125</v>
      </c>
      <c r="D482" t="str">
        <f>VLOOKUP(YouTube_University_Data_Final[[#This Row],[Title]],[1]!YouTube_University_Data_Final[[Title]:[Title_language]],2,FALSE)</f>
        <v>English</v>
      </c>
      <c r="E482" t="s">
        <v>2944</v>
      </c>
      <c r="F482">
        <v>27</v>
      </c>
      <c r="G482" s="1">
        <v>44531</v>
      </c>
      <c r="H482">
        <v>84</v>
      </c>
      <c r="I482" t="s">
        <v>522</v>
      </c>
      <c r="J482">
        <v>344</v>
      </c>
      <c r="K482">
        <v>1</v>
      </c>
      <c r="L482">
        <v>0</v>
      </c>
      <c r="M482">
        <v>0</v>
      </c>
      <c r="N482" t="s">
        <v>98</v>
      </c>
      <c r="O482">
        <v>2021</v>
      </c>
      <c r="P482" t="s">
        <v>18</v>
      </c>
    </row>
    <row r="483" spans="1:16" x14ac:dyDescent="0.3">
      <c r="A483">
        <v>65</v>
      </c>
      <c r="B483" t="s">
        <v>520</v>
      </c>
      <c r="C483" t="s">
        <v>3126</v>
      </c>
      <c r="D483" t="str">
        <f>VLOOKUP(YouTube_University_Data_Final[[#This Row],[Title]],[1]!YouTube_University_Data_Final[[Title]:[Title_language]],2,FALSE)</f>
        <v>English</v>
      </c>
      <c r="E483" t="s">
        <v>2944</v>
      </c>
      <c r="F483">
        <v>27</v>
      </c>
      <c r="G483" s="1">
        <v>44531</v>
      </c>
      <c r="H483">
        <v>50</v>
      </c>
      <c r="I483" t="s">
        <v>522</v>
      </c>
      <c r="J483">
        <v>297</v>
      </c>
      <c r="K483">
        <v>4</v>
      </c>
      <c r="L483">
        <v>0</v>
      </c>
      <c r="M483">
        <v>0</v>
      </c>
      <c r="N483" t="s">
        <v>98</v>
      </c>
      <c r="O483">
        <v>2021</v>
      </c>
      <c r="P483" t="s">
        <v>18</v>
      </c>
    </row>
    <row r="484" spans="1:16" x14ac:dyDescent="0.3">
      <c r="A484">
        <v>66</v>
      </c>
      <c r="B484" t="s">
        <v>520</v>
      </c>
      <c r="C484" t="s">
        <v>3127</v>
      </c>
      <c r="D484" t="str">
        <f>VLOOKUP(YouTube_University_Data_Final[[#This Row],[Title]],[1]!YouTube_University_Data_Final[[Title]:[Title_language]],2,FALSE)</f>
        <v>English</v>
      </c>
      <c r="E484" t="s">
        <v>2944</v>
      </c>
      <c r="F484">
        <v>27</v>
      </c>
      <c r="G484" s="1">
        <v>44531</v>
      </c>
      <c r="H484">
        <v>68</v>
      </c>
      <c r="I484" t="s">
        <v>522</v>
      </c>
      <c r="J484">
        <v>284</v>
      </c>
      <c r="K484">
        <v>6</v>
      </c>
      <c r="L484">
        <v>0</v>
      </c>
      <c r="M484">
        <v>0</v>
      </c>
      <c r="N484" t="s">
        <v>98</v>
      </c>
      <c r="O484">
        <v>2021</v>
      </c>
      <c r="P484" t="s">
        <v>18</v>
      </c>
    </row>
    <row r="485" spans="1:16" x14ac:dyDescent="0.3">
      <c r="A485">
        <v>67</v>
      </c>
      <c r="B485" t="s">
        <v>520</v>
      </c>
      <c r="C485" t="s">
        <v>3128</v>
      </c>
      <c r="D485" t="str">
        <f>VLOOKUP(YouTube_University_Data_Final[[#This Row],[Title]],[1]!YouTube_University_Data_Final[[Title]:[Title_language]],2,FALSE)</f>
        <v>English</v>
      </c>
      <c r="E485" t="s">
        <v>2944</v>
      </c>
      <c r="F485">
        <v>27</v>
      </c>
      <c r="G485" s="1">
        <v>44531</v>
      </c>
      <c r="H485">
        <v>68</v>
      </c>
      <c r="I485" t="s">
        <v>522</v>
      </c>
      <c r="J485">
        <v>181</v>
      </c>
      <c r="K485">
        <v>1</v>
      </c>
      <c r="L485">
        <v>0</v>
      </c>
      <c r="M485">
        <v>0</v>
      </c>
      <c r="N485" t="s">
        <v>98</v>
      </c>
      <c r="O485">
        <v>2021</v>
      </c>
      <c r="P485" t="s">
        <v>18</v>
      </c>
    </row>
    <row r="486" spans="1:16" x14ac:dyDescent="0.3">
      <c r="A486">
        <v>68</v>
      </c>
      <c r="B486" t="s">
        <v>520</v>
      </c>
      <c r="C486" t="s">
        <v>3129</v>
      </c>
      <c r="D486" t="str">
        <f>VLOOKUP(YouTube_University_Data_Final[[#This Row],[Title]],[1]!YouTube_University_Data_Final[[Title]:[Title_language]],2,FALSE)</f>
        <v>English</v>
      </c>
      <c r="E486" t="s">
        <v>2944</v>
      </c>
      <c r="F486">
        <v>27</v>
      </c>
      <c r="G486" s="1">
        <v>44531</v>
      </c>
      <c r="H486">
        <v>51</v>
      </c>
      <c r="I486" t="s">
        <v>522</v>
      </c>
      <c r="J486">
        <v>156</v>
      </c>
      <c r="K486">
        <v>0</v>
      </c>
      <c r="L486">
        <v>0</v>
      </c>
      <c r="M486">
        <v>0</v>
      </c>
      <c r="N486" t="s">
        <v>98</v>
      </c>
      <c r="O486">
        <v>2021</v>
      </c>
      <c r="P486" t="s">
        <v>18</v>
      </c>
    </row>
    <row r="487" spans="1:16" x14ac:dyDescent="0.3">
      <c r="A487">
        <v>69</v>
      </c>
      <c r="B487" t="s">
        <v>520</v>
      </c>
      <c r="C487" t="s">
        <v>559</v>
      </c>
      <c r="D487" t="str">
        <f>VLOOKUP(YouTube_University_Data_Final[[#This Row],[Title]],[1]!YouTube_University_Data_Final[[Title]:[Title_language]],2,FALSE)</f>
        <v>English</v>
      </c>
      <c r="E487" t="s">
        <v>560</v>
      </c>
      <c r="F487">
        <v>27</v>
      </c>
      <c r="G487" s="1">
        <v>44531</v>
      </c>
      <c r="H487">
        <v>257</v>
      </c>
      <c r="I487" t="s">
        <v>522</v>
      </c>
      <c r="J487">
        <v>3709</v>
      </c>
      <c r="K487">
        <v>22</v>
      </c>
      <c r="L487">
        <v>0</v>
      </c>
      <c r="M487">
        <v>0</v>
      </c>
      <c r="N487" t="s">
        <v>98</v>
      </c>
      <c r="O487">
        <v>2021</v>
      </c>
      <c r="P487" t="s">
        <v>18</v>
      </c>
    </row>
    <row r="488" spans="1:16" x14ac:dyDescent="0.3">
      <c r="A488">
        <v>70</v>
      </c>
      <c r="B488" t="s">
        <v>520</v>
      </c>
      <c r="C488" t="s">
        <v>3130</v>
      </c>
      <c r="D488" t="str">
        <f>VLOOKUP(YouTube_University_Data_Final[[#This Row],[Title]],[1]!YouTube_University_Data_Final[[Title]:[Title_language]],2,FALSE)</f>
        <v>English</v>
      </c>
      <c r="E488" t="s">
        <v>2944</v>
      </c>
      <c r="F488">
        <v>27</v>
      </c>
      <c r="G488" s="1">
        <v>44530</v>
      </c>
      <c r="H488">
        <v>79</v>
      </c>
      <c r="I488" t="s">
        <v>522</v>
      </c>
      <c r="J488">
        <v>361</v>
      </c>
      <c r="K488">
        <v>2</v>
      </c>
      <c r="L488">
        <v>0</v>
      </c>
      <c r="M488">
        <v>0</v>
      </c>
      <c r="N488" t="s">
        <v>101</v>
      </c>
      <c r="O488">
        <v>2021</v>
      </c>
      <c r="P488" t="s">
        <v>18</v>
      </c>
    </row>
    <row r="489" spans="1:16" x14ac:dyDescent="0.3">
      <c r="A489">
        <v>71</v>
      </c>
      <c r="B489" t="s">
        <v>520</v>
      </c>
      <c r="C489" t="s">
        <v>3131</v>
      </c>
      <c r="D489" t="str">
        <f>VLOOKUP(YouTube_University_Data_Final[[#This Row],[Title]],[1]!YouTube_University_Data_Final[[Title]:[Title_language]],2,FALSE)</f>
        <v>English</v>
      </c>
      <c r="E489" t="s">
        <v>2944</v>
      </c>
      <c r="F489">
        <v>27</v>
      </c>
      <c r="G489" s="1">
        <v>44530</v>
      </c>
      <c r="H489">
        <v>71</v>
      </c>
      <c r="I489" t="s">
        <v>522</v>
      </c>
      <c r="J489">
        <v>488</v>
      </c>
      <c r="K489">
        <v>4</v>
      </c>
      <c r="L489">
        <v>0</v>
      </c>
      <c r="M489">
        <v>0</v>
      </c>
      <c r="N489" t="s">
        <v>101</v>
      </c>
      <c r="O489">
        <v>2021</v>
      </c>
      <c r="P489" t="s">
        <v>18</v>
      </c>
    </row>
    <row r="490" spans="1:16" x14ac:dyDescent="0.3">
      <c r="A490">
        <v>72</v>
      </c>
      <c r="B490" t="s">
        <v>520</v>
      </c>
      <c r="C490" t="s">
        <v>3132</v>
      </c>
      <c r="D490" t="str">
        <f>VLOOKUP(YouTube_University_Data_Final[[#This Row],[Title]],[1]!YouTube_University_Data_Final[[Title]:[Title_language]],2,FALSE)</f>
        <v>English</v>
      </c>
      <c r="E490" t="s">
        <v>2944</v>
      </c>
      <c r="F490">
        <v>27</v>
      </c>
      <c r="G490" s="1">
        <v>44530</v>
      </c>
      <c r="H490">
        <v>101</v>
      </c>
      <c r="I490" t="s">
        <v>522</v>
      </c>
      <c r="J490">
        <v>404</v>
      </c>
      <c r="K490">
        <v>3</v>
      </c>
      <c r="L490">
        <v>0</v>
      </c>
      <c r="M490">
        <v>0</v>
      </c>
      <c r="N490" t="s">
        <v>101</v>
      </c>
      <c r="O490">
        <v>2021</v>
      </c>
      <c r="P490" t="s">
        <v>18</v>
      </c>
    </row>
    <row r="491" spans="1:16" x14ac:dyDescent="0.3">
      <c r="A491">
        <v>73</v>
      </c>
      <c r="B491" t="s">
        <v>520</v>
      </c>
      <c r="C491" t="s">
        <v>3133</v>
      </c>
      <c r="D491" t="str">
        <f>VLOOKUP(YouTube_University_Data_Final[[#This Row],[Title]],[1]!YouTube_University_Data_Final[[Title]:[Title_language]],2,FALSE)</f>
        <v>English</v>
      </c>
      <c r="E491" t="s">
        <v>2944</v>
      </c>
      <c r="F491">
        <v>27</v>
      </c>
      <c r="G491" s="1">
        <v>44530</v>
      </c>
      <c r="H491">
        <v>75</v>
      </c>
      <c r="I491" t="s">
        <v>522</v>
      </c>
      <c r="J491">
        <v>245</v>
      </c>
      <c r="K491">
        <v>3</v>
      </c>
      <c r="L491">
        <v>0</v>
      </c>
      <c r="M491">
        <v>0</v>
      </c>
      <c r="N491" t="s">
        <v>101</v>
      </c>
      <c r="O491">
        <v>2021</v>
      </c>
      <c r="P491" t="s">
        <v>18</v>
      </c>
    </row>
    <row r="492" spans="1:16" x14ac:dyDescent="0.3">
      <c r="A492">
        <v>74</v>
      </c>
      <c r="B492" t="s">
        <v>520</v>
      </c>
      <c r="C492" t="s">
        <v>3134</v>
      </c>
      <c r="D492" t="str">
        <f>VLOOKUP(YouTube_University_Data_Final[[#This Row],[Title]],[1]!YouTube_University_Data_Final[[Title]:[Title_language]],2,FALSE)</f>
        <v>English</v>
      </c>
      <c r="E492" t="s">
        <v>2944</v>
      </c>
      <c r="F492">
        <v>27</v>
      </c>
      <c r="G492" s="1">
        <v>44529</v>
      </c>
      <c r="H492">
        <v>60</v>
      </c>
      <c r="I492" t="s">
        <v>522</v>
      </c>
      <c r="J492">
        <v>321</v>
      </c>
      <c r="K492">
        <v>1</v>
      </c>
      <c r="L492">
        <v>0</v>
      </c>
      <c r="M492">
        <v>0</v>
      </c>
      <c r="N492" t="s">
        <v>101</v>
      </c>
      <c r="O492">
        <v>2021</v>
      </c>
      <c r="P492" t="s">
        <v>18</v>
      </c>
    </row>
    <row r="493" spans="1:16" x14ac:dyDescent="0.3">
      <c r="A493">
        <v>75</v>
      </c>
      <c r="B493" t="s">
        <v>520</v>
      </c>
      <c r="C493" t="s">
        <v>3135</v>
      </c>
      <c r="D493" t="str">
        <f>VLOOKUP(YouTube_University_Data_Final[[#This Row],[Title]],[1]!YouTube_University_Data_Final[[Title]:[Title_language]],2,FALSE)</f>
        <v>English</v>
      </c>
      <c r="E493" t="s">
        <v>2944</v>
      </c>
      <c r="F493">
        <v>27</v>
      </c>
      <c r="G493" s="1">
        <v>44528</v>
      </c>
      <c r="H493">
        <v>76</v>
      </c>
      <c r="I493" t="s">
        <v>522</v>
      </c>
      <c r="J493">
        <v>303</v>
      </c>
      <c r="K493">
        <v>4</v>
      </c>
      <c r="L493">
        <v>0</v>
      </c>
      <c r="M493">
        <v>0</v>
      </c>
      <c r="N493" t="s">
        <v>101</v>
      </c>
      <c r="O493">
        <v>2021</v>
      </c>
      <c r="P493" t="s">
        <v>18</v>
      </c>
    </row>
    <row r="494" spans="1:16" x14ac:dyDescent="0.3">
      <c r="A494">
        <v>76</v>
      </c>
      <c r="B494" t="s">
        <v>520</v>
      </c>
      <c r="C494" t="s">
        <v>3136</v>
      </c>
      <c r="D494" t="str">
        <f>VLOOKUP(YouTube_University_Data_Final[[#This Row],[Title]],[1]!YouTube_University_Data_Final[[Title]:[Title_language]],2,FALSE)</f>
        <v>English</v>
      </c>
      <c r="E494" t="s">
        <v>2944</v>
      </c>
      <c r="F494">
        <v>27</v>
      </c>
      <c r="G494" s="1">
        <v>44528</v>
      </c>
      <c r="H494">
        <v>64</v>
      </c>
      <c r="I494" t="s">
        <v>522</v>
      </c>
      <c r="J494">
        <v>156</v>
      </c>
      <c r="K494">
        <v>2</v>
      </c>
      <c r="L494">
        <v>0</v>
      </c>
      <c r="M494">
        <v>0</v>
      </c>
      <c r="N494" t="s">
        <v>101</v>
      </c>
      <c r="O494">
        <v>2021</v>
      </c>
      <c r="P494" t="s">
        <v>18</v>
      </c>
    </row>
    <row r="495" spans="1:16" x14ac:dyDescent="0.3">
      <c r="A495">
        <v>77</v>
      </c>
      <c r="B495" t="s">
        <v>520</v>
      </c>
      <c r="C495" t="s">
        <v>3137</v>
      </c>
      <c r="D495" t="str">
        <f>VLOOKUP(YouTube_University_Data_Final[[#This Row],[Title]],[1]!YouTube_University_Data_Final[[Title]:[Title_language]],2,FALSE)</f>
        <v>English</v>
      </c>
      <c r="E495" t="s">
        <v>2944</v>
      </c>
      <c r="F495">
        <v>27</v>
      </c>
      <c r="G495" s="1">
        <v>44528</v>
      </c>
      <c r="H495">
        <v>50</v>
      </c>
      <c r="I495" t="s">
        <v>522</v>
      </c>
      <c r="J495">
        <v>228</v>
      </c>
      <c r="K495">
        <v>4</v>
      </c>
      <c r="L495">
        <v>0</v>
      </c>
      <c r="M495">
        <v>0</v>
      </c>
      <c r="N495" t="s">
        <v>101</v>
      </c>
      <c r="O495">
        <v>2021</v>
      </c>
      <c r="P495" t="s">
        <v>18</v>
      </c>
    </row>
    <row r="496" spans="1:16" x14ac:dyDescent="0.3">
      <c r="A496">
        <v>78</v>
      </c>
      <c r="B496" t="s">
        <v>520</v>
      </c>
      <c r="C496" t="s">
        <v>3138</v>
      </c>
      <c r="D496" t="str">
        <f>VLOOKUP(YouTube_University_Data_Final[[#This Row],[Title]],[1]!YouTube_University_Data_Final[[Title]:[Title_language]],2,FALSE)</f>
        <v>English</v>
      </c>
      <c r="E496" t="s">
        <v>2944</v>
      </c>
      <c r="F496">
        <v>27</v>
      </c>
      <c r="G496" s="1">
        <v>44528</v>
      </c>
      <c r="H496">
        <v>65</v>
      </c>
      <c r="I496" t="s">
        <v>522</v>
      </c>
      <c r="J496">
        <v>293</v>
      </c>
      <c r="K496">
        <v>3</v>
      </c>
      <c r="L496">
        <v>0</v>
      </c>
      <c r="M496">
        <v>0</v>
      </c>
      <c r="N496" t="s">
        <v>101</v>
      </c>
      <c r="O496">
        <v>2021</v>
      </c>
      <c r="P496" t="s">
        <v>18</v>
      </c>
    </row>
    <row r="497" spans="1:16" x14ac:dyDescent="0.3">
      <c r="A497">
        <v>79</v>
      </c>
      <c r="B497" t="s">
        <v>520</v>
      </c>
      <c r="C497" t="s">
        <v>3139</v>
      </c>
      <c r="D497" t="str">
        <f>VLOOKUP(YouTube_University_Data_Final[[#This Row],[Title]],[1]!YouTube_University_Data_Final[[Title]:[Title_language]],2,FALSE)</f>
        <v>English</v>
      </c>
      <c r="E497" t="s">
        <v>2944</v>
      </c>
      <c r="F497">
        <v>27</v>
      </c>
      <c r="G497" s="1">
        <v>44527</v>
      </c>
      <c r="H497">
        <v>70</v>
      </c>
      <c r="I497" t="s">
        <v>522</v>
      </c>
      <c r="J497">
        <v>176</v>
      </c>
      <c r="K497">
        <v>0</v>
      </c>
      <c r="L497">
        <v>0</v>
      </c>
      <c r="M497">
        <v>0</v>
      </c>
      <c r="N497" t="s">
        <v>101</v>
      </c>
      <c r="O497">
        <v>2021</v>
      </c>
      <c r="P497" t="s">
        <v>18</v>
      </c>
    </row>
    <row r="498" spans="1:16" x14ac:dyDescent="0.3">
      <c r="A498">
        <v>80</v>
      </c>
      <c r="B498" t="s">
        <v>520</v>
      </c>
      <c r="C498" t="s">
        <v>3140</v>
      </c>
      <c r="D498" t="str">
        <f>VLOOKUP(YouTube_University_Data_Final[[#This Row],[Title]],[1]!YouTube_University_Data_Final[[Title]:[Title_language]],2,FALSE)</f>
        <v>English</v>
      </c>
      <c r="E498" t="s">
        <v>2944</v>
      </c>
      <c r="F498">
        <v>27</v>
      </c>
      <c r="G498" s="1">
        <v>44527</v>
      </c>
      <c r="H498">
        <v>98</v>
      </c>
      <c r="I498" t="s">
        <v>522</v>
      </c>
      <c r="J498">
        <v>504</v>
      </c>
      <c r="K498">
        <v>2</v>
      </c>
      <c r="L498">
        <v>0</v>
      </c>
      <c r="M498">
        <v>0</v>
      </c>
      <c r="N498" t="s">
        <v>101</v>
      </c>
      <c r="O498">
        <v>2021</v>
      </c>
      <c r="P498" t="s">
        <v>18</v>
      </c>
    </row>
    <row r="499" spans="1:16" x14ac:dyDescent="0.3">
      <c r="A499">
        <v>81</v>
      </c>
      <c r="B499" t="s">
        <v>520</v>
      </c>
      <c r="C499" t="s">
        <v>3141</v>
      </c>
      <c r="D499" t="str">
        <f>VLOOKUP(YouTube_University_Data_Final[[#This Row],[Title]],[1]!YouTube_University_Data_Final[[Title]:[Title_language]],2,FALSE)</f>
        <v>English</v>
      </c>
      <c r="E499" t="s">
        <v>2944</v>
      </c>
      <c r="F499">
        <v>27</v>
      </c>
      <c r="G499" s="1">
        <v>44527</v>
      </c>
      <c r="H499">
        <v>57</v>
      </c>
      <c r="I499" t="s">
        <v>522</v>
      </c>
      <c r="J499">
        <v>114</v>
      </c>
      <c r="K499">
        <v>1</v>
      </c>
      <c r="L499">
        <v>0</v>
      </c>
      <c r="M499">
        <v>0</v>
      </c>
      <c r="N499" t="s">
        <v>101</v>
      </c>
      <c r="O499">
        <v>2021</v>
      </c>
      <c r="P499" t="s">
        <v>18</v>
      </c>
    </row>
    <row r="500" spans="1:16" x14ac:dyDescent="0.3">
      <c r="A500">
        <v>82</v>
      </c>
      <c r="B500" t="s">
        <v>520</v>
      </c>
      <c r="C500" t="s">
        <v>3142</v>
      </c>
      <c r="D500" t="str">
        <f>VLOOKUP(YouTube_University_Data_Final[[#This Row],[Title]],[1]!YouTube_University_Data_Final[[Title]:[Title_language]],2,FALSE)</f>
        <v>English</v>
      </c>
      <c r="E500" t="s">
        <v>2944</v>
      </c>
      <c r="F500">
        <v>27</v>
      </c>
      <c r="G500" s="1">
        <v>44527</v>
      </c>
      <c r="H500">
        <v>60</v>
      </c>
      <c r="I500" t="s">
        <v>522</v>
      </c>
      <c r="J500">
        <v>455</v>
      </c>
      <c r="K500">
        <v>2</v>
      </c>
      <c r="L500">
        <v>0</v>
      </c>
      <c r="M500">
        <v>0</v>
      </c>
      <c r="N500" t="s">
        <v>101</v>
      </c>
      <c r="O500">
        <v>2021</v>
      </c>
      <c r="P500" t="s">
        <v>18</v>
      </c>
    </row>
    <row r="501" spans="1:16" x14ac:dyDescent="0.3">
      <c r="A501">
        <v>83</v>
      </c>
      <c r="B501" t="s">
        <v>520</v>
      </c>
      <c r="C501" t="s">
        <v>3143</v>
      </c>
      <c r="D501" t="str">
        <f>VLOOKUP(YouTube_University_Data_Final[[#This Row],[Title]],[1]!YouTube_University_Data_Final[[Title]:[Title_language]],2,FALSE)</f>
        <v>English</v>
      </c>
      <c r="E501" t="s">
        <v>2944</v>
      </c>
      <c r="F501">
        <v>27</v>
      </c>
      <c r="G501" s="1">
        <v>44527</v>
      </c>
      <c r="H501">
        <v>65</v>
      </c>
      <c r="I501" t="s">
        <v>522</v>
      </c>
      <c r="J501">
        <v>117</v>
      </c>
      <c r="K501">
        <v>1</v>
      </c>
      <c r="L501">
        <v>0</v>
      </c>
      <c r="M501">
        <v>0</v>
      </c>
      <c r="N501" t="s">
        <v>101</v>
      </c>
      <c r="O501">
        <v>2021</v>
      </c>
      <c r="P501" t="s">
        <v>18</v>
      </c>
    </row>
    <row r="502" spans="1:16" x14ac:dyDescent="0.3">
      <c r="A502">
        <v>84</v>
      </c>
      <c r="B502" t="s">
        <v>520</v>
      </c>
      <c r="C502" t="s">
        <v>3144</v>
      </c>
      <c r="D502" t="str">
        <f>VLOOKUP(YouTube_University_Data_Final[[#This Row],[Title]],[1]!YouTube_University_Data_Final[[Title]:[Title_language]],2,FALSE)</f>
        <v>English</v>
      </c>
      <c r="E502" t="s">
        <v>2944</v>
      </c>
      <c r="F502">
        <v>27</v>
      </c>
      <c r="G502" s="1">
        <v>44526</v>
      </c>
      <c r="H502">
        <v>66</v>
      </c>
      <c r="I502" t="s">
        <v>522</v>
      </c>
      <c r="J502">
        <v>933</v>
      </c>
      <c r="K502">
        <v>9</v>
      </c>
      <c r="L502">
        <v>0</v>
      </c>
      <c r="M502">
        <v>0</v>
      </c>
      <c r="N502" t="s">
        <v>101</v>
      </c>
      <c r="O502">
        <v>2021</v>
      </c>
      <c r="P502" t="s">
        <v>18</v>
      </c>
    </row>
    <row r="503" spans="1:16" x14ac:dyDescent="0.3">
      <c r="A503">
        <v>85</v>
      </c>
      <c r="B503" t="s">
        <v>520</v>
      </c>
      <c r="C503" t="s">
        <v>3145</v>
      </c>
      <c r="D503" t="str">
        <f>VLOOKUP(YouTube_University_Data_Final[[#This Row],[Title]],[1]!YouTube_University_Data_Final[[Title]:[Title_language]],2,FALSE)</f>
        <v>English</v>
      </c>
      <c r="E503" t="s">
        <v>2944</v>
      </c>
      <c r="F503">
        <v>27</v>
      </c>
      <c r="G503" s="1">
        <v>44525</v>
      </c>
      <c r="H503">
        <v>71</v>
      </c>
      <c r="I503" t="s">
        <v>522</v>
      </c>
      <c r="J503">
        <v>334</v>
      </c>
      <c r="K503">
        <v>2</v>
      </c>
      <c r="L503">
        <v>0</v>
      </c>
      <c r="M503">
        <v>0</v>
      </c>
      <c r="N503" t="s">
        <v>101</v>
      </c>
      <c r="O503">
        <v>2021</v>
      </c>
      <c r="P503" t="s">
        <v>18</v>
      </c>
    </row>
    <row r="504" spans="1:16" x14ac:dyDescent="0.3">
      <c r="A504">
        <v>86</v>
      </c>
      <c r="B504" t="s">
        <v>520</v>
      </c>
      <c r="C504" t="s">
        <v>3146</v>
      </c>
      <c r="D504" t="str">
        <f>VLOOKUP(YouTube_University_Data_Final[[#This Row],[Title]],[1]!YouTube_University_Data_Final[[Title]:[Title_language]],2,FALSE)</f>
        <v>English</v>
      </c>
      <c r="E504" t="s">
        <v>2944</v>
      </c>
      <c r="F504">
        <v>27</v>
      </c>
      <c r="G504" s="1">
        <v>44525</v>
      </c>
      <c r="H504">
        <v>63</v>
      </c>
      <c r="I504" t="s">
        <v>522</v>
      </c>
      <c r="J504">
        <v>272</v>
      </c>
      <c r="K504">
        <v>0</v>
      </c>
      <c r="L504">
        <v>0</v>
      </c>
      <c r="M504">
        <v>0</v>
      </c>
      <c r="N504" t="s">
        <v>101</v>
      </c>
      <c r="O504">
        <v>2021</v>
      </c>
      <c r="P504" t="s">
        <v>18</v>
      </c>
    </row>
    <row r="505" spans="1:16" x14ac:dyDescent="0.3">
      <c r="A505">
        <v>87</v>
      </c>
      <c r="B505" t="s">
        <v>520</v>
      </c>
      <c r="C505" t="s">
        <v>3147</v>
      </c>
      <c r="D505" t="str">
        <f>VLOOKUP(YouTube_University_Data_Final[[#This Row],[Title]],[1]!YouTube_University_Data_Final[[Title]:[Title_language]],2,FALSE)</f>
        <v>English</v>
      </c>
      <c r="E505" t="s">
        <v>2944</v>
      </c>
      <c r="F505">
        <v>27</v>
      </c>
      <c r="G505" s="1">
        <v>44525</v>
      </c>
      <c r="H505">
        <v>85</v>
      </c>
      <c r="I505" t="s">
        <v>522</v>
      </c>
      <c r="J505">
        <v>260</v>
      </c>
      <c r="K505">
        <v>3</v>
      </c>
      <c r="L505">
        <v>0</v>
      </c>
      <c r="M505">
        <v>0</v>
      </c>
      <c r="N505" t="s">
        <v>101</v>
      </c>
      <c r="O505">
        <v>2021</v>
      </c>
      <c r="P505" t="s">
        <v>18</v>
      </c>
    </row>
    <row r="506" spans="1:16" x14ac:dyDescent="0.3">
      <c r="A506">
        <v>88</v>
      </c>
      <c r="B506" t="s">
        <v>520</v>
      </c>
      <c r="C506" t="s">
        <v>3148</v>
      </c>
      <c r="D506" t="str">
        <f>VLOOKUP(YouTube_University_Data_Final[[#This Row],[Title]],[1]!YouTube_University_Data_Final[[Title]:[Title_language]],2,FALSE)</f>
        <v>English</v>
      </c>
      <c r="E506" t="s">
        <v>2944</v>
      </c>
      <c r="F506">
        <v>27</v>
      </c>
      <c r="G506" s="1">
        <v>44525</v>
      </c>
      <c r="H506">
        <v>73</v>
      </c>
      <c r="I506" t="s">
        <v>522</v>
      </c>
      <c r="J506">
        <v>298</v>
      </c>
      <c r="K506">
        <v>3</v>
      </c>
      <c r="L506">
        <v>0</v>
      </c>
      <c r="M506">
        <v>0</v>
      </c>
      <c r="N506" t="s">
        <v>101</v>
      </c>
      <c r="O506">
        <v>2021</v>
      </c>
      <c r="P506" t="s">
        <v>18</v>
      </c>
    </row>
    <row r="507" spans="1:16" x14ac:dyDescent="0.3">
      <c r="A507">
        <v>89</v>
      </c>
      <c r="B507" t="s">
        <v>520</v>
      </c>
      <c r="C507" t="s">
        <v>3149</v>
      </c>
      <c r="D507" t="str">
        <f>VLOOKUP(YouTube_University_Data_Final[[#This Row],[Title]],[1]!YouTube_University_Data_Final[[Title]:[Title_language]],2,FALSE)</f>
        <v>English</v>
      </c>
      <c r="E507" t="s">
        <v>2944</v>
      </c>
      <c r="F507">
        <v>27</v>
      </c>
      <c r="G507" s="1">
        <v>44525</v>
      </c>
      <c r="H507">
        <v>95</v>
      </c>
      <c r="I507" t="s">
        <v>522</v>
      </c>
      <c r="J507">
        <v>245</v>
      </c>
      <c r="K507">
        <v>1</v>
      </c>
      <c r="L507">
        <v>0</v>
      </c>
      <c r="M507">
        <v>0</v>
      </c>
      <c r="N507" t="s">
        <v>101</v>
      </c>
      <c r="O507">
        <v>2021</v>
      </c>
      <c r="P507" t="s">
        <v>18</v>
      </c>
    </row>
    <row r="508" spans="1:16" x14ac:dyDescent="0.3">
      <c r="A508">
        <v>90</v>
      </c>
      <c r="B508" t="s">
        <v>520</v>
      </c>
      <c r="C508" t="s">
        <v>3150</v>
      </c>
      <c r="D508" t="str">
        <f>VLOOKUP(YouTube_University_Data_Final[[#This Row],[Title]],[1]!YouTube_University_Data_Final[[Title]:[Title_language]],2,FALSE)</f>
        <v>English</v>
      </c>
      <c r="E508" t="s">
        <v>2944</v>
      </c>
      <c r="F508">
        <v>27</v>
      </c>
      <c r="G508" s="1">
        <v>44525</v>
      </c>
      <c r="H508">
        <v>66</v>
      </c>
      <c r="I508" t="s">
        <v>522</v>
      </c>
      <c r="J508">
        <v>232</v>
      </c>
      <c r="K508">
        <v>4</v>
      </c>
      <c r="L508">
        <v>0</v>
      </c>
      <c r="M508">
        <v>0</v>
      </c>
      <c r="N508" t="s">
        <v>101</v>
      </c>
      <c r="O508">
        <v>2021</v>
      </c>
      <c r="P508" t="s">
        <v>18</v>
      </c>
    </row>
    <row r="509" spans="1:16" x14ac:dyDescent="0.3">
      <c r="A509">
        <v>91</v>
      </c>
      <c r="B509" t="s">
        <v>520</v>
      </c>
      <c r="C509" t="s">
        <v>3151</v>
      </c>
      <c r="D509" t="str">
        <f>VLOOKUP(YouTube_University_Data_Final[[#This Row],[Title]],[1]!YouTube_University_Data_Final[[Title]:[Title_language]],2,FALSE)</f>
        <v>English</v>
      </c>
      <c r="E509" t="s">
        <v>2944</v>
      </c>
      <c r="F509">
        <v>27</v>
      </c>
      <c r="G509" s="1">
        <v>44524</v>
      </c>
      <c r="H509">
        <v>68</v>
      </c>
      <c r="I509" t="s">
        <v>522</v>
      </c>
      <c r="J509">
        <v>183</v>
      </c>
      <c r="K509">
        <v>0</v>
      </c>
      <c r="L509">
        <v>0</v>
      </c>
      <c r="M509">
        <v>0</v>
      </c>
      <c r="N509" t="s">
        <v>101</v>
      </c>
      <c r="O509">
        <v>2021</v>
      </c>
      <c r="P509" t="s">
        <v>18</v>
      </c>
    </row>
    <row r="510" spans="1:16" x14ac:dyDescent="0.3">
      <c r="A510">
        <v>92</v>
      </c>
      <c r="B510" t="s">
        <v>520</v>
      </c>
      <c r="C510" t="s">
        <v>3152</v>
      </c>
      <c r="D510" t="str">
        <f>VLOOKUP(YouTube_University_Data_Final[[#This Row],[Title]],[1]!YouTube_University_Data_Final[[Title]:[Title_language]],2,FALSE)</f>
        <v>English</v>
      </c>
      <c r="E510" t="s">
        <v>2944</v>
      </c>
      <c r="F510">
        <v>27</v>
      </c>
      <c r="G510" s="1">
        <v>44524</v>
      </c>
      <c r="H510">
        <v>71</v>
      </c>
      <c r="I510" t="s">
        <v>522</v>
      </c>
      <c r="J510">
        <v>205</v>
      </c>
      <c r="K510">
        <v>1</v>
      </c>
      <c r="L510">
        <v>0</v>
      </c>
      <c r="M510">
        <v>0</v>
      </c>
      <c r="N510" t="s">
        <v>101</v>
      </c>
      <c r="O510">
        <v>2021</v>
      </c>
      <c r="P510" t="s">
        <v>18</v>
      </c>
    </row>
    <row r="511" spans="1:16" x14ac:dyDescent="0.3">
      <c r="A511">
        <v>93</v>
      </c>
      <c r="B511" t="s">
        <v>520</v>
      </c>
      <c r="C511" t="s">
        <v>3153</v>
      </c>
      <c r="D511" t="str">
        <f>VLOOKUP(YouTube_University_Data_Final[[#This Row],[Title]],[1]!YouTube_University_Data_Final[[Title]:[Title_language]],2,FALSE)</f>
        <v>English</v>
      </c>
      <c r="E511" t="s">
        <v>2944</v>
      </c>
      <c r="F511">
        <v>27</v>
      </c>
      <c r="G511" s="1">
        <v>44524</v>
      </c>
      <c r="H511">
        <v>47</v>
      </c>
      <c r="I511" t="s">
        <v>522</v>
      </c>
      <c r="J511">
        <v>240</v>
      </c>
      <c r="K511">
        <v>3</v>
      </c>
      <c r="L511">
        <v>0</v>
      </c>
      <c r="M511">
        <v>0</v>
      </c>
      <c r="N511" t="s">
        <v>101</v>
      </c>
      <c r="O511">
        <v>2021</v>
      </c>
      <c r="P511" t="s">
        <v>18</v>
      </c>
    </row>
    <row r="512" spans="1:16" x14ac:dyDescent="0.3">
      <c r="A512">
        <v>94</v>
      </c>
      <c r="B512" t="s">
        <v>520</v>
      </c>
      <c r="C512" t="s">
        <v>3154</v>
      </c>
      <c r="D512" t="str">
        <f>VLOOKUP(YouTube_University_Data_Final[[#This Row],[Title]],[1]!YouTube_University_Data_Final[[Title]:[Title_language]],2,FALSE)</f>
        <v>English</v>
      </c>
      <c r="E512" t="s">
        <v>2944</v>
      </c>
      <c r="F512">
        <v>27</v>
      </c>
      <c r="G512" s="1">
        <v>44524</v>
      </c>
      <c r="H512">
        <v>55</v>
      </c>
      <c r="I512" t="s">
        <v>522</v>
      </c>
      <c r="J512">
        <v>268</v>
      </c>
      <c r="K512">
        <v>1</v>
      </c>
      <c r="L512">
        <v>0</v>
      </c>
      <c r="M512">
        <v>0</v>
      </c>
      <c r="N512" t="s">
        <v>101</v>
      </c>
      <c r="O512">
        <v>2021</v>
      </c>
      <c r="P512" t="s">
        <v>18</v>
      </c>
    </row>
    <row r="513" spans="1:16" x14ac:dyDescent="0.3">
      <c r="A513">
        <v>95</v>
      </c>
      <c r="B513" t="s">
        <v>520</v>
      </c>
      <c r="C513" t="s">
        <v>3155</v>
      </c>
      <c r="D513" t="str">
        <f>VLOOKUP(YouTube_University_Data_Final[[#This Row],[Title]],[1]!YouTube_University_Data_Final[[Title]:[Title_language]],2,FALSE)</f>
        <v>English</v>
      </c>
      <c r="E513" t="s">
        <v>2944</v>
      </c>
      <c r="F513">
        <v>27</v>
      </c>
      <c r="G513" s="1">
        <v>44524</v>
      </c>
      <c r="H513">
        <v>57</v>
      </c>
      <c r="I513" t="s">
        <v>522</v>
      </c>
      <c r="J513">
        <v>262</v>
      </c>
      <c r="K513">
        <v>5</v>
      </c>
      <c r="L513">
        <v>0</v>
      </c>
      <c r="M513">
        <v>0</v>
      </c>
      <c r="N513" t="s">
        <v>101</v>
      </c>
      <c r="O513">
        <v>2021</v>
      </c>
      <c r="P513" t="s">
        <v>18</v>
      </c>
    </row>
    <row r="514" spans="1:16" x14ac:dyDescent="0.3">
      <c r="A514">
        <v>96</v>
      </c>
      <c r="B514" t="s">
        <v>520</v>
      </c>
      <c r="C514" t="s">
        <v>3156</v>
      </c>
      <c r="D514" t="str">
        <f>VLOOKUP(YouTube_University_Data_Final[[#This Row],[Title]],[1]!YouTube_University_Data_Final[[Title]:[Title_language]],2,FALSE)</f>
        <v>English</v>
      </c>
      <c r="E514" t="s">
        <v>2944</v>
      </c>
      <c r="F514">
        <v>27</v>
      </c>
      <c r="G514" s="1">
        <v>44523</v>
      </c>
      <c r="H514">
        <v>70</v>
      </c>
      <c r="I514" t="s">
        <v>522</v>
      </c>
      <c r="J514">
        <v>614</v>
      </c>
      <c r="K514">
        <v>6</v>
      </c>
      <c r="L514">
        <v>0</v>
      </c>
      <c r="M514">
        <v>0</v>
      </c>
      <c r="N514" t="s">
        <v>101</v>
      </c>
      <c r="O514">
        <v>2021</v>
      </c>
      <c r="P514" t="s">
        <v>18</v>
      </c>
    </row>
    <row r="515" spans="1:16" x14ac:dyDescent="0.3">
      <c r="A515">
        <v>97</v>
      </c>
      <c r="B515" t="s">
        <v>520</v>
      </c>
      <c r="C515" t="s">
        <v>561</v>
      </c>
      <c r="D515" t="str">
        <f>VLOOKUP(YouTube_University_Data_Final[[#This Row],[Title]],[1]!YouTube_University_Data_Final[[Title]:[Title_language]],2,FALSE)</f>
        <v>English</v>
      </c>
      <c r="E515" t="s">
        <v>3157</v>
      </c>
      <c r="F515">
        <v>27</v>
      </c>
      <c r="G515" s="1">
        <v>44517</v>
      </c>
      <c r="H515">
        <v>22</v>
      </c>
      <c r="I515" t="s">
        <v>522</v>
      </c>
      <c r="J515">
        <v>426</v>
      </c>
      <c r="K515">
        <v>1</v>
      </c>
      <c r="L515">
        <v>0</v>
      </c>
      <c r="M515">
        <v>0</v>
      </c>
      <c r="N515" t="s">
        <v>101</v>
      </c>
      <c r="O515">
        <v>2021</v>
      </c>
      <c r="P515" t="s">
        <v>18</v>
      </c>
    </row>
    <row r="516" spans="1:16" x14ac:dyDescent="0.3">
      <c r="A516">
        <v>98</v>
      </c>
      <c r="B516" t="s">
        <v>520</v>
      </c>
      <c r="C516" t="s">
        <v>562</v>
      </c>
      <c r="D516" t="str">
        <f>VLOOKUP(YouTube_University_Data_Final[[#This Row],[Title]],[1]!YouTube_University_Data_Final[[Title]:[Title_language]],2,FALSE)</f>
        <v>English</v>
      </c>
      <c r="E516" t="s">
        <v>2944</v>
      </c>
      <c r="F516">
        <v>27</v>
      </c>
      <c r="G516" s="1">
        <v>44515</v>
      </c>
      <c r="H516">
        <v>3611</v>
      </c>
      <c r="I516" t="s">
        <v>522</v>
      </c>
      <c r="J516">
        <v>335</v>
      </c>
      <c r="K516">
        <v>4</v>
      </c>
      <c r="L516">
        <v>0</v>
      </c>
      <c r="M516">
        <v>0</v>
      </c>
      <c r="N516" t="s">
        <v>101</v>
      </c>
      <c r="O516">
        <v>2021</v>
      </c>
      <c r="P516" t="s">
        <v>18</v>
      </c>
    </row>
    <row r="517" spans="1:16" x14ac:dyDescent="0.3">
      <c r="A517">
        <v>99</v>
      </c>
      <c r="B517" t="s">
        <v>520</v>
      </c>
      <c r="C517" t="s">
        <v>563</v>
      </c>
      <c r="D517" t="str">
        <f>VLOOKUP(YouTube_University_Data_Final[[#This Row],[Title]],[1]!YouTube_University_Data_Final[[Title]:[Title_language]],2,FALSE)</f>
        <v>English</v>
      </c>
      <c r="E517" t="s">
        <v>2944</v>
      </c>
      <c r="F517">
        <v>27</v>
      </c>
      <c r="G517" s="1">
        <v>44502</v>
      </c>
      <c r="H517">
        <v>81</v>
      </c>
      <c r="I517" t="s">
        <v>522</v>
      </c>
      <c r="J517">
        <v>530</v>
      </c>
      <c r="K517">
        <v>4</v>
      </c>
      <c r="L517">
        <v>0</v>
      </c>
      <c r="M517">
        <v>0</v>
      </c>
      <c r="N517" t="s">
        <v>101</v>
      </c>
      <c r="O517">
        <v>2021</v>
      </c>
      <c r="P517" t="s">
        <v>18</v>
      </c>
    </row>
    <row r="518" spans="1:16" x14ac:dyDescent="0.3">
      <c r="A518">
        <v>100</v>
      </c>
      <c r="B518" t="s">
        <v>520</v>
      </c>
      <c r="C518" t="s">
        <v>3158</v>
      </c>
      <c r="D518" t="str">
        <f>VLOOKUP(YouTube_University_Data_Final[[#This Row],[Title]],[1]!YouTube_University_Data_Final[[Title]:[Title_language]],2,FALSE)</f>
        <v>Bilingual</v>
      </c>
      <c r="E518" t="s">
        <v>3159</v>
      </c>
      <c r="F518">
        <v>27</v>
      </c>
      <c r="G518" s="1">
        <v>44501</v>
      </c>
      <c r="H518">
        <v>195</v>
      </c>
      <c r="I518" t="s">
        <v>3160</v>
      </c>
      <c r="J518">
        <v>67608</v>
      </c>
      <c r="K518">
        <v>13</v>
      </c>
      <c r="L518">
        <v>0</v>
      </c>
      <c r="M518">
        <v>0</v>
      </c>
      <c r="N518" t="s">
        <v>101</v>
      </c>
      <c r="O518">
        <v>2021</v>
      </c>
      <c r="P518" t="s">
        <v>18</v>
      </c>
    </row>
    <row r="519" spans="1:16" x14ac:dyDescent="0.3">
      <c r="A519">
        <v>101</v>
      </c>
      <c r="B519" t="s">
        <v>520</v>
      </c>
      <c r="C519" t="s">
        <v>564</v>
      </c>
      <c r="D519" t="str">
        <f>VLOOKUP(YouTube_University_Data_Final[[#This Row],[Title]],[1]!YouTube_University_Data_Final[[Title]:[Title_language]],2,FALSE)</f>
        <v>English</v>
      </c>
      <c r="E519" t="s">
        <v>3161</v>
      </c>
      <c r="F519">
        <v>27</v>
      </c>
      <c r="G519" s="1">
        <v>44501</v>
      </c>
      <c r="H519">
        <v>205</v>
      </c>
      <c r="I519" t="s">
        <v>522</v>
      </c>
      <c r="J519">
        <v>3841</v>
      </c>
      <c r="K519">
        <v>23</v>
      </c>
      <c r="L519">
        <v>0</v>
      </c>
      <c r="M519">
        <v>0</v>
      </c>
      <c r="N519" t="s">
        <v>101</v>
      </c>
      <c r="O519">
        <v>2021</v>
      </c>
      <c r="P519" t="s">
        <v>18</v>
      </c>
    </row>
    <row r="520" spans="1:16" x14ac:dyDescent="0.3">
      <c r="A520">
        <v>102</v>
      </c>
      <c r="B520" t="s">
        <v>520</v>
      </c>
      <c r="C520" t="s">
        <v>565</v>
      </c>
      <c r="D520" t="str">
        <f>VLOOKUP(YouTube_University_Data_Final[[#This Row],[Title]],[1]!YouTube_University_Data_Final[[Title]:[Title_language]],2,FALSE)</f>
        <v>English</v>
      </c>
      <c r="E520" t="s">
        <v>2944</v>
      </c>
      <c r="F520">
        <v>27</v>
      </c>
      <c r="G520" s="1">
        <v>44397</v>
      </c>
      <c r="H520">
        <v>3600</v>
      </c>
      <c r="I520" t="s">
        <v>522</v>
      </c>
      <c r="J520">
        <v>535</v>
      </c>
      <c r="K520">
        <v>1</v>
      </c>
      <c r="L520">
        <v>0</v>
      </c>
      <c r="M520">
        <v>0</v>
      </c>
      <c r="N520" t="s">
        <v>56</v>
      </c>
      <c r="O520">
        <v>2021</v>
      </c>
      <c r="P520" t="s">
        <v>18</v>
      </c>
    </row>
    <row r="521" spans="1:16" x14ac:dyDescent="0.3">
      <c r="A521">
        <v>103</v>
      </c>
      <c r="B521" t="s">
        <v>520</v>
      </c>
      <c r="C521" t="s">
        <v>566</v>
      </c>
      <c r="D521" t="str">
        <f>VLOOKUP(YouTube_University_Data_Final[[#This Row],[Title]],[1]!YouTube_University_Data_Final[[Title]:[Title_language]],2,FALSE)</f>
        <v>English</v>
      </c>
      <c r="E521" t="s">
        <v>567</v>
      </c>
      <c r="F521">
        <v>27</v>
      </c>
      <c r="G521" s="1">
        <v>44397</v>
      </c>
      <c r="H521">
        <v>3442</v>
      </c>
      <c r="I521" t="s">
        <v>522</v>
      </c>
      <c r="J521">
        <v>641</v>
      </c>
      <c r="K521">
        <v>6</v>
      </c>
      <c r="L521">
        <v>0</v>
      </c>
      <c r="M521">
        <v>0</v>
      </c>
      <c r="N521" t="s">
        <v>56</v>
      </c>
      <c r="O521">
        <v>2021</v>
      </c>
      <c r="P521" t="s">
        <v>18</v>
      </c>
    </row>
    <row r="522" spans="1:16" x14ac:dyDescent="0.3">
      <c r="A522">
        <v>104</v>
      </c>
      <c r="B522" t="s">
        <v>520</v>
      </c>
      <c r="C522" t="s">
        <v>3162</v>
      </c>
      <c r="D522" t="str">
        <f>VLOOKUP(YouTube_University_Data_Final[[#This Row],[Title]],[1]!YouTube_University_Data_Final[[Title]:[Title_language]],2,FALSE)</f>
        <v>English</v>
      </c>
      <c r="E522" t="s">
        <v>2944</v>
      </c>
      <c r="F522">
        <v>27</v>
      </c>
      <c r="G522" s="1">
        <v>44392</v>
      </c>
      <c r="H522">
        <v>3279</v>
      </c>
      <c r="I522" t="s">
        <v>522</v>
      </c>
      <c r="J522">
        <v>8229</v>
      </c>
      <c r="K522">
        <v>94</v>
      </c>
      <c r="L522">
        <v>0</v>
      </c>
      <c r="M522">
        <v>0</v>
      </c>
      <c r="N522" t="s">
        <v>56</v>
      </c>
      <c r="O522">
        <v>2021</v>
      </c>
      <c r="P522" t="s">
        <v>18</v>
      </c>
    </row>
    <row r="523" spans="1:16" x14ac:dyDescent="0.3">
      <c r="A523">
        <v>105</v>
      </c>
      <c r="B523" t="s">
        <v>520</v>
      </c>
      <c r="C523" t="s">
        <v>3163</v>
      </c>
      <c r="D523" t="str">
        <f>VLOOKUP(YouTube_University_Data_Final[[#This Row],[Title]],[1]!YouTube_University_Data_Final[[Title]:[Title_language]],2,FALSE)</f>
        <v>Bilingual</v>
      </c>
      <c r="E523" t="s">
        <v>2944</v>
      </c>
      <c r="F523">
        <v>27</v>
      </c>
      <c r="G523" s="1">
        <v>44391</v>
      </c>
      <c r="H523">
        <v>2931</v>
      </c>
      <c r="I523" t="s">
        <v>522</v>
      </c>
      <c r="J523">
        <v>1808</v>
      </c>
      <c r="K523">
        <v>22</v>
      </c>
      <c r="L523">
        <v>0</v>
      </c>
      <c r="M523">
        <v>0</v>
      </c>
      <c r="N523" t="s">
        <v>56</v>
      </c>
      <c r="O523">
        <v>2021</v>
      </c>
      <c r="P523" t="s">
        <v>18</v>
      </c>
    </row>
    <row r="524" spans="1:16" x14ac:dyDescent="0.3">
      <c r="A524">
        <v>106</v>
      </c>
      <c r="B524" t="s">
        <v>520</v>
      </c>
      <c r="C524" t="s">
        <v>3164</v>
      </c>
      <c r="D524" t="str">
        <f>VLOOKUP(YouTube_University_Data_Final[[#This Row],[Title]],[1]!YouTube_University_Data_Final[[Title]:[Title_language]],2,FALSE)</f>
        <v>Chinese</v>
      </c>
      <c r="E524" t="s">
        <v>3165</v>
      </c>
      <c r="F524">
        <v>27</v>
      </c>
      <c r="G524" s="1">
        <v>44390</v>
      </c>
      <c r="H524">
        <v>207</v>
      </c>
      <c r="I524" t="s">
        <v>522</v>
      </c>
      <c r="J524">
        <v>588</v>
      </c>
      <c r="K524">
        <v>13</v>
      </c>
      <c r="L524">
        <v>0</v>
      </c>
      <c r="M524">
        <v>0</v>
      </c>
      <c r="N524" t="s">
        <v>56</v>
      </c>
      <c r="O524">
        <v>2021</v>
      </c>
      <c r="P524" t="s">
        <v>18</v>
      </c>
    </row>
    <row r="525" spans="1:16" x14ac:dyDescent="0.3">
      <c r="A525">
        <v>107</v>
      </c>
      <c r="B525" t="s">
        <v>520</v>
      </c>
      <c r="C525" t="s">
        <v>3166</v>
      </c>
      <c r="D525" t="str">
        <f>VLOOKUP(YouTube_University_Data_Final[[#This Row],[Title]],[1]!YouTube_University_Data_Final[[Title]:[Title_language]],2,FALSE)</f>
        <v>Chinese</v>
      </c>
      <c r="E525" t="s">
        <v>3167</v>
      </c>
      <c r="F525">
        <v>27</v>
      </c>
      <c r="G525" s="1">
        <v>44389</v>
      </c>
      <c r="H525">
        <v>176</v>
      </c>
      <c r="I525" t="s">
        <v>522</v>
      </c>
      <c r="J525">
        <v>1252</v>
      </c>
      <c r="K525">
        <v>17</v>
      </c>
      <c r="L525">
        <v>0</v>
      </c>
      <c r="M525">
        <v>0</v>
      </c>
      <c r="N525" t="s">
        <v>56</v>
      </c>
      <c r="O525">
        <v>2021</v>
      </c>
      <c r="P525" t="s">
        <v>18</v>
      </c>
    </row>
    <row r="526" spans="1:16" x14ac:dyDescent="0.3">
      <c r="A526">
        <v>108</v>
      </c>
      <c r="B526" t="s">
        <v>520</v>
      </c>
      <c r="C526" t="s">
        <v>568</v>
      </c>
      <c r="D526" t="str">
        <f>VLOOKUP(YouTube_University_Data_Final[[#This Row],[Title]],[1]!YouTube_University_Data_Final[[Title]:[Title_language]],2,FALSE)</f>
        <v>English</v>
      </c>
      <c r="E526" t="s">
        <v>2944</v>
      </c>
      <c r="F526">
        <v>27</v>
      </c>
      <c r="G526" s="1">
        <v>44372</v>
      </c>
      <c r="H526">
        <v>3390</v>
      </c>
      <c r="I526" t="s">
        <v>522</v>
      </c>
      <c r="J526">
        <v>1103</v>
      </c>
      <c r="K526">
        <v>8</v>
      </c>
      <c r="L526">
        <v>0</v>
      </c>
      <c r="M526">
        <v>0</v>
      </c>
      <c r="N526" t="s">
        <v>78</v>
      </c>
      <c r="O526">
        <v>2021</v>
      </c>
      <c r="P526" t="s">
        <v>18</v>
      </c>
    </row>
    <row r="527" spans="1:16" x14ac:dyDescent="0.3">
      <c r="A527">
        <v>109</v>
      </c>
      <c r="B527" t="s">
        <v>520</v>
      </c>
      <c r="C527" t="s">
        <v>3168</v>
      </c>
      <c r="D527" t="str">
        <f>VLOOKUP(YouTube_University_Data_Final[[#This Row],[Title]],[1]!YouTube_University_Data_Final[[Title]:[Title_language]],2,FALSE)</f>
        <v>Chinese</v>
      </c>
      <c r="E527" t="s">
        <v>2944</v>
      </c>
      <c r="F527">
        <v>27</v>
      </c>
      <c r="G527" s="1">
        <v>44349</v>
      </c>
      <c r="H527">
        <v>2705</v>
      </c>
      <c r="I527" t="s">
        <v>522</v>
      </c>
      <c r="J527">
        <v>1521</v>
      </c>
      <c r="K527">
        <v>16</v>
      </c>
      <c r="L527">
        <v>0</v>
      </c>
      <c r="M527">
        <v>0</v>
      </c>
      <c r="N527" t="s">
        <v>78</v>
      </c>
      <c r="O527">
        <v>2021</v>
      </c>
      <c r="P527" t="s">
        <v>18</v>
      </c>
    </row>
    <row r="528" spans="1:16" x14ac:dyDescent="0.3">
      <c r="A528">
        <v>110</v>
      </c>
      <c r="B528" t="s">
        <v>520</v>
      </c>
      <c r="C528" t="s">
        <v>569</v>
      </c>
      <c r="D528" t="str">
        <f>VLOOKUP(YouTube_University_Data_Final[[#This Row],[Title]],[1]!YouTube_University_Data_Final[[Title]:[Title_language]],2,FALSE)</f>
        <v>English</v>
      </c>
      <c r="E528" t="s">
        <v>570</v>
      </c>
      <c r="F528">
        <v>27</v>
      </c>
      <c r="G528" s="1">
        <v>44341</v>
      </c>
      <c r="H528">
        <v>432</v>
      </c>
      <c r="I528" t="s">
        <v>571</v>
      </c>
      <c r="J528">
        <v>228</v>
      </c>
      <c r="K528">
        <v>6</v>
      </c>
      <c r="L528">
        <v>0</v>
      </c>
      <c r="M528">
        <v>0</v>
      </c>
      <c r="N528" t="s">
        <v>81</v>
      </c>
      <c r="O528">
        <v>2021</v>
      </c>
      <c r="P528" t="s">
        <v>18</v>
      </c>
    </row>
    <row r="529" spans="1:16" x14ac:dyDescent="0.3">
      <c r="A529">
        <v>111</v>
      </c>
      <c r="B529" t="s">
        <v>520</v>
      </c>
      <c r="C529" t="s">
        <v>572</v>
      </c>
      <c r="D529" t="str">
        <f>VLOOKUP(YouTube_University_Data_Final[[#This Row],[Title]],[1]!YouTube_University_Data_Final[[Title]:[Title_language]],2,FALSE)</f>
        <v>English</v>
      </c>
      <c r="E529" t="s">
        <v>2944</v>
      </c>
      <c r="F529">
        <v>27</v>
      </c>
      <c r="G529" s="1">
        <v>44298</v>
      </c>
      <c r="H529">
        <v>5115</v>
      </c>
      <c r="I529" t="s">
        <v>522</v>
      </c>
      <c r="J529">
        <v>2978</v>
      </c>
      <c r="K529">
        <v>29</v>
      </c>
      <c r="L529">
        <v>0</v>
      </c>
      <c r="M529">
        <v>0</v>
      </c>
      <c r="N529" t="s">
        <v>87</v>
      </c>
      <c r="O529">
        <v>2021</v>
      </c>
      <c r="P529" t="s">
        <v>18</v>
      </c>
    </row>
    <row r="530" spans="1:16" x14ac:dyDescent="0.3">
      <c r="A530">
        <v>112</v>
      </c>
      <c r="B530" t="s">
        <v>520</v>
      </c>
      <c r="C530" t="s">
        <v>3169</v>
      </c>
      <c r="D530" t="str">
        <f>VLOOKUP(YouTube_University_Data_Final[[#This Row],[Title]],[1]!YouTube_University_Data_Final[[Title]:[Title_language]],2,FALSE)</f>
        <v>Bilingual</v>
      </c>
      <c r="E530" t="s">
        <v>2944</v>
      </c>
      <c r="F530">
        <v>27</v>
      </c>
      <c r="G530" s="1">
        <v>44295</v>
      </c>
      <c r="H530">
        <v>3346</v>
      </c>
      <c r="I530" t="s">
        <v>522</v>
      </c>
      <c r="J530">
        <v>2229</v>
      </c>
      <c r="K530">
        <v>35</v>
      </c>
      <c r="L530">
        <v>0</v>
      </c>
      <c r="M530">
        <v>0</v>
      </c>
      <c r="N530" t="s">
        <v>87</v>
      </c>
      <c r="O530">
        <v>2021</v>
      </c>
      <c r="P530" t="s">
        <v>18</v>
      </c>
    </row>
    <row r="531" spans="1:16" x14ac:dyDescent="0.3">
      <c r="A531">
        <v>113</v>
      </c>
      <c r="B531" t="s">
        <v>520</v>
      </c>
      <c r="C531" t="s">
        <v>3092</v>
      </c>
      <c r="D531" t="str">
        <f>VLOOKUP(YouTube_University_Data_Final[[#This Row],[Title]],[1]!YouTube_University_Data_Final[[Title]:[Title_language]],2,FALSE)</f>
        <v>Bilingual</v>
      </c>
      <c r="E531" t="s">
        <v>2944</v>
      </c>
      <c r="F531">
        <v>27</v>
      </c>
      <c r="G531" s="1">
        <v>44294</v>
      </c>
      <c r="H531">
        <v>3830</v>
      </c>
      <c r="I531" t="s">
        <v>522</v>
      </c>
      <c r="J531">
        <v>3095</v>
      </c>
      <c r="K531">
        <v>49</v>
      </c>
      <c r="L531">
        <v>0</v>
      </c>
      <c r="M531">
        <v>0</v>
      </c>
      <c r="N531" t="s">
        <v>87</v>
      </c>
      <c r="O531">
        <v>2021</v>
      </c>
      <c r="P531" t="s">
        <v>18</v>
      </c>
    </row>
    <row r="532" spans="1:16" x14ac:dyDescent="0.3">
      <c r="A532">
        <v>114</v>
      </c>
      <c r="B532" t="s">
        <v>520</v>
      </c>
      <c r="C532" t="s">
        <v>3170</v>
      </c>
      <c r="D532" t="str">
        <f>VLOOKUP(YouTube_University_Data_Final[[#This Row],[Title]],[1]!YouTube_University_Data_Final[[Title]:[Title_language]],2,FALSE)</f>
        <v>Bilingual</v>
      </c>
      <c r="E532" t="s">
        <v>2944</v>
      </c>
      <c r="F532">
        <v>27</v>
      </c>
      <c r="G532" s="1">
        <v>44293</v>
      </c>
      <c r="H532">
        <v>6921</v>
      </c>
      <c r="I532" t="s">
        <v>522</v>
      </c>
      <c r="J532">
        <v>11702</v>
      </c>
      <c r="K532">
        <v>176</v>
      </c>
      <c r="L532">
        <v>0</v>
      </c>
      <c r="M532">
        <v>0</v>
      </c>
      <c r="N532" t="s">
        <v>87</v>
      </c>
      <c r="O532">
        <v>2021</v>
      </c>
      <c r="P532" t="s">
        <v>18</v>
      </c>
    </row>
    <row r="533" spans="1:16" x14ac:dyDescent="0.3">
      <c r="A533">
        <v>115</v>
      </c>
      <c r="B533" t="s">
        <v>520</v>
      </c>
      <c r="C533" t="s">
        <v>3171</v>
      </c>
      <c r="D533" t="str">
        <f>VLOOKUP(YouTube_University_Data_Final[[#This Row],[Title]],[1]!YouTube_University_Data_Final[[Title]:[Title_language]],2,FALSE)</f>
        <v>Chinese</v>
      </c>
      <c r="E533" t="s">
        <v>3172</v>
      </c>
      <c r="F533">
        <v>27</v>
      </c>
      <c r="G533" s="1">
        <v>44281</v>
      </c>
      <c r="H533">
        <v>4494</v>
      </c>
      <c r="I533" t="s">
        <v>522</v>
      </c>
      <c r="J533">
        <v>9785</v>
      </c>
      <c r="K533">
        <v>66</v>
      </c>
      <c r="L533">
        <v>0</v>
      </c>
      <c r="M533">
        <v>0</v>
      </c>
      <c r="N533" t="s">
        <v>90</v>
      </c>
      <c r="O533">
        <v>2021</v>
      </c>
      <c r="P533" t="s">
        <v>18</v>
      </c>
    </row>
    <row r="534" spans="1:16" x14ac:dyDescent="0.3">
      <c r="A534">
        <v>116</v>
      </c>
      <c r="B534" t="s">
        <v>520</v>
      </c>
      <c r="C534" t="s">
        <v>3173</v>
      </c>
      <c r="D534" t="str">
        <f>VLOOKUP(YouTube_University_Data_Final[[#This Row],[Title]],[1]!YouTube_University_Data_Final[[Title]:[Title_language]],2,FALSE)</f>
        <v>Chinese</v>
      </c>
      <c r="E534" t="s">
        <v>2944</v>
      </c>
      <c r="F534">
        <v>27</v>
      </c>
      <c r="G534" s="1">
        <v>44274</v>
      </c>
      <c r="H534">
        <v>4386</v>
      </c>
      <c r="I534" t="s">
        <v>522</v>
      </c>
      <c r="J534">
        <v>4409</v>
      </c>
      <c r="K534">
        <v>0</v>
      </c>
      <c r="L534">
        <v>0</v>
      </c>
      <c r="M534">
        <v>0</v>
      </c>
      <c r="N534" t="s">
        <v>90</v>
      </c>
      <c r="O534">
        <v>2021</v>
      </c>
      <c r="P534" t="s">
        <v>18</v>
      </c>
    </row>
    <row r="535" spans="1:16" x14ac:dyDescent="0.3">
      <c r="A535">
        <v>117</v>
      </c>
      <c r="B535" t="s">
        <v>520</v>
      </c>
      <c r="C535" t="s">
        <v>3174</v>
      </c>
      <c r="D535" t="str">
        <f>VLOOKUP(YouTube_University_Data_Final[[#This Row],[Title]],[1]!YouTube_University_Data_Final[[Title]:[Title_language]],2,FALSE)</f>
        <v>Bilingual</v>
      </c>
      <c r="E535" t="s">
        <v>2944</v>
      </c>
      <c r="F535">
        <v>27</v>
      </c>
      <c r="G535" s="1">
        <v>44267</v>
      </c>
      <c r="H535">
        <v>3626</v>
      </c>
      <c r="I535" t="s">
        <v>522</v>
      </c>
      <c r="J535">
        <v>9948</v>
      </c>
      <c r="K535">
        <v>0</v>
      </c>
      <c r="L535">
        <v>0</v>
      </c>
      <c r="M535">
        <v>0</v>
      </c>
      <c r="N535" t="s">
        <v>90</v>
      </c>
      <c r="O535">
        <v>2021</v>
      </c>
      <c r="P535" t="s">
        <v>18</v>
      </c>
    </row>
    <row r="536" spans="1:16" x14ac:dyDescent="0.3">
      <c r="A536">
        <v>118</v>
      </c>
      <c r="B536" t="s">
        <v>520</v>
      </c>
      <c r="C536" t="s">
        <v>3175</v>
      </c>
      <c r="D536" t="str">
        <f>VLOOKUP(YouTube_University_Data_Final[[#This Row],[Title]],[1]!YouTube_University_Data_Final[[Title]:[Title_language]],2,FALSE)</f>
        <v>Bilingual</v>
      </c>
      <c r="E536" t="s">
        <v>2944</v>
      </c>
      <c r="F536">
        <v>27</v>
      </c>
      <c r="G536" s="1">
        <v>44252</v>
      </c>
      <c r="H536">
        <v>5355</v>
      </c>
      <c r="I536" t="s">
        <v>522</v>
      </c>
      <c r="J536">
        <v>10166</v>
      </c>
      <c r="K536">
        <v>257</v>
      </c>
      <c r="L536">
        <v>0</v>
      </c>
      <c r="M536">
        <v>0</v>
      </c>
      <c r="N536" t="s">
        <v>162</v>
      </c>
      <c r="O536">
        <v>2021</v>
      </c>
      <c r="P536" t="s">
        <v>18</v>
      </c>
    </row>
    <row r="537" spans="1:16" x14ac:dyDescent="0.3">
      <c r="A537">
        <v>119</v>
      </c>
      <c r="B537" t="s">
        <v>520</v>
      </c>
      <c r="C537" t="s">
        <v>573</v>
      </c>
      <c r="D537" t="str">
        <f>VLOOKUP(YouTube_University_Data_Final[[#This Row],[Title]],[1]!YouTube_University_Data_Final[[Title]:[Title_language]],2,FALSE)</f>
        <v>English</v>
      </c>
      <c r="E537" t="s">
        <v>2944</v>
      </c>
      <c r="F537">
        <v>27</v>
      </c>
      <c r="G537" s="1">
        <v>44251</v>
      </c>
      <c r="H537">
        <v>237</v>
      </c>
      <c r="I537" t="s">
        <v>522</v>
      </c>
      <c r="J537">
        <v>473</v>
      </c>
      <c r="K537">
        <v>5</v>
      </c>
      <c r="L537">
        <v>0</v>
      </c>
      <c r="M537">
        <v>0</v>
      </c>
      <c r="N537" t="s">
        <v>162</v>
      </c>
      <c r="O537">
        <v>2021</v>
      </c>
      <c r="P537" t="s">
        <v>18</v>
      </c>
    </row>
    <row r="538" spans="1:16" x14ac:dyDescent="0.3">
      <c r="A538">
        <v>120</v>
      </c>
      <c r="B538" t="s">
        <v>520</v>
      </c>
      <c r="C538" t="s">
        <v>574</v>
      </c>
      <c r="D538" t="str">
        <f>VLOOKUP(YouTube_University_Data_Final[[#This Row],[Title]],[1]!YouTube_University_Data_Final[[Title]:[Title_language]],2,FALSE)</f>
        <v>English</v>
      </c>
      <c r="E538" t="s">
        <v>3176</v>
      </c>
      <c r="F538">
        <v>27</v>
      </c>
      <c r="G538" s="1">
        <v>44251</v>
      </c>
      <c r="H538">
        <v>283</v>
      </c>
      <c r="I538" t="s">
        <v>575</v>
      </c>
      <c r="J538">
        <v>656</v>
      </c>
      <c r="K538">
        <v>7</v>
      </c>
      <c r="L538">
        <v>0</v>
      </c>
      <c r="M538">
        <v>0</v>
      </c>
      <c r="N538" t="s">
        <v>162</v>
      </c>
      <c r="O538">
        <v>2021</v>
      </c>
      <c r="P538" t="s">
        <v>18</v>
      </c>
    </row>
    <row r="539" spans="1:16" x14ac:dyDescent="0.3">
      <c r="A539">
        <v>121</v>
      </c>
      <c r="B539" t="s">
        <v>520</v>
      </c>
      <c r="C539" t="s">
        <v>576</v>
      </c>
      <c r="D539" t="str">
        <f>VLOOKUP(YouTube_University_Data_Final[[#This Row],[Title]],[1]!YouTube_University_Data_Final[[Title]:[Title_language]],2,FALSE)</f>
        <v>English</v>
      </c>
      <c r="E539" t="s">
        <v>577</v>
      </c>
      <c r="F539">
        <v>27</v>
      </c>
      <c r="G539" s="1">
        <v>44250</v>
      </c>
      <c r="H539">
        <v>3505</v>
      </c>
      <c r="I539" t="s">
        <v>522</v>
      </c>
      <c r="J539">
        <v>351</v>
      </c>
      <c r="K539">
        <v>1</v>
      </c>
      <c r="L539">
        <v>0</v>
      </c>
      <c r="M539">
        <v>0</v>
      </c>
      <c r="N539" t="s">
        <v>162</v>
      </c>
      <c r="O539">
        <v>2021</v>
      </c>
      <c r="P539" t="s">
        <v>18</v>
      </c>
    </row>
    <row r="540" spans="1:16" x14ac:dyDescent="0.3">
      <c r="A540">
        <v>122</v>
      </c>
      <c r="B540" t="s">
        <v>520</v>
      </c>
      <c r="C540" t="s">
        <v>578</v>
      </c>
      <c r="D540" t="str">
        <f>VLOOKUP(YouTube_University_Data_Final[[#This Row],[Title]],[1]!YouTube_University_Data_Final[[Title]:[Title_language]],2,FALSE)</f>
        <v>English</v>
      </c>
      <c r="E540" t="s">
        <v>579</v>
      </c>
      <c r="F540">
        <v>27</v>
      </c>
      <c r="G540" s="1">
        <v>44250</v>
      </c>
      <c r="H540">
        <v>3810</v>
      </c>
      <c r="I540" t="s">
        <v>522</v>
      </c>
      <c r="J540">
        <v>679</v>
      </c>
      <c r="K540">
        <v>5</v>
      </c>
      <c r="L540">
        <v>0</v>
      </c>
      <c r="M540">
        <v>0</v>
      </c>
      <c r="N540" t="s">
        <v>162</v>
      </c>
      <c r="O540">
        <v>2021</v>
      </c>
      <c r="P540" t="s">
        <v>18</v>
      </c>
    </row>
    <row r="541" spans="1:16" x14ac:dyDescent="0.3">
      <c r="A541">
        <v>123</v>
      </c>
      <c r="B541" t="s">
        <v>520</v>
      </c>
      <c r="C541" t="s">
        <v>580</v>
      </c>
      <c r="D541" t="str">
        <f>VLOOKUP(YouTube_University_Data_Final[[#This Row],[Title]],[1]!YouTube_University_Data_Final[[Title]:[Title_language]],2,FALSE)</f>
        <v>English</v>
      </c>
      <c r="E541" t="s">
        <v>581</v>
      </c>
      <c r="F541">
        <v>27</v>
      </c>
      <c r="G541" s="1">
        <v>44250</v>
      </c>
      <c r="H541">
        <v>3366</v>
      </c>
      <c r="I541" t="s">
        <v>522</v>
      </c>
      <c r="J541">
        <v>408</v>
      </c>
      <c r="K541">
        <v>3</v>
      </c>
      <c r="L541">
        <v>0</v>
      </c>
      <c r="M541">
        <v>0</v>
      </c>
      <c r="N541" t="s">
        <v>162</v>
      </c>
      <c r="O541">
        <v>2021</v>
      </c>
      <c r="P541" t="s">
        <v>18</v>
      </c>
    </row>
    <row r="542" spans="1:16" x14ac:dyDescent="0.3">
      <c r="A542">
        <v>124</v>
      </c>
      <c r="B542" t="s">
        <v>520</v>
      </c>
      <c r="C542" t="s">
        <v>3107</v>
      </c>
      <c r="D542" t="str">
        <f>VLOOKUP(YouTube_University_Data_Final[[#This Row],[Title]],[1]!YouTube_University_Data_Final[[Title]:[Title_language]],2,FALSE)</f>
        <v>Bilingual</v>
      </c>
      <c r="E542" t="s">
        <v>2944</v>
      </c>
      <c r="F542">
        <v>27</v>
      </c>
      <c r="G542" s="1">
        <v>44246</v>
      </c>
      <c r="H542">
        <v>5458</v>
      </c>
      <c r="I542" t="s">
        <v>522</v>
      </c>
      <c r="J542">
        <v>21177</v>
      </c>
      <c r="K542">
        <v>245</v>
      </c>
      <c r="L542">
        <v>0</v>
      </c>
      <c r="M542">
        <v>0</v>
      </c>
      <c r="N542" t="s">
        <v>162</v>
      </c>
      <c r="O542">
        <v>2021</v>
      </c>
      <c r="P542" t="s">
        <v>18</v>
      </c>
    </row>
    <row r="543" spans="1:16" x14ac:dyDescent="0.3">
      <c r="A543">
        <v>125</v>
      </c>
      <c r="B543" t="s">
        <v>520</v>
      </c>
      <c r="C543" t="s">
        <v>3177</v>
      </c>
      <c r="D543" t="str">
        <f>VLOOKUP(YouTube_University_Data_Final[[#This Row],[Title]],[1]!YouTube_University_Data_Final[[Title]:[Title_language]],2,FALSE)</f>
        <v>Chinese</v>
      </c>
      <c r="E543" t="s">
        <v>3178</v>
      </c>
      <c r="F543">
        <v>27</v>
      </c>
      <c r="G543" s="1">
        <v>44236</v>
      </c>
      <c r="H543">
        <v>289</v>
      </c>
      <c r="I543" t="s">
        <v>522</v>
      </c>
      <c r="J543">
        <v>6153</v>
      </c>
      <c r="K543">
        <v>47</v>
      </c>
      <c r="L543">
        <v>0</v>
      </c>
      <c r="M543">
        <v>0</v>
      </c>
      <c r="N543" t="s">
        <v>162</v>
      </c>
      <c r="O543">
        <v>2021</v>
      </c>
      <c r="P543" t="s">
        <v>18</v>
      </c>
    </row>
    <row r="544" spans="1:16" x14ac:dyDescent="0.3">
      <c r="A544">
        <v>126</v>
      </c>
      <c r="B544" t="s">
        <v>520</v>
      </c>
      <c r="C544" t="s">
        <v>3179</v>
      </c>
      <c r="D544" t="str">
        <f>VLOOKUP(YouTube_University_Data_Final[[#This Row],[Title]],[1]!YouTube_University_Data_Final[[Title]:[Title_language]],2,FALSE)</f>
        <v>Chinese</v>
      </c>
      <c r="E544" t="s">
        <v>3180</v>
      </c>
      <c r="F544">
        <v>27</v>
      </c>
      <c r="G544" s="1">
        <v>44235</v>
      </c>
      <c r="H544">
        <v>238</v>
      </c>
      <c r="I544" t="s">
        <v>522</v>
      </c>
      <c r="J544">
        <v>4651</v>
      </c>
      <c r="K544">
        <v>54</v>
      </c>
      <c r="L544">
        <v>0</v>
      </c>
      <c r="M544">
        <v>0</v>
      </c>
      <c r="N544" t="s">
        <v>162</v>
      </c>
      <c r="O544">
        <v>2021</v>
      </c>
      <c r="P544" t="s">
        <v>18</v>
      </c>
    </row>
    <row r="545" spans="1:16" x14ac:dyDescent="0.3">
      <c r="A545">
        <v>127</v>
      </c>
      <c r="B545" t="s">
        <v>520</v>
      </c>
      <c r="C545" t="s">
        <v>3181</v>
      </c>
      <c r="D545" t="str">
        <f>VLOOKUP(YouTube_University_Data_Final[[#This Row],[Title]],[1]!YouTube_University_Data_Final[[Title]:[Title_language]],2,FALSE)</f>
        <v>Chinese</v>
      </c>
      <c r="E545" t="s">
        <v>3182</v>
      </c>
      <c r="F545">
        <v>27</v>
      </c>
      <c r="G545" s="1">
        <v>44232</v>
      </c>
      <c r="H545">
        <v>220</v>
      </c>
      <c r="I545" t="s">
        <v>522</v>
      </c>
      <c r="J545">
        <v>5999</v>
      </c>
      <c r="K545">
        <v>42</v>
      </c>
      <c r="L545">
        <v>0</v>
      </c>
      <c r="M545">
        <v>0</v>
      </c>
      <c r="N545" t="s">
        <v>162</v>
      </c>
      <c r="O545">
        <v>2021</v>
      </c>
      <c r="P545" t="s">
        <v>18</v>
      </c>
    </row>
    <row r="546" spans="1:16" x14ac:dyDescent="0.3">
      <c r="A546">
        <v>128</v>
      </c>
      <c r="B546" t="s">
        <v>520</v>
      </c>
      <c r="C546" t="s">
        <v>3183</v>
      </c>
      <c r="D546" t="str">
        <f>VLOOKUP(YouTube_University_Data_Final[[#This Row],[Title]],[1]!YouTube_University_Data_Final[[Title]:[Title_language]],2,FALSE)</f>
        <v>Chinese</v>
      </c>
      <c r="E546" t="s">
        <v>3184</v>
      </c>
      <c r="F546">
        <v>27</v>
      </c>
      <c r="G546" s="1">
        <v>44231</v>
      </c>
      <c r="H546">
        <v>261</v>
      </c>
      <c r="I546" t="s">
        <v>522</v>
      </c>
      <c r="J546">
        <v>6746</v>
      </c>
      <c r="K546">
        <v>64</v>
      </c>
      <c r="L546">
        <v>0</v>
      </c>
      <c r="M546">
        <v>0</v>
      </c>
      <c r="N546" t="s">
        <v>162</v>
      </c>
      <c r="O546">
        <v>2021</v>
      </c>
      <c r="P546" t="s">
        <v>18</v>
      </c>
    </row>
    <row r="547" spans="1:16" x14ac:dyDescent="0.3">
      <c r="A547">
        <v>129</v>
      </c>
      <c r="B547" t="s">
        <v>520</v>
      </c>
      <c r="C547" t="s">
        <v>582</v>
      </c>
      <c r="D547" t="str">
        <f>VLOOKUP(YouTube_University_Data_Final[[#This Row],[Title]],[1]!YouTube_University_Data_Final[[Title]:[Title_language]],2,FALSE)</f>
        <v>English</v>
      </c>
      <c r="E547" t="s">
        <v>583</v>
      </c>
      <c r="F547">
        <v>27</v>
      </c>
      <c r="G547" s="1">
        <v>44214</v>
      </c>
      <c r="H547">
        <v>1006</v>
      </c>
      <c r="I547" t="s">
        <v>522</v>
      </c>
      <c r="J547">
        <v>142</v>
      </c>
      <c r="K547">
        <v>1</v>
      </c>
      <c r="L547">
        <v>0</v>
      </c>
      <c r="M547">
        <v>0</v>
      </c>
      <c r="N547" t="s">
        <v>93</v>
      </c>
      <c r="O547">
        <v>2021</v>
      </c>
      <c r="P547" t="s">
        <v>18</v>
      </c>
    </row>
    <row r="548" spans="1:16" x14ac:dyDescent="0.3">
      <c r="A548">
        <v>130</v>
      </c>
      <c r="B548" t="s">
        <v>520</v>
      </c>
      <c r="C548" t="s">
        <v>584</v>
      </c>
      <c r="D548" t="str">
        <f>VLOOKUP(YouTube_University_Data_Final[[#This Row],[Title]],[1]!YouTube_University_Data_Final[[Title]:[Title_language]],2,FALSE)</f>
        <v>English</v>
      </c>
      <c r="E548" t="s">
        <v>583</v>
      </c>
      <c r="F548">
        <v>27</v>
      </c>
      <c r="G548" s="1">
        <v>44214</v>
      </c>
      <c r="H548">
        <v>897</v>
      </c>
      <c r="I548" t="s">
        <v>522</v>
      </c>
      <c r="J548">
        <v>111</v>
      </c>
      <c r="K548">
        <v>0</v>
      </c>
      <c r="L548">
        <v>0</v>
      </c>
      <c r="M548">
        <v>0</v>
      </c>
      <c r="N548" t="s">
        <v>93</v>
      </c>
      <c r="O548">
        <v>2021</v>
      </c>
      <c r="P548" t="s">
        <v>18</v>
      </c>
    </row>
    <row r="549" spans="1:16" x14ac:dyDescent="0.3">
      <c r="A549">
        <v>131</v>
      </c>
      <c r="B549" t="s">
        <v>520</v>
      </c>
      <c r="C549" t="s">
        <v>585</v>
      </c>
      <c r="D549" t="str">
        <f>VLOOKUP(YouTube_University_Data_Final[[#This Row],[Title]],[1]!YouTube_University_Data_Final[[Title]:[Title_language]],2,FALSE)</f>
        <v>English</v>
      </c>
      <c r="E549" t="s">
        <v>586</v>
      </c>
      <c r="F549">
        <v>27</v>
      </c>
      <c r="G549" s="1">
        <v>44208</v>
      </c>
      <c r="H549">
        <v>100</v>
      </c>
      <c r="I549" t="s">
        <v>522</v>
      </c>
      <c r="J549">
        <v>135</v>
      </c>
      <c r="K549">
        <v>2</v>
      </c>
      <c r="L549">
        <v>0</v>
      </c>
      <c r="M549">
        <v>0</v>
      </c>
      <c r="N549" t="s">
        <v>93</v>
      </c>
      <c r="O549">
        <v>2021</v>
      </c>
      <c r="P549" t="s">
        <v>18</v>
      </c>
    </row>
    <row r="550" spans="1:16" x14ac:dyDescent="0.3">
      <c r="A550">
        <v>132</v>
      </c>
      <c r="B550" t="s">
        <v>520</v>
      </c>
      <c r="C550" t="s">
        <v>587</v>
      </c>
      <c r="D550" t="str">
        <f>VLOOKUP(YouTube_University_Data_Final[[#This Row],[Title]],[1]!YouTube_University_Data_Final[[Title]:[Title_language]],2,FALSE)</f>
        <v>English</v>
      </c>
      <c r="E550" t="s">
        <v>588</v>
      </c>
      <c r="F550">
        <v>27</v>
      </c>
      <c r="G550" s="1">
        <v>44208</v>
      </c>
      <c r="H550">
        <v>104</v>
      </c>
      <c r="I550" t="s">
        <v>522</v>
      </c>
      <c r="J550">
        <v>188</v>
      </c>
      <c r="K550">
        <v>1</v>
      </c>
      <c r="L550">
        <v>0</v>
      </c>
      <c r="M550">
        <v>0</v>
      </c>
      <c r="N550" t="s">
        <v>93</v>
      </c>
      <c r="O550">
        <v>2021</v>
      </c>
      <c r="P550" t="s">
        <v>18</v>
      </c>
    </row>
    <row r="551" spans="1:16" x14ac:dyDescent="0.3">
      <c r="A551">
        <v>133</v>
      </c>
      <c r="B551" t="s">
        <v>520</v>
      </c>
      <c r="C551" t="s">
        <v>589</v>
      </c>
      <c r="D551" t="str">
        <f>VLOOKUP(YouTube_University_Data_Final[[#This Row],[Title]],[1]!YouTube_University_Data_Final[[Title]:[Title_language]],2,FALSE)</f>
        <v>English</v>
      </c>
      <c r="E551" t="s">
        <v>590</v>
      </c>
      <c r="F551">
        <v>27</v>
      </c>
      <c r="G551" s="1">
        <v>44208</v>
      </c>
      <c r="H551">
        <v>83</v>
      </c>
      <c r="I551" t="s">
        <v>522</v>
      </c>
      <c r="J551">
        <v>351</v>
      </c>
      <c r="K551">
        <v>0</v>
      </c>
      <c r="L551">
        <v>0</v>
      </c>
      <c r="M551">
        <v>0</v>
      </c>
      <c r="N551" t="s">
        <v>93</v>
      </c>
      <c r="O551">
        <v>2021</v>
      </c>
      <c r="P551" t="s">
        <v>18</v>
      </c>
    </row>
    <row r="552" spans="1:16" x14ac:dyDescent="0.3">
      <c r="A552">
        <v>134</v>
      </c>
      <c r="B552" t="s">
        <v>520</v>
      </c>
      <c r="C552" t="s">
        <v>591</v>
      </c>
      <c r="D552" t="str">
        <f>VLOOKUP(YouTube_University_Data_Final[[#This Row],[Title]],[1]!YouTube_University_Data_Final[[Title]:[Title_language]],2,FALSE)</f>
        <v>English</v>
      </c>
      <c r="E552" t="s">
        <v>592</v>
      </c>
      <c r="F552">
        <v>27</v>
      </c>
      <c r="G552" s="1">
        <v>44208</v>
      </c>
      <c r="H552">
        <v>86</v>
      </c>
      <c r="I552" t="s">
        <v>522</v>
      </c>
      <c r="J552">
        <v>543</v>
      </c>
      <c r="K552">
        <v>10</v>
      </c>
      <c r="L552">
        <v>0</v>
      </c>
      <c r="M552">
        <v>0</v>
      </c>
      <c r="N552" t="s">
        <v>93</v>
      </c>
      <c r="O552">
        <v>2021</v>
      </c>
      <c r="P552" t="s">
        <v>18</v>
      </c>
    </row>
    <row r="553" spans="1:16" x14ac:dyDescent="0.3">
      <c r="A553">
        <v>135</v>
      </c>
      <c r="B553" t="s">
        <v>520</v>
      </c>
      <c r="C553" t="s">
        <v>593</v>
      </c>
      <c r="D553" t="str">
        <f>VLOOKUP(YouTube_University_Data_Final[[#This Row],[Title]],[1]!YouTube_University_Data_Final[[Title]:[Title_language]],2,FALSE)</f>
        <v>English</v>
      </c>
      <c r="E553" t="s">
        <v>594</v>
      </c>
      <c r="F553">
        <v>27</v>
      </c>
      <c r="G553" s="1">
        <v>44208</v>
      </c>
      <c r="H553">
        <v>123</v>
      </c>
      <c r="I553" t="s">
        <v>522</v>
      </c>
      <c r="J553">
        <v>139</v>
      </c>
      <c r="K553">
        <v>1</v>
      </c>
      <c r="L553">
        <v>0</v>
      </c>
      <c r="M553">
        <v>0</v>
      </c>
      <c r="N553" t="s">
        <v>93</v>
      </c>
      <c r="O553">
        <v>2021</v>
      </c>
      <c r="P553" t="s">
        <v>18</v>
      </c>
    </row>
    <row r="554" spans="1:16" x14ac:dyDescent="0.3">
      <c r="A554">
        <v>136</v>
      </c>
      <c r="B554" t="s">
        <v>520</v>
      </c>
      <c r="C554" t="s">
        <v>595</v>
      </c>
      <c r="D554" t="str">
        <f>VLOOKUP(YouTube_University_Data_Final[[#This Row],[Title]],[1]!YouTube_University_Data_Final[[Title]:[Title_language]],2,FALSE)</f>
        <v>English</v>
      </c>
      <c r="E554" t="s">
        <v>2944</v>
      </c>
      <c r="F554">
        <v>27</v>
      </c>
      <c r="G554" s="1">
        <v>44208</v>
      </c>
      <c r="H554">
        <v>152</v>
      </c>
      <c r="I554" t="s">
        <v>522</v>
      </c>
      <c r="J554">
        <v>116</v>
      </c>
      <c r="K554">
        <v>0</v>
      </c>
      <c r="L554">
        <v>0</v>
      </c>
      <c r="M554">
        <v>0</v>
      </c>
      <c r="N554" t="s">
        <v>93</v>
      </c>
      <c r="O554">
        <v>2021</v>
      </c>
      <c r="P554" t="s">
        <v>18</v>
      </c>
    </row>
    <row r="555" spans="1:16" x14ac:dyDescent="0.3">
      <c r="A555">
        <v>137</v>
      </c>
      <c r="B555" t="s">
        <v>520</v>
      </c>
      <c r="C555" t="s">
        <v>596</v>
      </c>
      <c r="D555" t="str">
        <f>VLOOKUP(YouTube_University_Data_Final[[#This Row],[Title]],[1]!YouTube_University_Data_Final[[Title]:[Title_language]],2,FALSE)</f>
        <v>English</v>
      </c>
      <c r="E555" t="s">
        <v>2944</v>
      </c>
      <c r="F555">
        <v>27</v>
      </c>
      <c r="G555" s="1">
        <v>44201</v>
      </c>
      <c r="H555">
        <v>149</v>
      </c>
      <c r="I555" t="s">
        <v>522</v>
      </c>
      <c r="J555">
        <v>195</v>
      </c>
      <c r="K555">
        <v>2</v>
      </c>
      <c r="L555">
        <v>0</v>
      </c>
      <c r="M555">
        <v>0</v>
      </c>
      <c r="N555" t="s">
        <v>93</v>
      </c>
      <c r="O555">
        <v>2021</v>
      </c>
      <c r="P555" t="s">
        <v>18</v>
      </c>
    </row>
    <row r="556" spans="1:16" x14ac:dyDescent="0.3">
      <c r="A556">
        <v>138</v>
      </c>
      <c r="B556" t="s">
        <v>520</v>
      </c>
      <c r="C556" t="s">
        <v>597</v>
      </c>
      <c r="D556" t="str">
        <f>VLOOKUP(YouTube_University_Data_Final[[#This Row],[Title]],[1]!YouTube_University_Data_Final[[Title]:[Title_language]],2,FALSE)</f>
        <v>English</v>
      </c>
      <c r="E556" t="s">
        <v>2944</v>
      </c>
      <c r="F556">
        <v>27</v>
      </c>
      <c r="G556" s="1">
        <v>44201</v>
      </c>
      <c r="H556">
        <v>99</v>
      </c>
      <c r="I556" t="s">
        <v>522</v>
      </c>
      <c r="J556">
        <v>453</v>
      </c>
      <c r="K556">
        <v>10</v>
      </c>
      <c r="L556">
        <v>0</v>
      </c>
      <c r="M556">
        <v>0</v>
      </c>
      <c r="N556" t="s">
        <v>93</v>
      </c>
      <c r="O556">
        <v>2021</v>
      </c>
      <c r="P556" t="s">
        <v>18</v>
      </c>
    </row>
    <row r="557" spans="1:16" x14ac:dyDescent="0.3">
      <c r="A557">
        <v>139</v>
      </c>
      <c r="B557" t="s">
        <v>520</v>
      </c>
      <c r="C557" t="s">
        <v>598</v>
      </c>
      <c r="D557" t="str">
        <f>VLOOKUP(YouTube_University_Data_Final[[#This Row],[Title]],[1]!YouTube_University_Data_Final[[Title]:[Title_language]],2,FALSE)</f>
        <v>English</v>
      </c>
      <c r="E557" t="s">
        <v>3185</v>
      </c>
      <c r="F557">
        <v>27</v>
      </c>
      <c r="G557" s="1">
        <v>44180</v>
      </c>
      <c r="H557">
        <v>79</v>
      </c>
      <c r="I557" t="s">
        <v>522</v>
      </c>
      <c r="J557">
        <v>1154</v>
      </c>
      <c r="K557">
        <v>8</v>
      </c>
      <c r="L557">
        <v>0</v>
      </c>
      <c r="M557">
        <v>0</v>
      </c>
      <c r="N557" t="s">
        <v>98</v>
      </c>
      <c r="O557">
        <v>2020</v>
      </c>
      <c r="P557" t="s">
        <v>18</v>
      </c>
    </row>
    <row r="558" spans="1:16" x14ac:dyDescent="0.3">
      <c r="A558">
        <v>140</v>
      </c>
      <c r="B558" t="s">
        <v>520</v>
      </c>
      <c r="C558" t="s">
        <v>3186</v>
      </c>
      <c r="D558" t="str">
        <f>VLOOKUP(YouTube_University_Data_Final[[#This Row],[Title]],[1]!YouTube_University_Data_Final[[Title]:[Title_language]],2,FALSE)</f>
        <v>English</v>
      </c>
      <c r="E558" t="s">
        <v>599</v>
      </c>
      <c r="F558">
        <v>27</v>
      </c>
      <c r="G558" s="1">
        <v>44152</v>
      </c>
      <c r="H558">
        <v>3589</v>
      </c>
      <c r="I558" t="s">
        <v>522</v>
      </c>
      <c r="J558">
        <v>1689</v>
      </c>
      <c r="K558">
        <v>17</v>
      </c>
      <c r="L558">
        <v>0</v>
      </c>
      <c r="M558">
        <v>0</v>
      </c>
      <c r="N558" t="s">
        <v>101</v>
      </c>
      <c r="O558">
        <v>2020</v>
      </c>
      <c r="P558" t="s">
        <v>18</v>
      </c>
    </row>
    <row r="559" spans="1:16" x14ac:dyDescent="0.3">
      <c r="A559">
        <v>141</v>
      </c>
      <c r="B559" t="s">
        <v>520</v>
      </c>
      <c r="C559" t="s">
        <v>600</v>
      </c>
      <c r="D559" t="str">
        <f>VLOOKUP(YouTube_University_Data_Final[[#This Row],[Title]],[1]!YouTube_University_Data_Final[[Title]:[Title_language]],2,FALSE)</f>
        <v>English</v>
      </c>
      <c r="E559" t="s">
        <v>2944</v>
      </c>
      <c r="F559">
        <v>27</v>
      </c>
      <c r="G559" s="1">
        <v>44151</v>
      </c>
      <c r="H559">
        <v>1030</v>
      </c>
      <c r="I559" t="s">
        <v>522</v>
      </c>
      <c r="J559">
        <v>1826</v>
      </c>
      <c r="K559">
        <v>6</v>
      </c>
      <c r="L559">
        <v>0</v>
      </c>
      <c r="M559">
        <v>0</v>
      </c>
      <c r="N559" t="s">
        <v>101</v>
      </c>
      <c r="O559">
        <v>2020</v>
      </c>
      <c r="P559" t="s">
        <v>18</v>
      </c>
    </row>
    <row r="560" spans="1:16" x14ac:dyDescent="0.3">
      <c r="A560">
        <v>142</v>
      </c>
      <c r="B560" t="s">
        <v>520</v>
      </c>
      <c r="C560" t="s">
        <v>3187</v>
      </c>
      <c r="D560" t="str">
        <f>VLOOKUP(YouTube_University_Data_Final[[#This Row],[Title]],[1]!YouTube_University_Data_Final[[Title]:[Title_language]],2,FALSE)</f>
        <v>Bilingual</v>
      </c>
      <c r="E560" t="s">
        <v>3188</v>
      </c>
      <c r="F560">
        <v>27</v>
      </c>
      <c r="G560" s="1">
        <v>44151</v>
      </c>
      <c r="H560">
        <v>85</v>
      </c>
      <c r="I560" t="s">
        <v>522</v>
      </c>
      <c r="J560">
        <v>805</v>
      </c>
      <c r="K560">
        <v>5</v>
      </c>
      <c r="L560">
        <v>0</v>
      </c>
      <c r="M560">
        <v>0</v>
      </c>
      <c r="N560" t="s">
        <v>101</v>
      </c>
      <c r="O560">
        <v>2020</v>
      </c>
      <c r="P560" t="s">
        <v>18</v>
      </c>
    </row>
    <row r="561" spans="1:16" x14ac:dyDescent="0.3">
      <c r="A561">
        <v>143</v>
      </c>
      <c r="B561" t="s">
        <v>520</v>
      </c>
      <c r="C561" t="s">
        <v>3189</v>
      </c>
      <c r="D561" t="str">
        <f>VLOOKUP(YouTube_University_Data_Final[[#This Row],[Title]],[1]!YouTube_University_Data_Final[[Title]:[Title_language]],2,FALSE)</f>
        <v>English</v>
      </c>
      <c r="E561" t="s">
        <v>2944</v>
      </c>
      <c r="F561">
        <v>27</v>
      </c>
      <c r="G561" s="1">
        <v>44147</v>
      </c>
      <c r="H561">
        <v>234</v>
      </c>
      <c r="I561" t="s">
        <v>522</v>
      </c>
      <c r="J561">
        <v>6567</v>
      </c>
      <c r="K561">
        <v>30</v>
      </c>
      <c r="L561">
        <v>0</v>
      </c>
      <c r="M561">
        <v>0</v>
      </c>
      <c r="N561" t="s">
        <v>101</v>
      </c>
      <c r="O561">
        <v>2020</v>
      </c>
      <c r="P561" t="s">
        <v>18</v>
      </c>
    </row>
    <row r="562" spans="1:16" x14ac:dyDescent="0.3">
      <c r="A562">
        <v>144</v>
      </c>
      <c r="B562" t="s">
        <v>520</v>
      </c>
      <c r="C562" t="s">
        <v>3190</v>
      </c>
      <c r="D562" t="str">
        <f>VLOOKUP(YouTube_University_Data_Final[[#This Row],[Title]],[1]!YouTube_University_Data_Final[[Title]:[Title_language]],2,FALSE)</f>
        <v>English</v>
      </c>
      <c r="E562" t="s">
        <v>2944</v>
      </c>
      <c r="F562">
        <v>27</v>
      </c>
      <c r="G562" s="1">
        <v>44147</v>
      </c>
      <c r="H562">
        <v>208</v>
      </c>
      <c r="I562" t="s">
        <v>522</v>
      </c>
      <c r="J562">
        <v>2009</v>
      </c>
      <c r="K562">
        <v>9</v>
      </c>
      <c r="L562">
        <v>0</v>
      </c>
      <c r="M562">
        <v>0</v>
      </c>
      <c r="N562" t="s">
        <v>101</v>
      </c>
      <c r="O562">
        <v>2020</v>
      </c>
      <c r="P562" t="s">
        <v>18</v>
      </c>
    </row>
    <row r="563" spans="1:16" x14ac:dyDescent="0.3">
      <c r="A563">
        <v>145</v>
      </c>
      <c r="B563" t="s">
        <v>520</v>
      </c>
      <c r="C563" t="s">
        <v>3191</v>
      </c>
      <c r="D563" t="str">
        <f>VLOOKUP(YouTube_University_Data_Final[[#This Row],[Title]],[1]!YouTube_University_Data_Final[[Title]:[Title_language]],2,FALSE)</f>
        <v>English</v>
      </c>
      <c r="E563" t="s">
        <v>2944</v>
      </c>
      <c r="F563">
        <v>27</v>
      </c>
      <c r="G563" s="1">
        <v>44147</v>
      </c>
      <c r="H563">
        <v>199</v>
      </c>
      <c r="I563" t="s">
        <v>522</v>
      </c>
      <c r="J563">
        <v>13015</v>
      </c>
      <c r="K563">
        <v>78</v>
      </c>
      <c r="L563">
        <v>0</v>
      </c>
      <c r="M563">
        <v>0</v>
      </c>
      <c r="N563" t="s">
        <v>101</v>
      </c>
      <c r="O563">
        <v>2020</v>
      </c>
      <c r="P563" t="s">
        <v>18</v>
      </c>
    </row>
    <row r="564" spans="1:16" x14ac:dyDescent="0.3">
      <c r="A564">
        <v>146</v>
      </c>
      <c r="B564" t="s">
        <v>520</v>
      </c>
      <c r="C564" t="s">
        <v>3192</v>
      </c>
      <c r="D564" t="str">
        <f>VLOOKUP(YouTube_University_Data_Final[[#This Row],[Title]],[1]!YouTube_University_Data_Final[[Title]:[Title_language]],2,FALSE)</f>
        <v>English</v>
      </c>
      <c r="E564" t="s">
        <v>2944</v>
      </c>
      <c r="F564">
        <v>27</v>
      </c>
      <c r="G564" s="1">
        <v>44147</v>
      </c>
      <c r="H564">
        <v>518</v>
      </c>
      <c r="I564" t="s">
        <v>522</v>
      </c>
      <c r="J564">
        <v>4568</v>
      </c>
      <c r="K564">
        <v>19</v>
      </c>
      <c r="L564">
        <v>0</v>
      </c>
      <c r="M564">
        <v>0</v>
      </c>
      <c r="N564" t="s">
        <v>101</v>
      </c>
      <c r="O564">
        <v>2020</v>
      </c>
      <c r="P564" t="s">
        <v>18</v>
      </c>
    </row>
    <row r="565" spans="1:16" x14ac:dyDescent="0.3">
      <c r="A565">
        <v>147</v>
      </c>
      <c r="B565" t="s">
        <v>520</v>
      </c>
      <c r="C565" t="s">
        <v>3193</v>
      </c>
      <c r="D565" t="str">
        <f>VLOOKUP(YouTube_University_Data_Final[[#This Row],[Title]],[1]!YouTube_University_Data_Final[[Title]:[Title_language]],2,FALSE)</f>
        <v>English</v>
      </c>
      <c r="E565" t="s">
        <v>2944</v>
      </c>
      <c r="F565">
        <v>27</v>
      </c>
      <c r="G565" s="1">
        <v>44147</v>
      </c>
      <c r="H565">
        <v>207</v>
      </c>
      <c r="I565" t="s">
        <v>522</v>
      </c>
      <c r="J565">
        <v>7090</v>
      </c>
      <c r="K565">
        <v>38</v>
      </c>
      <c r="L565">
        <v>0</v>
      </c>
      <c r="M565">
        <v>0</v>
      </c>
      <c r="N565" t="s">
        <v>101</v>
      </c>
      <c r="O565">
        <v>2020</v>
      </c>
      <c r="P565" t="s">
        <v>18</v>
      </c>
    </row>
    <row r="566" spans="1:16" x14ac:dyDescent="0.3">
      <c r="A566">
        <v>148</v>
      </c>
      <c r="B566" t="s">
        <v>520</v>
      </c>
      <c r="C566" t="s">
        <v>3194</v>
      </c>
      <c r="D566" t="str">
        <f>VLOOKUP(YouTube_University_Data_Final[[#This Row],[Title]],[1]!YouTube_University_Data_Final[[Title]:[Title_language]],2,FALSE)</f>
        <v>English</v>
      </c>
      <c r="E566" t="s">
        <v>2944</v>
      </c>
      <c r="F566">
        <v>27</v>
      </c>
      <c r="G566" s="1">
        <v>44147</v>
      </c>
      <c r="H566">
        <v>258</v>
      </c>
      <c r="I566" t="s">
        <v>522</v>
      </c>
      <c r="J566">
        <v>4970</v>
      </c>
      <c r="K566">
        <v>26</v>
      </c>
      <c r="L566">
        <v>0</v>
      </c>
      <c r="M566">
        <v>0</v>
      </c>
      <c r="N566" t="s">
        <v>101</v>
      </c>
      <c r="O566">
        <v>2020</v>
      </c>
      <c r="P566" t="s">
        <v>18</v>
      </c>
    </row>
    <row r="567" spans="1:16" x14ac:dyDescent="0.3">
      <c r="A567">
        <v>149</v>
      </c>
      <c r="B567" t="s">
        <v>520</v>
      </c>
      <c r="C567" t="s">
        <v>3195</v>
      </c>
      <c r="D567" t="str">
        <f>VLOOKUP(YouTube_University_Data_Final[[#This Row],[Title]],[1]!YouTube_University_Data_Final[[Title]:[Title_language]],2,FALSE)</f>
        <v>English</v>
      </c>
      <c r="E567" t="s">
        <v>2944</v>
      </c>
      <c r="F567">
        <v>27</v>
      </c>
      <c r="G567" s="1">
        <v>44147</v>
      </c>
      <c r="H567">
        <v>154</v>
      </c>
      <c r="I567" t="s">
        <v>522</v>
      </c>
      <c r="J567">
        <v>4500</v>
      </c>
      <c r="K567">
        <v>14</v>
      </c>
      <c r="L567">
        <v>0</v>
      </c>
      <c r="M567">
        <v>0</v>
      </c>
      <c r="N567" t="s">
        <v>101</v>
      </c>
      <c r="O567">
        <v>2020</v>
      </c>
      <c r="P567" t="s">
        <v>18</v>
      </c>
    </row>
    <row r="568" spans="1:16" x14ac:dyDescent="0.3">
      <c r="A568">
        <v>150</v>
      </c>
      <c r="B568" t="s">
        <v>520</v>
      </c>
      <c r="C568" t="s">
        <v>3196</v>
      </c>
      <c r="D568" t="str">
        <f>VLOOKUP(YouTube_University_Data_Final[[#This Row],[Title]],[1]!YouTube_University_Data_Final[[Title]:[Title_language]],2,FALSE)</f>
        <v>English</v>
      </c>
      <c r="E568" t="s">
        <v>2944</v>
      </c>
      <c r="F568">
        <v>27</v>
      </c>
      <c r="G568" s="1">
        <v>44147</v>
      </c>
      <c r="H568">
        <v>249</v>
      </c>
      <c r="I568" t="s">
        <v>522</v>
      </c>
      <c r="J568">
        <v>24765</v>
      </c>
      <c r="K568">
        <v>150</v>
      </c>
      <c r="L568">
        <v>0</v>
      </c>
      <c r="M568">
        <v>0</v>
      </c>
      <c r="N568" t="s">
        <v>101</v>
      </c>
      <c r="O568">
        <v>2020</v>
      </c>
      <c r="P568" t="s">
        <v>18</v>
      </c>
    </row>
    <row r="569" spans="1:16" x14ac:dyDescent="0.3">
      <c r="A569">
        <v>151</v>
      </c>
      <c r="B569" t="s">
        <v>520</v>
      </c>
      <c r="C569" t="s">
        <v>3197</v>
      </c>
      <c r="D569" t="str">
        <f>VLOOKUP(YouTube_University_Data_Final[[#This Row],[Title]],[1]!YouTube_University_Data_Final[[Title]:[Title_language]],2,FALSE)</f>
        <v>English</v>
      </c>
      <c r="E569" t="s">
        <v>2944</v>
      </c>
      <c r="F569">
        <v>27</v>
      </c>
      <c r="G569" s="1">
        <v>44147</v>
      </c>
      <c r="H569">
        <v>356</v>
      </c>
      <c r="I569" t="s">
        <v>522</v>
      </c>
      <c r="J569">
        <v>4657</v>
      </c>
      <c r="K569">
        <v>18</v>
      </c>
      <c r="L569">
        <v>0</v>
      </c>
      <c r="M569">
        <v>0</v>
      </c>
      <c r="N569" t="s">
        <v>101</v>
      </c>
      <c r="O569">
        <v>2020</v>
      </c>
      <c r="P569" t="s">
        <v>18</v>
      </c>
    </row>
    <row r="570" spans="1:16" x14ac:dyDescent="0.3">
      <c r="A570">
        <v>152</v>
      </c>
      <c r="B570" t="s">
        <v>520</v>
      </c>
      <c r="C570" t="s">
        <v>3198</v>
      </c>
      <c r="D570" t="str">
        <f>VLOOKUP(YouTube_University_Data_Final[[#This Row],[Title]],[1]!YouTube_University_Data_Final[[Title]:[Title_language]],2,FALSE)</f>
        <v>English</v>
      </c>
      <c r="E570" t="s">
        <v>2944</v>
      </c>
      <c r="F570">
        <v>27</v>
      </c>
      <c r="G570" s="1">
        <v>44147</v>
      </c>
      <c r="H570">
        <v>421</v>
      </c>
      <c r="I570" t="s">
        <v>522</v>
      </c>
      <c r="J570">
        <v>9418</v>
      </c>
      <c r="K570">
        <v>73</v>
      </c>
      <c r="L570">
        <v>0</v>
      </c>
      <c r="M570">
        <v>0</v>
      </c>
      <c r="N570" t="s">
        <v>101</v>
      </c>
      <c r="O570">
        <v>2020</v>
      </c>
      <c r="P570" t="s">
        <v>18</v>
      </c>
    </row>
    <row r="571" spans="1:16" x14ac:dyDescent="0.3">
      <c r="A571">
        <v>153</v>
      </c>
      <c r="B571" t="s">
        <v>520</v>
      </c>
      <c r="C571" t="s">
        <v>3199</v>
      </c>
      <c r="D571" t="str">
        <f>VLOOKUP(YouTube_University_Data_Final[[#This Row],[Title]],[1]!YouTube_University_Data_Final[[Title]:[Title_language]],2,FALSE)</f>
        <v>English</v>
      </c>
      <c r="E571" t="s">
        <v>2944</v>
      </c>
      <c r="F571">
        <v>27</v>
      </c>
      <c r="G571" s="1">
        <v>44147</v>
      </c>
      <c r="H571">
        <v>249</v>
      </c>
      <c r="I571" t="s">
        <v>522</v>
      </c>
      <c r="J571">
        <v>5714</v>
      </c>
      <c r="K571">
        <v>41</v>
      </c>
      <c r="L571">
        <v>0</v>
      </c>
      <c r="M571">
        <v>0</v>
      </c>
      <c r="N571" t="s">
        <v>101</v>
      </c>
      <c r="O571">
        <v>2020</v>
      </c>
      <c r="P571" t="s">
        <v>18</v>
      </c>
    </row>
    <row r="572" spans="1:16" x14ac:dyDescent="0.3">
      <c r="A572">
        <v>154</v>
      </c>
      <c r="B572" t="s">
        <v>520</v>
      </c>
      <c r="C572" t="s">
        <v>3200</v>
      </c>
      <c r="D572" t="str">
        <f>VLOOKUP(YouTube_University_Data_Final[[#This Row],[Title]],[1]!YouTube_University_Data_Final[[Title]:[Title_language]],2,FALSE)</f>
        <v>English</v>
      </c>
      <c r="E572" t="s">
        <v>2944</v>
      </c>
      <c r="F572">
        <v>27</v>
      </c>
      <c r="G572" s="1">
        <v>44147</v>
      </c>
      <c r="H572">
        <v>70</v>
      </c>
      <c r="I572" t="s">
        <v>522</v>
      </c>
      <c r="J572">
        <v>1050</v>
      </c>
      <c r="K572">
        <v>3</v>
      </c>
      <c r="L572">
        <v>0</v>
      </c>
      <c r="M572">
        <v>0</v>
      </c>
      <c r="N572" t="s">
        <v>101</v>
      </c>
      <c r="O572">
        <v>2020</v>
      </c>
      <c r="P572" t="s">
        <v>18</v>
      </c>
    </row>
    <row r="573" spans="1:16" x14ac:dyDescent="0.3">
      <c r="A573">
        <v>155</v>
      </c>
      <c r="B573" t="s">
        <v>520</v>
      </c>
      <c r="C573" t="s">
        <v>3201</v>
      </c>
      <c r="D573" t="str">
        <f>VLOOKUP(YouTube_University_Data_Final[[#This Row],[Title]],[1]!YouTube_University_Data_Final[[Title]:[Title_language]],2,FALSE)</f>
        <v>English</v>
      </c>
      <c r="E573" t="s">
        <v>2944</v>
      </c>
      <c r="F573">
        <v>27</v>
      </c>
      <c r="G573" s="1">
        <v>44147</v>
      </c>
      <c r="H573">
        <v>325</v>
      </c>
      <c r="I573" t="s">
        <v>522</v>
      </c>
      <c r="J573">
        <v>5468</v>
      </c>
      <c r="K573">
        <v>34</v>
      </c>
      <c r="L573">
        <v>0</v>
      </c>
      <c r="M573">
        <v>0</v>
      </c>
      <c r="N573" t="s">
        <v>101</v>
      </c>
      <c r="O573">
        <v>2020</v>
      </c>
      <c r="P573" t="s">
        <v>18</v>
      </c>
    </row>
    <row r="574" spans="1:16" x14ac:dyDescent="0.3">
      <c r="A574">
        <v>156</v>
      </c>
      <c r="B574" t="s">
        <v>520</v>
      </c>
      <c r="C574" t="s">
        <v>3202</v>
      </c>
      <c r="D574" t="str">
        <f>VLOOKUP(YouTube_University_Data_Final[[#This Row],[Title]],[1]!YouTube_University_Data_Final[[Title]:[Title_language]],2,FALSE)</f>
        <v>English</v>
      </c>
      <c r="E574" t="s">
        <v>601</v>
      </c>
      <c r="F574">
        <v>27</v>
      </c>
      <c r="G574" s="1">
        <v>44147</v>
      </c>
      <c r="H574">
        <v>3828</v>
      </c>
      <c r="I574" t="s">
        <v>522</v>
      </c>
      <c r="J574">
        <v>812</v>
      </c>
      <c r="K574">
        <v>9</v>
      </c>
      <c r="L574">
        <v>0</v>
      </c>
      <c r="M574">
        <v>0</v>
      </c>
      <c r="N574" t="s">
        <v>101</v>
      </c>
      <c r="O574">
        <v>2020</v>
      </c>
      <c r="P574" t="s">
        <v>18</v>
      </c>
    </row>
    <row r="575" spans="1:16" x14ac:dyDescent="0.3">
      <c r="A575">
        <v>157</v>
      </c>
      <c r="B575" t="s">
        <v>520</v>
      </c>
      <c r="C575" t="s">
        <v>3203</v>
      </c>
      <c r="D575" t="str">
        <f>VLOOKUP(YouTube_University_Data_Final[[#This Row],[Title]],[1]!YouTube_University_Data_Final[[Title]:[Title_language]],2,FALSE)</f>
        <v>English</v>
      </c>
      <c r="E575" t="s">
        <v>602</v>
      </c>
      <c r="F575">
        <v>27</v>
      </c>
      <c r="G575" s="1">
        <v>44147</v>
      </c>
      <c r="H575">
        <v>1269</v>
      </c>
      <c r="I575" t="s">
        <v>522</v>
      </c>
      <c r="J575">
        <v>299</v>
      </c>
      <c r="K575">
        <v>0</v>
      </c>
      <c r="L575">
        <v>0</v>
      </c>
      <c r="M575">
        <v>0</v>
      </c>
      <c r="N575" t="s">
        <v>101</v>
      </c>
      <c r="O575">
        <v>2020</v>
      </c>
      <c r="P575" t="s">
        <v>18</v>
      </c>
    </row>
    <row r="576" spans="1:16" x14ac:dyDescent="0.3">
      <c r="A576">
        <v>158</v>
      </c>
      <c r="B576" t="s">
        <v>520</v>
      </c>
      <c r="C576" t="s">
        <v>3204</v>
      </c>
      <c r="D576" t="str">
        <f>VLOOKUP(YouTube_University_Data_Final[[#This Row],[Title]],[1]!YouTube_University_Data_Final[[Title]:[Title_language]],2,FALSE)</f>
        <v>English</v>
      </c>
      <c r="E576" t="s">
        <v>602</v>
      </c>
      <c r="F576">
        <v>27</v>
      </c>
      <c r="G576" s="1">
        <v>44147</v>
      </c>
      <c r="H576">
        <v>1366</v>
      </c>
      <c r="I576" t="s">
        <v>522</v>
      </c>
      <c r="J576">
        <v>325</v>
      </c>
      <c r="K576">
        <v>1</v>
      </c>
      <c r="L576">
        <v>0</v>
      </c>
      <c r="M576">
        <v>0</v>
      </c>
      <c r="N576" t="s">
        <v>101</v>
      </c>
      <c r="O576">
        <v>2020</v>
      </c>
      <c r="P576" t="s">
        <v>18</v>
      </c>
    </row>
    <row r="577" spans="1:16" x14ac:dyDescent="0.3">
      <c r="A577">
        <v>159</v>
      </c>
      <c r="B577" t="s">
        <v>520</v>
      </c>
      <c r="C577" t="s">
        <v>3205</v>
      </c>
      <c r="D577" t="str">
        <f>VLOOKUP(YouTube_University_Data_Final[[#This Row],[Title]],[1]!YouTube_University_Data_Final[[Title]:[Title_language]],2,FALSE)</f>
        <v>English</v>
      </c>
      <c r="E577" t="s">
        <v>601</v>
      </c>
      <c r="F577">
        <v>27</v>
      </c>
      <c r="G577" s="1">
        <v>44147</v>
      </c>
      <c r="H577">
        <v>3766</v>
      </c>
      <c r="I577" t="s">
        <v>522</v>
      </c>
      <c r="J577">
        <v>365</v>
      </c>
      <c r="K577">
        <v>1</v>
      </c>
      <c r="L577">
        <v>0</v>
      </c>
      <c r="M577">
        <v>0</v>
      </c>
      <c r="N577" t="s">
        <v>101</v>
      </c>
      <c r="O577">
        <v>2020</v>
      </c>
      <c r="P577" t="s">
        <v>18</v>
      </c>
    </row>
    <row r="578" spans="1:16" x14ac:dyDescent="0.3">
      <c r="A578">
        <v>160</v>
      </c>
      <c r="B578" t="s">
        <v>520</v>
      </c>
      <c r="C578" t="s">
        <v>3206</v>
      </c>
      <c r="D578" t="str">
        <f>VLOOKUP(YouTube_University_Data_Final[[#This Row],[Title]],[1]!YouTube_University_Data_Final[[Title]:[Title_language]],2,FALSE)</f>
        <v>English</v>
      </c>
      <c r="E578" t="s">
        <v>603</v>
      </c>
      <c r="F578">
        <v>27</v>
      </c>
      <c r="G578" s="1">
        <v>44146</v>
      </c>
      <c r="H578">
        <v>2559</v>
      </c>
      <c r="I578" t="s">
        <v>522</v>
      </c>
      <c r="J578">
        <v>691</v>
      </c>
      <c r="K578">
        <v>2</v>
      </c>
      <c r="L578">
        <v>0</v>
      </c>
      <c r="M578">
        <v>0</v>
      </c>
      <c r="N578" t="s">
        <v>101</v>
      </c>
      <c r="O578">
        <v>2020</v>
      </c>
      <c r="P578" t="s">
        <v>18</v>
      </c>
    </row>
    <row r="579" spans="1:16" x14ac:dyDescent="0.3">
      <c r="A579">
        <v>161</v>
      </c>
      <c r="B579" t="s">
        <v>520</v>
      </c>
      <c r="C579" t="s">
        <v>3207</v>
      </c>
      <c r="D579" t="str">
        <f>VLOOKUP(YouTube_University_Data_Final[[#This Row],[Title]],[1]!YouTube_University_Data_Final[[Title]:[Title_language]],2,FALSE)</f>
        <v>English</v>
      </c>
      <c r="E579" t="s">
        <v>604</v>
      </c>
      <c r="F579">
        <v>27</v>
      </c>
      <c r="G579" s="1">
        <v>44146</v>
      </c>
      <c r="H579">
        <v>2762</v>
      </c>
      <c r="I579" t="s">
        <v>522</v>
      </c>
      <c r="J579">
        <v>830</v>
      </c>
      <c r="K579">
        <v>9</v>
      </c>
      <c r="L579">
        <v>0</v>
      </c>
      <c r="M579">
        <v>0</v>
      </c>
      <c r="N579" t="s">
        <v>101</v>
      </c>
      <c r="O579">
        <v>2020</v>
      </c>
      <c r="P579" t="s">
        <v>18</v>
      </c>
    </row>
    <row r="580" spans="1:16" x14ac:dyDescent="0.3">
      <c r="A580">
        <v>162</v>
      </c>
      <c r="B580" t="s">
        <v>520</v>
      </c>
      <c r="C580" t="s">
        <v>3208</v>
      </c>
      <c r="D580" t="str">
        <f>VLOOKUP(YouTube_University_Data_Final[[#This Row],[Title]],[1]!YouTube_University_Data_Final[[Title]:[Title_language]],2,FALSE)</f>
        <v>English</v>
      </c>
      <c r="E580" t="s">
        <v>605</v>
      </c>
      <c r="F580">
        <v>27</v>
      </c>
      <c r="G580" s="1">
        <v>44146</v>
      </c>
      <c r="H580">
        <v>2204</v>
      </c>
      <c r="I580" t="s">
        <v>522</v>
      </c>
      <c r="J580">
        <v>3164</v>
      </c>
      <c r="K580">
        <v>33</v>
      </c>
      <c r="L580">
        <v>0</v>
      </c>
      <c r="M580">
        <v>0</v>
      </c>
      <c r="N580" t="s">
        <v>101</v>
      </c>
      <c r="O580">
        <v>2020</v>
      </c>
      <c r="P580" t="s">
        <v>18</v>
      </c>
    </row>
    <row r="581" spans="1:16" x14ac:dyDescent="0.3">
      <c r="A581">
        <v>163</v>
      </c>
      <c r="B581" t="s">
        <v>520</v>
      </c>
      <c r="C581" t="s">
        <v>3209</v>
      </c>
      <c r="D581" t="str">
        <f>VLOOKUP(YouTube_University_Data_Final[[#This Row],[Title]],[1]!YouTube_University_Data_Final[[Title]:[Title_language]],2,FALSE)</f>
        <v>English</v>
      </c>
      <c r="E581" t="s">
        <v>606</v>
      </c>
      <c r="F581">
        <v>27</v>
      </c>
      <c r="G581" s="1">
        <v>44146</v>
      </c>
      <c r="H581">
        <v>3096</v>
      </c>
      <c r="I581" t="s">
        <v>522</v>
      </c>
      <c r="J581">
        <v>5069</v>
      </c>
      <c r="K581">
        <v>53</v>
      </c>
      <c r="L581">
        <v>0</v>
      </c>
      <c r="M581">
        <v>0</v>
      </c>
      <c r="N581" t="s">
        <v>101</v>
      </c>
      <c r="O581">
        <v>2020</v>
      </c>
      <c r="P581" t="s">
        <v>18</v>
      </c>
    </row>
    <row r="582" spans="1:16" x14ac:dyDescent="0.3">
      <c r="A582">
        <v>164</v>
      </c>
      <c r="B582" t="s">
        <v>520</v>
      </c>
      <c r="C582" t="s">
        <v>3210</v>
      </c>
      <c r="D582" t="str">
        <f>VLOOKUP(YouTube_University_Data_Final[[#This Row],[Title]],[1]!YouTube_University_Data_Final[[Title]:[Title_language]],2,FALSE)</f>
        <v>English</v>
      </c>
      <c r="E582" t="s">
        <v>607</v>
      </c>
      <c r="F582">
        <v>27</v>
      </c>
      <c r="G582" s="1">
        <v>44146</v>
      </c>
      <c r="H582">
        <v>2567</v>
      </c>
      <c r="I582" t="s">
        <v>522</v>
      </c>
      <c r="J582">
        <v>8644</v>
      </c>
      <c r="K582">
        <v>101</v>
      </c>
      <c r="L582">
        <v>0</v>
      </c>
      <c r="M582">
        <v>0</v>
      </c>
      <c r="N582" t="s">
        <v>101</v>
      </c>
      <c r="O582">
        <v>2020</v>
      </c>
      <c r="P582" t="s">
        <v>18</v>
      </c>
    </row>
    <row r="583" spans="1:16" x14ac:dyDescent="0.3">
      <c r="A583">
        <v>165</v>
      </c>
      <c r="B583" t="s">
        <v>520</v>
      </c>
      <c r="C583" t="s">
        <v>3211</v>
      </c>
      <c r="D583" t="str">
        <f>VLOOKUP(YouTube_University_Data_Final[[#This Row],[Title]],[1]!YouTube_University_Data_Final[[Title]:[Title_language]],2,FALSE)</f>
        <v>English</v>
      </c>
      <c r="E583" t="s">
        <v>608</v>
      </c>
      <c r="F583">
        <v>27</v>
      </c>
      <c r="G583" s="1">
        <v>44146</v>
      </c>
      <c r="H583">
        <v>2115</v>
      </c>
      <c r="I583" t="s">
        <v>522</v>
      </c>
      <c r="J583">
        <v>353</v>
      </c>
      <c r="K583">
        <v>0</v>
      </c>
      <c r="L583">
        <v>0</v>
      </c>
      <c r="M583">
        <v>0</v>
      </c>
      <c r="N583" t="s">
        <v>101</v>
      </c>
      <c r="O583">
        <v>2020</v>
      </c>
      <c r="P583" t="s">
        <v>18</v>
      </c>
    </row>
    <row r="584" spans="1:16" x14ac:dyDescent="0.3">
      <c r="A584">
        <v>166</v>
      </c>
      <c r="B584" t="s">
        <v>520</v>
      </c>
      <c r="C584" t="s">
        <v>3207</v>
      </c>
      <c r="D584" t="str">
        <f>VLOOKUP(YouTube_University_Data_Final[[#This Row],[Title]],[1]!YouTube_University_Data_Final[[Title]:[Title_language]],2,FALSE)</f>
        <v>English</v>
      </c>
      <c r="E584" t="s">
        <v>604</v>
      </c>
      <c r="F584">
        <v>27</v>
      </c>
      <c r="G584" s="1">
        <v>44146</v>
      </c>
      <c r="H584">
        <v>2697</v>
      </c>
      <c r="I584" t="s">
        <v>522</v>
      </c>
      <c r="J584">
        <v>281</v>
      </c>
      <c r="K584">
        <v>0</v>
      </c>
      <c r="L584">
        <v>0</v>
      </c>
      <c r="M584">
        <v>0</v>
      </c>
      <c r="N584" t="s">
        <v>101</v>
      </c>
      <c r="O584">
        <v>2020</v>
      </c>
      <c r="P584" t="s">
        <v>18</v>
      </c>
    </row>
    <row r="585" spans="1:16" x14ac:dyDescent="0.3">
      <c r="A585">
        <v>167</v>
      </c>
      <c r="B585" t="s">
        <v>520</v>
      </c>
      <c r="C585" t="s">
        <v>3212</v>
      </c>
      <c r="D585" t="str">
        <f>VLOOKUP(YouTube_University_Data_Final[[#This Row],[Title]],[1]!YouTube_University_Data_Final[[Title]:[Title_language]],2,FALSE)</f>
        <v>English</v>
      </c>
      <c r="E585" t="s">
        <v>609</v>
      </c>
      <c r="F585">
        <v>27</v>
      </c>
      <c r="G585" s="1">
        <v>44146</v>
      </c>
      <c r="H585">
        <v>2484</v>
      </c>
      <c r="I585" t="s">
        <v>522</v>
      </c>
      <c r="J585">
        <v>2936</v>
      </c>
      <c r="K585">
        <v>29</v>
      </c>
      <c r="L585">
        <v>0</v>
      </c>
      <c r="M585">
        <v>0</v>
      </c>
      <c r="N585" t="s">
        <v>101</v>
      </c>
      <c r="O585">
        <v>2020</v>
      </c>
      <c r="P585" t="s">
        <v>18</v>
      </c>
    </row>
    <row r="586" spans="1:16" x14ac:dyDescent="0.3">
      <c r="A586">
        <v>168</v>
      </c>
      <c r="B586" t="s">
        <v>520</v>
      </c>
      <c r="C586" t="s">
        <v>3206</v>
      </c>
      <c r="D586" t="str">
        <f>VLOOKUP(YouTube_University_Data_Final[[#This Row],[Title]],[1]!YouTube_University_Data_Final[[Title]:[Title_language]],2,FALSE)</f>
        <v>English</v>
      </c>
      <c r="E586" t="s">
        <v>603</v>
      </c>
      <c r="F586">
        <v>27</v>
      </c>
      <c r="G586" s="1">
        <v>44146</v>
      </c>
      <c r="H586">
        <v>2650</v>
      </c>
      <c r="I586" t="s">
        <v>522</v>
      </c>
      <c r="J586">
        <v>2445</v>
      </c>
      <c r="K586">
        <v>21</v>
      </c>
      <c r="L586">
        <v>0</v>
      </c>
      <c r="M586">
        <v>0</v>
      </c>
      <c r="N586" t="s">
        <v>101</v>
      </c>
      <c r="O586">
        <v>2020</v>
      </c>
      <c r="P586" t="s">
        <v>18</v>
      </c>
    </row>
    <row r="587" spans="1:16" x14ac:dyDescent="0.3">
      <c r="A587">
        <v>169</v>
      </c>
      <c r="B587" t="s">
        <v>520</v>
      </c>
      <c r="C587" t="s">
        <v>3211</v>
      </c>
      <c r="D587" t="str">
        <f>VLOOKUP(YouTube_University_Data_Final[[#This Row],[Title]],[1]!YouTube_University_Data_Final[[Title]:[Title_language]],2,FALSE)</f>
        <v>English</v>
      </c>
      <c r="E587" t="s">
        <v>608</v>
      </c>
      <c r="F587">
        <v>27</v>
      </c>
      <c r="G587" s="1">
        <v>44146</v>
      </c>
      <c r="H587">
        <v>2409</v>
      </c>
      <c r="I587" t="s">
        <v>522</v>
      </c>
      <c r="J587">
        <v>351</v>
      </c>
      <c r="K587">
        <v>4</v>
      </c>
      <c r="L587">
        <v>0</v>
      </c>
      <c r="M587">
        <v>0</v>
      </c>
      <c r="N587" t="s">
        <v>101</v>
      </c>
      <c r="O587">
        <v>2020</v>
      </c>
      <c r="P587" t="s">
        <v>18</v>
      </c>
    </row>
    <row r="588" spans="1:16" x14ac:dyDescent="0.3">
      <c r="A588">
        <v>170</v>
      </c>
      <c r="B588" t="s">
        <v>520</v>
      </c>
      <c r="C588" t="s">
        <v>3209</v>
      </c>
      <c r="D588" t="str">
        <f>VLOOKUP(YouTube_University_Data_Final[[#This Row],[Title]],[1]!YouTube_University_Data_Final[[Title]:[Title_language]],2,FALSE)</f>
        <v>English</v>
      </c>
      <c r="E588" t="s">
        <v>606</v>
      </c>
      <c r="F588">
        <v>27</v>
      </c>
      <c r="G588" s="1">
        <v>44146</v>
      </c>
      <c r="H588">
        <v>2601</v>
      </c>
      <c r="I588" t="s">
        <v>522</v>
      </c>
      <c r="J588">
        <v>1117</v>
      </c>
      <c r="K588">
        <v>11</v>
      </c>
      <c r="L588">
        <v>0</v>
      </c>
      <c r="M588">
        <v>0</v>
      </c>
      <c r="N588" t="s">
        <v>101</v>
      </c>
      <c r="O588">
        <v>2020</v>
      </c>
      <c r="P588" t="s">
        <v>18</v>
      </c>
    </row>
    <row r="589" spans="1:16" x14ac:dyDescent="0.3">
      <c r="A589">
        <v>171</v>
      </c>
      <c r="B589" t="s">
        <v>520</v>
      </c>
      <c r="C589" t="s">
        <v>3213</v>
      </c>
      <c r="D589" t="str">
        <f>VLOOKUP(YouTube_University_Data_Final[[#This Row],[Title]],[1]!YouTube_University_Data_Final[[Title]:[Title_language]],2,FALSE)</f>
        <v>English</v>
      </c>
      <c r="E589" t="s">
        <v>607</v>
      </c>
      <c r="F589">
        <v>27</v>
      </c>
      <c r="G589" s="1">
        <v>44146</v>
      </c>
      <c r="H589">
        <v>2596</v>
      </c>
      <c r="I589" t="s">
        <v>522</v>
      </c>
      <c r="J589">
        <v>5749</v>
      </c>
      <c r="K589">
        <v>61</v>
      </c>
      <c r="L589">
        <v>0</v>
      </c>
      <c r="M589">
        <v>0</v>
      </c>
      <c r="N589" t="s">
        <v>101</v>
      </c>
      <c r="O589">
        <v>2020</v>
      </c>
      <c r="P589" t="s">
        <v>18</v>
      </c>
    </row>
    <row r="590" spans="1:16" x14ac:dyDescent="0.3">
      <c r="A590">
        <v>172</v>
      </c>
      <c r="B590" t="s">
        <v>520</v>
      </c>
      <c r="C590" t="s">
        <v>3214</v>
      </c>
      <c r="D590" t="str">
        <f>VLOOKUP(YouTube_University_Data_Final[[#This Row],[Title]],[1]!YouTube_University_Data_Final[[Title]:[Title_language]],2,FALSE)</f>
        <v>English</v>
      </c>
      <c r="E590" t="s">
        <v>610</v>
      </c>
      <c r="F590">
        <v>27</v>
      </c>
      <c r="G590" s="1">
        <v>44146</v>
      </c>
      <c r="H590">
        <v>1957</v>
      </c>
      <c r="I590" t="s">
        <v>522</v>
      </c>
      <c r="J590">
        <v>1547</v>
      </c>
      <c r="K590">
        <v>7</v>
      </c>
      <c r="L590">
        <v>0</v>
      </c>
      <c r="M590">
        <v>0</v>
      </c>
      <c r="N590" t="s">
        <v>101</v>
      </c>
      <c r="O590">
        <v>2020</v>
      </c>
      <c r="P590" t="s">
        <v>18</v>
      </c>
    </row>
    <row r="591" spans="1:16" x14ac:dyDescent="0.3">
      <c r="A591">
        <v>173</v>
      </c>
      <c r="B591" t="s">
        <v>520</v>
      </c>
      <c r="C591" t="s">
        <v>611</v>
      </c>
      <c r="D591" t="str">
        <f>VLOOKUP(YouTube_University_Data_Final[[#This Row],[Title]],[1]!YouTube_University_Data_Final[[Title]:[Title_language]],2,FALSE)</f>
        <v>English</v>
      </c>
      <c r="E591" t="s">
        <v>2944</v>
      </c>
      <c r="F591">
        <v>27</v>
      </c>
      <c r="G591" s="1">
        <v>44146</v>
      </c>
      <c r="H591">
        <v>139</v>
      </c>
      <c r="I591" t="s">
        <v>522</v>
      </c>
      <c r="J591">
        <v>297</v>
      </c>
      <c r="K591">
        <v>2</v>
      </c>
      <c r="L591">
        <v>0</v>
      </c>
      <c r="M591">
        <v>0</v>
      </c>
      <c r="N591" t="s">
        <v>101</v>
      </c>
      <c r="O591">
        <v>2020</v>
      </c>
      <c r="P591" t="s">
        <v>18</v>
      </c>
    </row>
    <row r="592" spans="1:16" x14ac:dyDescent="0.3">
      <c r="A592">
        <v>174</v>
      </c>
      <c r="B592" t="s">
        <v>520</v>
      </c>
      <c r="C592" t="s">
        <v>612</v>
      </c>
      <c r="D592" t="str">
        <f>VLOOKUP(YouTube_University_Data_Final[[#This Row],[Title]],[1]!YouTube_University_Data_Final[[Title]:[Title_language]],2,FALSE)</f>
        <v>English</v>
      </c>
      <c r="E592" t="s">
        <v>2944</v>
      </c>
      <c r="F592">
        <v>27</v>
      </c>
      <c r="G592" s="1">
        <v>44146</v>
      </c>
      <c r="H592">
        <v>313</v>
      </c>
      <c r="I592" t="s">
        <v>522</v>
      </c>
      <c r="J592">
        <v>110</v>
      </c>
      <c r="K592">
        <v>0</v>
      </c>
      <c r="L592">
        <v>0</v>
      </c>
      <c r="M592">
        <v>0</v>
      </c>
      <c r="N592" t="s">
        <v>101</v>
      </c>
      <c r="O592">
        <v>2020</v>
      </c>
      <c r="P592" t="s">
        <v>18</v>
      </c>
    </row>
    <row r="593" spans="1:16" x14ac:dyDescent="0.3">
      <c r="A593">
        <v>175</v>
      </c>
      <c r="B593" t="s">
        <v>520</v>
      </c>
      <c r="C593" t="s">
        <v>613</v>
      </c>
      <c r="D593" t="str">
        <f>VLOOKUP(YouTube_University_Data_Final[[#This Row],[Title]],[1]!YouTube_University_Data_Final[[Title]:[Title_language]],2,FALSE)</f>
        <v>English</v>
      </c>
      <c r="E593" t="s">
        <v>2944</v>
      </c>
      <c r="F593">
        <v>27</v>
      </c>
      <c r="G593" s="1">
        <v>44146</v>
      </c>
      <c r="H593">
        <v>184</v>
      </c>
      <c r="I593" t="s">
        <v>522</v>
      </c>
      <c r="J593">
        <v>131</v>
      </c>
      <c r="K593">
        <v>1</v>
      </c>
      <c r="L593">
        <v>0</v>
      </c>
      <c r="M593">
        <v>0</v>
      </c>
      <c r="N593" t="s">
        <v>101</v>
      </c>
      <c r="O593">
        <v>2020</v>
      </c>
      <c r="P593" t="s">
        <v>18</v>
      </c>
    </row>
    <row r="594" spans="1:16" x14ac:dyDescent="0.3">
      <c r="A594">
        <v>176</v>
      </c>
      <c r="B594" t="s">
        <v>520</v>
      </c>
      <c r="C594" t="s">
        <v>614</v>
      </c>
      <c r="D594" t="str">
        <f>VLOOKUP(YouTube_University_Data_Final[[#This Row],[Title]],[1]!YouTube_University_Data_Final[[Title]:[Title_language]],2,FALSE)</f>
        <v>English</v>
      </c>
      <c r="E594" t="s">
        <v>2944</v>
      </c>
      <c r="F594">
        <v>27</v>
      </c>
      <c r="G594" s="1">
        <v>44146</v>
      </c>
      <c r="H594">
        <v>252</v>
      </c>
      <c r="I594" t="s">
        <v>522</v>
      </c>
      <c r="J594">
        <v>77</v>
      </c>
      <c r="K594">
        <v>0</v>
      </c>
      <c r="L594">
        <v>0</v>
      </c>
      <c r="M594">
        <v>0</v>
      </c>
      <c r="N594" t="s">
        <v>101</v>
      </c>
      <c r="O594">
        <v>2020</v>
      </c>
      <c r="P594" t="s">
        <v>18</v>
      </c>
    </row>
    <row r="595" spans="1:16" x14ac:dyDescent="0.3">
      <c r="A595">
        <v>177</v>
      </c>
      <c r="B595" t="s">
        <v>520</v>
      </c>
      <c r="C595" t="s">
        <v>615</v>
      </c>
      <c r="D595" t="str">
        <f>VLOOKUP(YouTube_University_Data_Final[[#This Row],[Title]],[1]!YouTube_University_Data_Final[[Title]:[Title_language]],2,FALSE)</f>
        <v>English</v>
      </c>
      <c r="E595" t="s">
        <v>2944</v>
      </c>
      <c r="F595">
        <v>27</v>
      </c>
      <c r="G595" s="1">
        <v>44146</v>
      </c>
      <c r="H595">
        <v>223</v>
      </c>
      <c r="I595" t="s">
        <v>522</v>
      </c>
      <c r="J595">
        <v>2710</v>
      </c>
      <c r="K595">
        <v>6</v>
      </c>
      <c r="L595">
        <v>0</v>
      </c>
      <c r="M595">
        <v>0</v>
      </c>
      <c r="N595" t="s">
        <v>101</v>
      </c>
      <c r="O595">
        <v>2020</v>
      </c>
      <c r="P595" t="s">
        <v>18</v>
      </c>
    </row>
    <row r="596" spans="1:16" x14ac:dyDescent="0.3">
      <c r="A596">
        <v>178</v>
      </c>
      <c r="B596" t="s">
        <v>520</v>
      </c>
      <c r="C596" t="s">
        <v>616</v>
      </c>
      <c r="D596" t="str">
        <f>VLOOKUP(YouTube_University_Data_Final[[#This Row],[Title]],[1]!YouTube_University_Data_Final[[Title]:[Title_language]],2,FALSE)</f>
        <v>English</v>
      </c>
      <c r="E596" t="s">
        <v>2944</v>
      </c>
      <c r="F596">
        <v>27</v>
      </c>
      <c r="G596" s="1">
        <v>44146</v>
      </c>
      <c r="H596">
        <v>291</v>
      </c>
      <c r="I596" t="s">
        <v>522</v>
      </c>
      <c r="J596">
        <v>78</v>
      </c>
      <c r="K596">
        <v>0</v>
      </c>
      <c r="L596">
        <v>0</v>
      </c>
      <c r="M596">
        <v>0</v>
      </c>
      <c r="N596" t="s">
        <v>101</v>
      </c>
      <c r="O596">
        <v>2020</v>
      </c>
      <c r="P596" t="s">
        <v>18</v>
      </c>
    </row>
    <row r="597" spans="1:16" x14ac:dyDescent="0.3">
      <c r="A597">
        <v>179</v>
      </c>
      <c r="B597" t="s">
        <v>520</v>
      </c>
      <c r="C597" t="s">
        <v>617</v>
      </c>
      <c r="D597" t="str">
        <f>VLOOKUP(YouTube_University_Data_Final[[#This Row],[Title]],[1]!YouTube_University_Data_Final[[Title]:[Title_language]],2,FALSE)</f>
        <v>English</v>
      </c>
      <c r="E597" t="s">
        <v>2944</v>
      </c>
      <c r="F597">
        <v>27</v>
      </c>
      <c r="G597" s="1">
        <v>44146</v>
      </c>
      <c r="H597">
        <v>414</v>
      </c>
      <c r="I597" t="s">
        <v>522</v>
      </c>
      <c r="J597">
        <v>1465</v>
      </c>
      <c r="K597">
        <v>3</v>
      </c>
      <c r="L597">
        <v>0</v>
      </c>
      <c r="M597">
        <v>0</v>
      </c>
      <c r="N597" t="s">
        <v>101</v>
      </c>
      <c r="O597">
        <v>2020</v>
      </c>
      <c r="P597" t="s">
        <v>18</v>
      </c>
    </row>
    <row r="598" spans="1:16" x14ac:dyDescent="0.3">
      <c r="A598">
        <v>180</v>
      </c>
      <c r="B598" t="s">
        <v>520</v>
      </c>
      <c r="C598" t="s">
        <v>618</v>
      </c>
      <c r="D598" t="str">
        <f>VLOOKUP(YouTube_University_Data_Final[[#This Row],[Title]],[1]!YouTube_University_Data_Final[[Title]:[Title_language]],2,FALSE)</f>
        <v>English</v>
      </c>
      <c r="E598" t="s">
        <v>2944</v>
      </c>
      <c r="F598">
        <v>27</v>
      </c>
      <c r="G598" s="1">
        <v>44146</v>
      </c>
      <c r="H598">
        <v>58</v>
      </c>
      <c r="I598" t="s">
        <v>522</v>
      </c>
      <c r="J598">
        <v>28</v>
      </c>
      <c r="K598">
        <v>0</v>
      </c>
      <c r="L598">
        <v>0</v>
      </c>
      <c r="M598">
        <v>0</v>
      </c>
      <c r="N598" t="s">
        <v>101</v>
      </c>
      <c r="O598">
        <v>2020</v>
      </c>
      <c r="P598" t="s">
        <v>18</v>
      </c>
    </row>
    <row r="599" spans="1:16" x14ac:dyDescent="0.3">
      <c r="A599">
        <v>181</v>
      </c>
      <c r="B599" t="s">
        <v>520</v>
      </c>
      <c r="C599" t="s">
        <v>3215</v>
      </c>
      <c r="D599" t="str">
        <f>VLOOKUP(YouTube_University_Data_Final[[#This Row],[Title]],[1]!YouTube_University_Data_Final[[Title]:[Title_language]],2,FALSE)</f>
        <v>English</v>
      </c>
      <c r="E599" t="s">
        <v>619</v>
      </c>
      <c r="F599">
        <v>27</v>
      </c>
      <c r="G599" s="1">
        <v>44145</v>
      </c>
      <c r="H599">
        <v>2633</v>
      </c>
      <c r="I599" t="s">
        <v>522</v>
      </c>
      <c r="J599">
        <v>2431</v>
      </c>
      <c r="K599">
        <v>17</v>
      </c>
      <c r="L599">
        <v>0</v>
      </c>
      <c r="M599">
        <v>0</v>
      </c>
      <c r="N599" t="s">
        <v>101</v>
      </c>
      <c r="O599">
        <v>2020</v>
      </c>
      <c r="P599" t="s">
        <v>18</v>
      </c>
    </row>
    <row r="600" spans="1:16" x14ac:dyDescent="0.3">
      <c r="A600">
        <v>182</v>
      </c>
      <c r="B600" t="s">
        <v>520</v>
      </c>
      <c r="C600" t="s">
        <v>3216</v>
      </c>
      <c r="D600" t="str">
        <f>VLOOKUP(YouTube_University_Data_Final[[#This Row],[Title]],[1]!YouTube_University_Data_Final[[Title]:[Title_language]],2,FALSE)</f>
        <v>English</v>
      </c>
      <c r="E600" t="s">
        <v>620</v>
      </c>
      <c r="F600">
        <v>27</v>
      </c>
      <c r="G600" s="1">
        <v>44145</v>
      </c>
      <c r="H600">
        <v>685</v>
      </c>
      <c r="I600" t="s">
        <v>522</v>
      </c>
      <c r="J600">
        <v>417</v>
      </c>
      <c r="K600">
        <v>2</v>
      </c>
      <c r="L600">
        <v>0</v>
      </c>
      <c r="M600">
        <v>0</v>
      </c>
      <c r="N600" t="s">
        <v>101</v>
      </c>
      <c r="O600">
        <v>2020</v>
      </c>
      <c r="P600" t="s">
        <v>18</v>
      </c>
    </row>
    <row r="601" spans="1:16" x14ac:dyDescent="0.3">
      <c r="A601">
        <v>183</v>
      </c>
      <c r="B601" t="s">
        <v>520</v>
      </c>
      <c r="C601" t="s">
        <v>621</v>
      </c>
      <c r="D601" t="str">
        <f>VLOOKUP(YouTube_University_Data_Final[[#This Row],[Title]],[1]!YouTube_University_Data_Final[[Title]:[Title_language]],2,FALSE)</f>
        <v>English</v>
      </c>
      <c r="E601" t="s">
        <v>2944</v>
      </c>
      <c r="F601">
        <v>27</v>
      </c>
      <c r="G601" s="1">
        <v>44145</v>
      </c>
      <c r="H601">
        <v>113</v>
      </c>
      <c r="I601" t="s">
        <v>522</v>
      </c>
      <c r="J601">
        <v>101</v>
      </c>
      <c r="K601">
        <v>0</v>
      </c>
      <c r="L601">
        <v>0</v>
      </c>
      <c r="M601">
        <v>0</v>
      </c>
      <c r="N601" t="s">
        <v>101</v>
      </c>
      <c r="O601">
        <v>2020</v>
      </c>
      <c r="P601" t="s">
        <v>18</v>
      </c>
    </row>
    <row r="602" spans="1:16" x14ac:dyDescent="0.3">
      <c r="A602">
        <v>184</v>
      </c>
      <c r="B602" t="s">
        <v>520</v>
      </c>
      <c r="C602" t="s">
        <v>622</v>
      </c>
      <c r="D602" t="str">
        <f>VLOOKUP(YouTube_University_Data_Final[[#This Row],[Title]],[1]!YouTube_University_Data_Final[[Title]:[Title_language]],2,FALSE)</f>
        <v>English</v>
      </c>
      <c r="E602" t="s">
        <v>2944</v>
      </c>
      <c r="F602">
        <v>27</v>
      </c>
      <c r="G602" s="1">
        <v>44145</v>
      </c>
      <c r="H602">
        <v>134</v>
      </c>
      <c r="I602" t="s">
        <v>522</v>
      </c>
      <c r="J602">
        <v>191</v>
      </c>
      <c r="K602">
        <v>3</v>
      </c>
      <c r="L602">
        <v>0</v>
      </c>
      <c r="M602">
        <v>0</v>
      </c>
      <c r="N602" t="s">
        <v>101</v>
      </c>
      <c r="O602">
        <v>2020</v>
      </c>
      <c r="P602" t="s">
        <v>18</v>
      </c>
    </row>
    <row r="603" spans="1:16" x14ac:dyDescent="0.3">
      <c r="A603">
        <v>185</v>
      </c>
      <c r="B603" t="s">
        <v>520</v>
      </c>
      <c r="C603" t="s">
        <v>623</v>
      </c>
      <c r="D603" t="str">
        <f>VLOOKUP(YouTube_University_Data_Final[[#This Row],[Title]],[1]!YouTube_University_Data_Final[[Title]:[Title_language]],2,FALSE)</f>
        <v>English</v>
      </c>
      <c r="E603" t="s">
        <v>2944</v>
      </c>
      <c r="F603">
        <v>27</v>
      </c>
      <c r="G603" s="1">
        <v>44145</v>
      </c>
      <c r="H603">
        <v>43</v>
      </c>
      <c r="I603" t="s">
        <v>522</v>
      </c>
      <c r="J603">
        <v>96</v>
      </c>
      <c r="K603">
        <v>1</v>
      </c>
      <c r="L603">
        <v>0</v>
      </c>
      <c r="M603">
        <v>0</v>
      </c>
      <c r="N603" t="s">
        <v>101</v>
      </c>
      <c r="O603">
        <v>2020</v>
      </c>
      <c r="P603" t="s">
        <v>18</v>
      </c>
    </row>
    <row r="604" spans="1:16" x14ac:dyDescent="0.3">
      <c r="A604">
        <v>186</v>
      </c>
      <c r="B604" t="s">
        <v>520</v>
      </c>
      <c r="C604" t="s">
        <v>624</v>
      </c>
      <c r="D604" t="str">
        <f>VLOOKUP(YouTube_University_Data_Final[[#This Row],[Title]],[1]!YouTube_University_Data_Final[[Title]:[Title_language]],2,FALSE)</f>
        <v>English</v>
      </c>
      <c r="E604" t="s">
        <v>2944</v>
      </c>
      <c r="F604">
        <v>27</v>
      </c>
      <c r="G604" s="1">
        <v>44145</v>
      </c>
      <c r="H604">
        <v>62</v>
      </c>
      <c r="I604" t="s">
        <v>522</v>
      </c>
      <c r="J604">
        <v>47</v>
      </c>
      <c r="K604">
        <v>0</v>
      </c>
      <c r="L604">
        <v>0</v>
      </c>
      <c r="M604">
        <v>0</v>
      </c>
      <c r="N604" t="s">
        <v>101</v>
      </c>
      <c r="O604">
        <v>2020</v>
      </c>
      <c r="P604" t="s">
        <v>18</v>
      </c>
    </row>
    <row r="605" spans="1:16" x14ac:dyDescent="0.3">
      <c r="A605">
        <v>187</v>
      </c>
      <c r="B605" t="s">
        <v>520</v>
      </c>
      <c r="C605" t="s">
        <v>625</v>
      </c>
      <c r="D605" t="str">
        <f>VLOOKUP(YouTube_University_Data_Final[[#This Row],[Title]],[1]!YouTube_University_Data_Final[[Title]:[Title_language]],2,FALSE)</f>
        <v>English</v>
      </c>
      <c r="E605" t="s">
        <v>2944</v>
      </c>
      <c r="F605">
        <v>27</v>
      </c>
      <c r="G605" s="1">
        <v>44145</v>
      </c>
      <c r="H605">
        <v>341</v>
      </c>
      <c r="I605" t="s">
        <v>522</v>
      </c>
      <c r="J605">
        <v>122</v>
      </c>
      <c r="K605">
        <v>1</v>
      </c>
      <c r="L605">
        <v>0</v>
      </c>
      <c r="M605">
        <v>0</v>
      </c>
      <c r="N605" t="s">
        <v>101</v>
      </c>
      <c r="O605">
        <v>2020</v>
      </c>
      <c r="P605" t="s">
        <v>18</v>
      </c>
    </row>
    <row r="606" spans="1:16" x14ac:dyDescent="0.3">
      <c r="A606">
        <v>188</v>
      </c>
      <c r="B606" t="s">
        <v>520</v>
      </c>
      <c r="C606" t="s">
        <v>626</v>
      </c>
      <c r="D606" t="str">
        <f>VLOOKUP(YouTube_University_Data_Final[[#This Row],[Title]],[1]!YouTube_University_Data_Final[[Title]:[Title_language]],2,FALSE)</f>
        <v>English</v>
      </c>
      <c r="E606" t="s">
        <v>2944</v>
      </c>
      <c r="F606">
        <v>27</v>
      </c>
      <c r="G606" s="1">
        <v>44145</v>
      </c>
      <c r="H606">
        <v>91</v>
      </c>
      <c r="I606" t="s">
        <v>522</v>
      </c>
      <c r="J606">
        <v>29</v>
      </c>
      <c r="K606">
        <v>0</v>
      </c>
      <c r="L606">
        <v>0</v>
      </c>
      <c r="M606">
        <v>0</v>
      </c>
      <c r="N606" t="s">
        <v>101</v>
      </c>
      <c r="O606">
        <v>2020</v>
      </c>
      <c r="P606" t="s">
        <v>18</v>
      </c>
    </row>
    <row r="607" spans="1:16" x14ac:dyDescent="0.3">
      <c r="A607">
        <v>189</v>
      </c>
      <c r="B607" t="s">
        <v>520</v>
      </c>
      <c r="C607" t="s">
        <v>627</v>
      </c>
      <c r="D607" t="str">
        <f>VLOOKUP(YouTube_University_Data_Final[[#This Row],[Title]],[1]!YouTube_University_Data_Final[[Title]:[Title_language]],2,FALSE)</f>
        <v>English</v>
      </c>
      <c r="E607" t="s">
        <v>2944</v>
      </c>
      <c r="F607">
        <v>27</v>
      </c>
      <c r="G607" s="1">
        <v>44145</v>
      </c>
      <c r="H607">
        <v>100</v>
      </c>
      <c r="I607" t="s">
        <v>522</v>
      </c>
      <c r="J607">
        <v>65</v>
      </c>
      <c r="K607">
        <v>1</v>
      </c>
      <c r="L607">
        <v>0</v>
      </c>
      <c r="M607">
        <v>0</v>
      </c>
      <c r="N607" t="s">
        <v>101</v>
      </c>
      <c r="O607">
        <v>2020</v>
      </c>
      <c r="P607" t="s">
        <v>18</v>
      </c>
    </row>
    <row r="608" spans="1:16" x14ac:dyDescent="0.3">
      <c r="A608">
        <v>190</v>
      </c>
      <c r="B608" t="s">
        <v>520</v>
      </c>
      <c r="C608" t="s">
        <v>628</v>
      </c>
      <c r="D608" t="str">
        <f>VLOOKUP(YouTube_University_Data_Final[[#This Row],[Title]],[1]!YouTube_University_Data_Final[[Title]:[Title_language]],2,FALSE)</f>
        <v>English</v>
      </c>
      <c r="E608" t="s">
        <v>2944</v>
      </c>
      <c r="F608">
        <v>27</v>
      </c>
      <c r="G608" s="1">
        <v>44145</v>
      </c>
      <c r="H608">
        <v>64</v>
      </c>
      <c r="I608" t="s">
        <v>522</v>
      </c>
      <c r="J608">
        <v>83</v>
      </c>
      <c r="K608">
        <v>2</v>
      </c>
      <c r="L608">
        <v>0</v>
      </c>
      <c r="M608">
        <v>0</v>
      </c>
      <c r="N608" t="s">
        <v>101</v>
      </c>
      <c r="O608">
        <v>2020</v>
      </c>
      <c r="P608" t="s">
        <v>18</v>
      </c>
    </row>
    <row r="609" spans="1:16" x14ac:dyDescent="0.3">
      <c r="A609">
        <v>191</v>
      </c>
      <c r="B609" t="s">
        <v>520</v>
      </c>
      <c r="C609" t="s">
        <v>629</v>
      </c>
      <c r="D609" t="str">
        <f>VLOOKUP(YouTube_University_Data_Final[[#This Row],[Title]],[1]!YouTube_University_Data_Final[[Title]:[Title_language]],2,FALSE)</f>
        <v>English</v>
      </c>
      <c r="E609" t="s">
        <v>2944</v>
      </c>
      <c r="F609">
        <v>27</v>
      </c>
      <c r="G609" s="1">
        <v>44144</v>
      </c>
      <c r="H609">
        <v>172</v>
      </c>
      <c r="I609" t="s">
        <v>522</v>
      </c>
      <c r="J609">
        <v>488</v>
      </c>
      <c r="K609">
        <v>6</v>
      </c>
      <c r="L609">
        <v>0</v>
      </c>
      <c r="M609">
        <v>0</v>
      </c>
      <c r="N609" t="s">
        <v>101</v>
      </c>
      <c r="O609">
        <v>2020</v>
      </c>
      <c r="P609" t="s">
        <v>18</v>
      </c>
    </row>
    <row r="610" spans="1:16" x14ac:dyDescent="0.3">
      <c r="A610">
        <v>192</v>
      </c>
      <c r="B610" t="s">
        <v>520</v>
      </c>
      <c r="C610" t="s">
        <v>630</v>
      </c>
      <c r="D610" t="str">
        <f>VLOOKUP(YouTube_University_Data_Final[[#This Row],[Title]],[1]!YouTube_University_Data_Final[[Title]:[Title_language]],2,FALSE)</f>
        <v>English</v>
      </c>
      <c r="E610" t="s">
        <v>2944</v>
      </c>
      <c r="F610">
        <v>27</v>
      </c>
      <c r="G610" s="1">
        <v>44144</v>
      </c>
      <c r="H610">
        <v>202</v>
      </c>
      <c r="I610" t="s">
        <v>522</v>
      </c>
      <c r="J610">
        <v>181</v>
      </c>
      <c r="K610">
        <v>1</v>
      </c>
      <c r="L610">
        <v>0</v>
      </c>
      <c r="M610">
        <v>0</v>
      </c>
      <c r="N610" t="s">
        <v>101</v>
      </c>
      <c r="O610">
        <v>2020</v>
      </c>
      <c r="P610" t="s">
        <v>18</v>
      </c>
    </row>
    <row r="611" spans="1:16" x14ac:dyDescent="0.3">
      <c r="A611">
        <v>193</v>
      </c>
      <c r="B611" t="s">
        <v>520</v>
      </c>
      <c r="C611" t="s">
        <v>631</v>
      </c>
      <c r="D611" t="str">
        <f>VLOOKUP(YouTube_University_Data_Final[[#This Row],[Title]],[1]!YouTube_University_Data_Final[[Title]:[Title_language]],2,FALSE)</f>
        <v>English</v>
      </c>
      <c r="E611" t="s">
        <v>2944</v>
      </c>
      <c r="F611">
        <v>27</v>
      </c>
      <c r="G611" s="1">
        <v>44144</v>
      </c>
      <c r="H611">
        <v>167</v>
      </c>
      <c r="I611" t="s">
        <v>522</v>
      </c>
      <c r="J611">
        <v>246</v>
      </c>
      <c r="K611">
        <v>0</v>
      </c>
      <c r="L611">
        <v>0</v>
      </c>
      <c r="M611">
        <v>0</v>
      </c>
      <c r="N611" t="s">
        <v>101</v>
      </c>
      <c r="O611">
        <v>2020</v>
      </c>
      <c r="P611" t="s">
        <v>18</v>
      </c>
    </row>
    <row r="612" spans="1:16" x14ac:dyDescent="0.3">
      <c r="A612">
        <v>194</v>
      </c>
      <c r="B612" t="s">
        <v>520</v>
      </c>
      <c r="C612" t="s">
        <v>632</v>
      </c>
      <c r="D612" t="str">
        <f>VLOOKUP(YouTube_University_Data_Final[[#This Row],[Title]],[1]!YouTube_University_Data_Final[[Title]:[Title_language]],2,FALSE)</f>
        <v>English</v>
      </c>
      <c r="E612" t="s">
        <v>2944</v>
      </c>
      <c r="F612">
        <v>27</v>
      </c>
      <c r="G612" s="1">
        <v>44144</v>
      </c>
      <c r="H612">
        <v>159</v>
      </c>
      <c r="I612" t="s">
        <v>522</v>
      </c>
      <c r="J612">
        <v>186</v>
      </c>
      <c r="K612">
        <v>0</v>
      </c>
      <c r="L612">
        <v>0</v>
      </c>
      <c r="M612">
        <v>0</v>
      </c>
      <c r="N612" t="s">
        <v>101</v>
      </c>
      <c r="O612">
        <v>2020</v>
      </c>
      <c r="P612" t="s">
        <v>18</v>
      </c>
    </row>
    <row r="613" spans="1:16" x14ac:dyDescent="0.3">
      <c r="A613">
        <v>195</v>
      </c>
      <c r="B613" t="s">
        <v>520</v>
      </c>
      <c r="C613" t="s">
        <v>633</v>
      </c>
      <c r="D613" t="str">
        <f>VLOOKUP(YouTube_University_Data_Final[[#This Row],[Title]],[1]!YouTube_University_Data_Final[[Title]:[Title_language]],2,FALSE)</f>
        <v>English</v>
      </c>
      <c r="E613" t="s">
        <v>2944</v>
      </c>
      <c r="F613">
        <v>27</v>
      </c>
      <c r="G613" s="1">
        <v>44144</v>
      </c>
      <c r="H613">
        <v>114</v>
      </c>
      <c r="I613" t="s">
        <v>522</v>
      </c>
      <c r="J613">
        <v>183</v>
      </c>
      <c r="K613">
        <v>3</v>
      </c>
      <c r="L613">
        <v>0</v>
      </c>
      <c r="M613">
        <v>0</v>
      </c>
      <c r="N613" t="s">
        <v>101</v>
      </c>
      <c r="O613">
        <v>2020</v>
      </c>
      <c r="P613" t="s">
        <v>18</v>
      </c>
    </row>
    <row r="614" spans="1:16" x14ac:dyDescent="0.3">
      <c r="A614">
        <v>196</v>
      </c>
      <c r="B614" t="s">
        <v>520</v>
      </c>
      <c r="C614" t="s">
        <v>634</v>
      </c>
      <c r="D614" t="str">
        <f>VLOOKUP(YouTube_University_Data_Final[[#This Row],[Title]],[1]!YouTube_University_Data_Final[[Title]:[Title_language]],2,FALSE)</f>
        <v>English</v>
      </c>
      <c r="E614" t="s">
        <v>2944</v>
      </c>
      <c r="F614">
        <v>27</v>
      </c>
      <c r="G614" s="1">
        <v>44144</v>
      </c>
      <c r="H614">
        <v>128</v>
      </c>
      <c r="I614" t="s">
        <v>522</v>
      </c>
      <c r="J614">
        <v>819</v>
      </c>
      <c r="K614">
        <v>10</v>
      </c>
      <c r="L614">
        <v>0</v>
      </c>
      <c r="M614">
        <v>0</v>
      </c>
      <c r="N614" t="s">
        <v>101</v>
      </c>
      <c r="O614">
        <v>2020</v>
      </c>
      <c r="P614" t="s">
        <v>18</v>
      </c>
    </row>
    <row r="615" spans="1:16" x14ac:dyDescent="0.3">
      <c r="A615">
        <v>197</v>
      </c>
      <c r="B615" t="s">
        <v>520</v>
      </c>
      <c r="C615" t="s">
        <v>635</v>
      </c>
      <c r="D615" t="str">
        <f>VLOOKUP(YouTube_University_Data_Final[[#This Row],[Title]],[1]!YouTube_University_Data_Final[[Title]:[Title_language]],2,FALSE)</f>
        <v>English</v>
      </c>
      <c r="E615" t="s">
        <v>2944</v>
      </c>
      <c r="F615">
        <v>27</v>
      </c>
      <c r="G615" s="1">
        <v>44144</v>
      </c>
      <c r="H615">
        <v>188</v>
      </c>
      <c r="I615" t="s">
        <v>522</v>
      </c>
      <c r="J615">
        <v>334</v>
      </c>
      <c r="K615">
        <v>3</v>
      </c>
      <c r="L615">
        <v>0</v>
      </c>
      <c r="M615">
        <v>0</v>
      </c>
      <c r="N615" t="s">
        <v>101</v>
      </c>
      <c r="O615">
        <v>2020</v>
      </c>
      <c r="P615" t="s">
        <v>18</v>
      </c>
    </row>
    <row r="616" spans="1:16" x14ac:dyDescent="0.3">
      <c r="A616">
        <v>198</v>
      </c>
      <c r="B616" t="s">
        <v>520</v>
      </c>
      <c r="C616" t="s">
        <v>636</v>
      </c>
      <c r="D616" t="str">
        <f>VLOOKUP(YouTube_University_Data_Final[[#This Row],[Title]],[1]!YouTube_University_Data_Final[[Title]:[Title_language]],2,FALSE)</f>
        <v>English</v>
      </c>
      <c r="E616" t="s">
        <v>2944</v>
      </c>
      <c r="F616">
        <v>27</v>
      </c>
      <c r="G616" s="1">
        <v>44144</v>
      </c>
      <c r="H616">
        <v>216</v>
      </c>
      <c r="I616" t="s">
        <v>522</v>
      </c>
      <c r="J616">
        <v>146</v>
      </c>
      <c r="K616">
        <v>0</v>
      </c>
      <c r="L616">
        <v>0</v>
      </c>
      <c r="M616">
        <v>0</v>
      </c>
      <c r="N616" t="s">
        <v>101</v>
      </c>
      <c r="O616">
        <v>2020</v>
      </c>
      <c r="P616" t="s">
        <v>18</v>
      </c>
    </row>
    <row r="617" spans="1:16" x14ac:dyDescent="0.3">
      <c r="A617">
        <v>199</v>
      </c>
      <c r="B617" t="s">
        <v>520</v>
      </c>
      <c r="C617" t="s">
        <v>637</v>
      </c>
      <c r="D617" t="str">
        <f>VLOOKUP(YouTube_University_Data_Final[[#This Row],[Title]],[1]!YouTube_University_Data_Final[[Title]:[Title_language]],2,FALSE)</f>
        <v>English</v>
      </c>
      <c r="E617" t="s">
        <v>2944</v>
      </c>
      <c r="F617">
        <v>27</v>
      </c>
      <c r="G617" s="1">
        <v>44144</v>
      </c>
      <c r="H617">
        <v>189</v>
      </c>
      <c r="I617" t="s">
        <v>522</v>
      </c>
      <c r="J617">
        <v>258</v>
      </c>
      <c r="K617">
        <v>4</v>
      </c>
      <c r="L617">
        <v>0</v>
      </c>
      <c r="M617">
        <v>0</v>
      </c>
      <c r="N617" t="s">
        <v>101</v>
      </c>
      <c r="O617">
        <v>2020</v>
      </c>
      <c r="P617" t="s">
        <v>18</v>
      </c>
    </row>
    <row r="618" spans="1:16" x14ac:dyDescent="0.3">
      <c r="A618">
        <v>200</v>
      </c>
      <c r="B618" t="s">
        <v>520</v>
      </c>
      <c r="C618" t="s">
        <v>638</v>
      </c>
      <c r="D618" t="str">
        <f>VLOOKUP(YouTube_University_Data_Final[[#This Row],[Title]],[1]!YouTube_University_Data_Final[[Title]:[Title_language]],2,FALSE)</f>
        <v>English</v>
      </c>
      <c r="E618" t="s">
        <v>2944</v>
      </c>
      <c r="F618">
        <v>27</v>
      </c>
      <c r="G618" s="1">
        <v>44144</v>
      </c>
      <c r="H618">
        <v>156</v>
      </c>
      <c r="I618" t="s">
        <v>522</v>
      </c>
      <c r="J618">
        <v>207</v>
      </c>
      <c r="K618">
        <v>4</v>
      </c>
      <c r="L618">
        <v>0</v>
      </c>
      <c r="M618">
        <v>0</v>
      </c>
      <c r="N618" t="s">
        <v>101</v>
      </c>
      <c r="O618">
        <v>2020</v>
      </c>
      <c r="P618" t="s">
        <v>18</v>
      </c>
    </row>
    <row r="619" spans="1:16" x14ac:dyDescent="0.3">
      <c r="A619">
        <v>201</v>
      </c>
      <c r="B619" t="s">
        <v>520</v>
      </c>
      <c r="C619" t="s">
        <v>639</v>
      </c>
      <c r="D619" t="str">
        <f>VLOOKUP(YouTube_University_Data_Final[[#This Row],[Title]],[1]!YouTube_University_Data_Final[[Title]:[Title_language]],2,FALSE)</f>
        <v>English</v>
      </c>
      <c r="E619" t="s">
        <v>2944</v>
      </c>
      <c r="F619">
        <v>27</v>
      </c>
      <c r="G619" s="1">
        <v>44144</v>
      </c>
      <c r="H619">
        <v>65</v>
      </c>
      <c r="I619" t="s">
        <v>522</v>
      </c>
      <c r="J619">
        <v>197</v>
      </c>
      <c r="K619">
        <v>0</v>
      </c>
      <c r="L619">
        <v>0</v>
      </c>
      <c r="M619">
        <v>0</v>
      </c>
      <c r="N619" t="s">
        <v>101</v>
      </c>
      <c r="O619">
        <v>2020</v>
      </c>
      <c r="P619" t="s">
        <v>18</v>
      </c>
    </row>
    <row r="620" spans="1:16" x14ac:dyDescent="0.3">
      <c r="A620">
        <v>202</v>
      </c>
      <c r="B620" t="s">
        <v>520</v>
      </c>
      <c r="C620" t="s">
        <v>3217</v>
      </c>
      <c r="D620" t="str">
        <f>VLOOKUP(YouTube_University_Data_Final[[#This Row],[Title]],[1]!YouTube_University_Data_Final[[Title]:[Title_language]],2,FALSE)</f>
        <v>English</v>
      </c>
      <c r="E620" t="s">
        <v>640</v>
      </c>
      <c r="F620">
        <v>27</v>
      </c>
      <c r="G620" s="1">
        <v>44141</v>
      </c>
      <c r="H620">
        <v>3632</v>
      </c>
      <c r="I620" t="s">
        <v>522</v>
      </c>
      <c r="J620">
        <v>1113</v>
      </c>
      <c r="K620">
        <v>12</v>
      </c>
      <c r="L620">
        <v>0</v>
      </c>
      <c r="M620">
        <v>0</v>
      </c>
      <c r="N620" t="s">
        <v>101</v>
      </c>
      <c r="O620">
        <v>2020</v>
      </c>
      <c r="P620" t="s">
        <v>18</v>
      </c>
    </row>
    <row r="621" spans="1:16" x14ac:dyDescent="0.3">
      <c r="A621">
        <v>203</v>
      </c>
      <c r="B621" t="s">
        <v>520</v>
      </c>
      <c r="C621" t="s">
        <v>3218</v>
      </c>
      <c r="D621" t="str">
        <f>VLOOKUP(YouTube_University_Data_Final[[#This Row],[Title]],[1]!YouTube_University_Data_Final[[Title]:[Title_language]],2,FALSE)</f>
        <v>English</v>
      </c>
      <c r="E621" t="s">
        <v>640</v>
      </c>
      <c r="F621">
        <v>27</v>
      </c>
      <c r="G621" s="1">
        <v>44141</v>
      </c>
      <c r="H621">
        <v>3522</v>
      </c>
      <c r="I621" t="s">
        <v>522</v>
      </c>
      <c r="J621">
        <v>1498</v>
      </c>
      <c r="K621">
        <v>18</v>
      </c>
      <c r="L621">
        <v>0</v>
      </c>
      <c r="M621">
        <v>0</v>
      </c>
      <c r="N621" t="s">
        <v>101</v>
      </c>
      <c r="O621">
        <v>2020</v>
      </c>
      <c r="P621" t="s">
        <v>18</v>
      </c>
    </row>
    <row r="622" spans="1:16" x14ac:dyDescent="0.3">
      <c r="A622">
        <v>204</v>
      </c>
      <c r="B622" t="s">
        <v>520</v>
      </c>
      <c r="C622" t="s">
        <v>3219</v>
      </c>
      <c r="D622" t="str">
        <f>VLOOKUP(YouTube_University_Data_Final[[#This Row],[Title]],[1]!YouTube_University_Data_Final[[Title]:[Title_language]],2,FALSE)</f>
        <v>English</v>
      </c>
      <c r="E622" t="s">
        <v>641</v>
      </c>
      <c r="F622">
        <v>27</v>
      </c>
      <c r="G622" s="1">
        <v>44141</v>
      </c>
      <c r="H622">
        <v>3555</v>
      </c>
      <c r="I622" t="s">
        <v>642</v>
      </c>
      <c r="J622">
        <v>521</v>
      </c>
      <c r="K622">
        <v>1</v>
      </c>
      <c r="L622">
        <v>0</v>
      </c>
      <c r="M622">
        <v>0</v>
      </c>
      <c r="N622" t="s">
        <v>101</v>
      </c>
      <c r="O622">
        <v>2020</v>
      </c>
      <c r="P622" t="s">
        <v>18</v>
      </c>
    </row>
    <row r="623" spans="1:16" x14ac:dyDescent="0.3">
      <c r="A623">
        <v>205</v>
      </c>
      <c r="B623" t="s">
        <v>520</v>
      </c>
      <c r="C623" t="s">
        <v>3220</v>
      </c>
      <c r="D623" t="str">
        <f>VLOOKUP(YouTube_University_Data_Final[[#This Row],[Title]],[1]!YouTube_University_Data_Final[[Title]:[Title_language]],2,FALSE)</f>
        <v>English</v>
      </c>
      <c r="E623" t="s">
        <v>643</v>
      </c>
      <c r="F623">
        <v>27</v>
      </c>
      <c r="G623" s="1">
        <v>44141</v>
      </c>
      <c r="H623">
        <v>3288</v>
      </c>
      <c r="I623" t="s">
        <v>522</v>
      </c>
      <c r="J623">
        <v>2037</v>
      </c>
      <c r="K623">
        <v>26</v>
      </c>
      <c r="L623">
        <v>0</v>
      </c>
      <c r="M623">
        <v>0</v>
      </c>
      <c r="N623" t="s">
        <v>101</v>
      </c>
      <c r="O623">
        <v>2020</v>
      </c>
      <c r="P623" t="s">
        <v>18</v>
      </c>
    </row>
    <row r="624" spans="1:16" x14ac:dyDescent="0.3">
      <c r="A624">
        <v>206</v>
      </c>
      <c r="B624" t="s">
        <v>520</v>
      </c>
      <c r="C624" t="s">
        <v>3221</v>
      </c>
      <c r="D624" t="str">
        <f>VLOOKUP(YouTube_University_Data_Final[[#This Row],[Title]],[1]!YouTube_University_Data_Final[[Title]:[Title_language]],2,FALSE)</f>
        <v>English</v>
      </c>
      <c r="E624" t="s">
        <v>641</v>
      </c>
      <c r="F624">
        <v>27</v>
      </c>
      <c r="G624" s="1">
        <v>44141</v>
      </c>
      <c r="H624">
        <v>3358</v>
      </c>
      <c r="I624" t="s">
        <v>522</v>
      </c>
      <c r="J624">
        <v>407</v>
      </c>
      <c r="K624">
        <v>1</v>
      </c>
      <c r="L624">
        <v>0</v>
      </c>
      <c r="M624">
        <v>0</v>
      </c>
      <c r="N624" t="s">
        <v>101</v>
      </c>
      <c r="O624">
        <v>2020</v>
      </c>
      <c r="P624" t="s">
        <v>18</v>
      </c>
    </row>
    <row r="625" spans="1:16" x14ac:dyDescent="0.3">
      <c r="A625">
        <v>207</v>
      </c>
      <c r="B625" t="s">
        <v>520</v>
      </c>
      <c r="C625" t="s">
        <v>3222</v>
      </c>
      <c r="D625" t="str">
        <f>VLOOKUP(YouTube_University_Data_Final[[#This Row],[Title]],[1]!YouTube_University_Data_Final[[Title]:[Title_language]],2,FALSE)</f>
        <v>English</v>
      </c>
      <c r="E625" t="s">
        <v>644</v>
      </c>
      <c r="F625">
        <v>27</v>
      </c>
      <c r="G625" s="1">
        <v>44141</v>
      </c>
      <c r="H625">
        <v>2620</v>
      </c>
      <c r="I625" t="s">
        <v>522</v>
      </c>
      <c r="J625">
        <v>133</v>
      </c>
      <c r="K625">
        <v>1</v>
      </c>
      <c r="L625">
        <v>0</v>
      </c>
      <c r="M625">
        <v>0</v>
      </c>
      <c r="N625" t="s">
        <v>101</v>
      </c>
      <c r="O625">
        <v>2020</v>
      </c>
      <c r="P625" t="s">
        <v>18</v>
      </c>
    </row>
    <row r="626" spans="1:16" x14ac:dyDescent="0.3">
      <c r="A626">
        <v>208</v>
      </c>
      <c r="B626" t="s">
        <v>520</v>
      </c>
      <c r="C626" t="s">
        <v>3223</v>
      </c>
      <c r="D626" t="str">
        <f>VLOOKUP(YouTube_University_Data_Final[[#This Row],[Title]],[1]!YouTube_University_Data_Final[[Title]:[Title_language]],2,FALSE)</f>
        <v>English</v>
      </c>
      <c r="E626" t="s">
        <v>645</v>
      </c>
      <c r="F626">
        <v>27</v>
      </c>
      <c r="G626" s="1">
        <v>44141</v>
      </c>
      <c r="H626">
        <v>3136</v>
      </c>
      <c r="I626" t="s">
        <v>522</v>
      </c>
      <c r="J626">
        <v>1591</v>
      </c>
      <c r="K626">
        <v>25</v>
      </c>
      <c r="L626">
        <v>0</v>
      </c>
      <c r="M626">
        <v>0</v>
      </c>
      <c r="N626" t="s">
        <v>101</v>
      </c>
      <c r="O626">
        <v>2020</v>
      </c>
      <c r="P626" t="s">
        <v>18</v>
      </c>
    </row>
    <row r="627" spans="1:16" x14ac:dyDescent="0.3">
      <c r="A627">
        <v>209</v>
      </c>
      <c r="B627" t="s">
        <v>520</v>
      </c>
      <c r="C627" t="s">
        <v>3224</v>
      </c>
      <c r="D627" t="str">
        <f>VLOOKUP(YouTube_University_Data_Final[[#This Row],[Title]],[1]!YouTube_University_Data_Final[[Title]:[Title_language]],2,FALSE)</f>
        <v>English</v>
      </c>
      <c r="E627" t="s">
        <v>646</v>
      </c>
      <c r="F627">
        <v>27</v>
      </c>
      <c r="G627" s="1">
        <v>44141</v>
      </c>
      <c r="H627">
        <v>1832</v>
      </c>
      <c r="I627" t="s">
        <v>522</v>
      </c>
      <c r="J627">
        <v>1126</v>
      </c>
      <c r="K627">
        <v>23</v>
      </c>
      <c r="L627">
        <v>0</v>
      </c>
      <c r="M627">
        <v>0</v>
      </c>
      <c r="N627" t="s">
        <v>101</v>
      </c>
      <c r="O627">
        <v>2020</v>
      </c>
      <c r="P627" t="s">
        <v>18</v>
      </c>
    </row>
    <row r="628" spans="1:16" x14ac:dyDescent="0.3">
      <c r="A628">
        <v>210</v>
      </c>
      <c r="B628" t="s">
        <v>520</v>
      </c>
      <c r="C628" t="s">
        <v>3225</v>
      </c>
      <c r="D628" t="str">
        <f>VLOOKUP(YouTube_University_Data_Final[[#This Row],[Title]],[1]!YouTube_University_Data_Final[[Title]:[Title_language]],2,FALSE)</f>
        <v>English</v>
      </c>
      <c r="E628" t="s">
        <v>647</v>
      </c>
      <c r="F628">
        <v>27</v>
      </c>
      <c r="G628" s="1">
        <v>44141</v>
      </c>
      <c r="H628">
        <v>1380</v>
      </c>
      <c r="I628" t="s">
        <v>522</v>
      </c>
      <c r="J628">
        <v>1413</v>
      </c>
      <c r="K628">
        <v>5</v>
      </c>
      <c r="L628">
        <v>0</v>
      </c>
      <c r="M628">
        <v>0</v>
      </c>
      <c r="N628" t="s">
        <v>101</v>
      </c>
      <c r="O628">
        <v>2020</v>
      </c>
      <c r="P628" t="s">
        <v>18</v>
      </c>
    </row>
    <row r="629" spans="1:16" x14ac:dyDescent="0.3">
      <c r="A629">
        <v>211</v>
      </c>
      <c r="B629" t="s">
        <v>520</v>
      </c>
      <c r="C629" t="s">
        <v>3226</v>
      </c>
      <c r="D629" t="str">
        <f>VLOOKUP(YouTube_University_Data_Final[[#This Row],[Title]],[1]!YouTube_University_Data_Final[[Title]:[Title_language]],2,FALSE)</f>
        <v>English</v>
      </c>
      <c r="E629" t="s">
        <v>648</v>
      </c>
      <c r="F629">
        <v>27</v>
      </c>
      <c r="G629" s="1">
        <v>44141</v>
      </c>
      <c r="H629">
        <v>3330</v>
      </c>
      <c r="I629" t="s">
        <v>522</v>
      </c>
      <c r="J629">
        <v>504</v>
      </c>
      <c r="K629">
        <v>3</v>
      </c>
      <c r="L629">
        <v>0</v>
      </c>
      <c r="M629">
        <v>0</v>
      </c>
      <c r="N629" t="s">
        <v>101</v>
      </c>
      <c r="O629">
        <v>2020</v>
      </c>
      <c r="P629" t="s">
        <v>18</v>
      </c>
    </row>
    <row r="630" spans="1:16" x14ac:dyDescent="0.3">
      <c r="A630">
        <v>212</v>
      </c>
      <c r="B630" t="s">
        <v>520</v>
      </c>
      <c r="C630" t="s">
        <v>3227</v>
      </c>
      <c r="D630" t="str">
        <f>VLOOKUP(YouTube_University_Data_Final[[#This Row],[Title]],[1]!YouTube_University_Data_Final[[Title]:[Title_language]],2,FALSE)</f>
        <v>English</v>
      </c>
      <c r="E630" t="s">
        <v>649</v>
      </c>
      <c r="F630">
        <v>27</v>
      </c>
      <c r="G630" s="1">
        <v>44141</v>
      </c>
      <c r="H630">
        <v>3458</v>
      </c>
      <c r="I630" t="s">
        <v>522</v>
      </c>
      <c r="J630">
        <v>516</v>
      </c>
      <c r="K630">
        <v>8</v>
      </c>
      <c r="L630">
        <v>0</v>
      </c>
      <c r="M630">
        <v>0</v>
      </c>
      <c r="N630" t="s">
        <v>101</v>
      </c>
      <c r="O630">
        <v>2020</v>
      </c>
      <c r="P630" t="s">
        <v>18</v>
      </c>
    </row>
    <row r="631" spans="1:16" x14ac:dyDescent="0.3">
      <c r="A631">
        <v>213</v>
      </c>
      <c r="B631" t="s">
        <v>520</v>
      </c>
      <c r="C631" t="s">
        <v>3228</v>
      </c>
      <c r="D631" t="str">
        <f>VLOOKUP(YouTube_University_Data_Final[[#This Row],[Title]],[1]!YouTube_University_Data_Final[[Title]:[Title_language]],2,FALSE)</f>
        <v>English</v>
      </c>
      <c r="E631" t="s">
        <v>3229</v>
      </c>
      <c r="F631">
        <v>27</v>
      </c>
      <c r="G631" s="1">
        <v>44141</v>
      </c>
      <c r="H631">
        <v>2967</v>
      </c>
      <c r="I631" t="s">
        <v>522</v>
      </c>
      <c r="J631">
        <v>914</v>
      </c>
      <c r="K631">
        <v>11</v>
      </c>
      <c r="L631">
        <v>0</v>
      </c>
      <c r="M631">
        <v>0</v>
      </c>
      <c r="N631" t="s">
        <v>101</v>
      </c>
      <c r="O631">
        <v>2020</v>
      </c>
      <c r="P631" t="s">
        <v>18</v>
      </c>
    </row>
    <row r="632" spans="1:16" x14ac:dyDescent="0.3">
      <c r="A632">
        <v>214</v>
      </c>
      <c r="B632" t="s">
        <v>520</v>
      </c>
      <c r="C632" t="s">
        <v>3230</v>
      </c>
      <c r="D632" t="str">
        <f>VLOOKUP(YouTube_University_Data_Final[[#This Row],[Title]],[1]!YouTube_University_Data_Final[[Title]:[Title_language]],2,FALSE)</f>
        <v>English</v>
      </c>
      <c r="E632" t="s">
        <v>646</v>
      </c>
      <c r="F632">
        <v>27</v>
      </c>
      <c r="G632" s="1">
        <v>44141</v>
      </c>
      <c r="H632">
        <v>2865</v>
      </c>
      <c r="I632" t="s">
        <v>522</v>
      </c>
      <c r="J632">
        <v>5703</v>
      </c>
      <c r="K632">
        <v>61</v>
      </c>
      <c r="L632">
        <v>0</v>
      </c>
      <c r="M632">
        <v>0</v>
      </c>
      <c r="N632" t="s">
        <v>101</v>
      </c>
      <c r="O632">
        <v>2020</v>
      </c>
      <c r="P632" t="s">
        <v>18</v>
      </c>
    </row>
    <row r="633" spans="1:16" x14ac:dyDescent="0.3">
      <c r="A633">
        <v>215</v>
      </c>
      <c r="B633" t="s">
        <v>520</v>
      </c>
      <c r="C633" t="s">
        <v>3231</v>
      </c>
      <c r="D633" t="str">
        <f>VLOOKUP(YouTube_University_Data_Final[[#This Row],[Title]],[1]!YouTube_University_Data_Final[[Title]:[Title_language]],2,FALSE)</f>
        <v>English</v>
      </c>
      <c r="E633" t="s">
        <v>650</v>
      </c>
      <c r="F633">
        <v>27</v>
      </c>
      <c r="G633" s="1">
        <v>44141</v>
      </c>
      <c r="H633">
        <v>2202</v>
      </c>
      <c r="I633" t="s">
        <v>522</v>
      </c>
      <c r="J633">
        <v>462</v>
      </c>
      <c r="K633">
        <v>6</v>
      </c>
      <c r="L633">
        <v>0</v>
      </c>
      <c r="M633">
        <v>0</v>
      </c>
      <c r="N633" t="s">
        <v>101</v>
      </c>
      <c r="O633">
        <v>2020</v>
      </c>
      <c r="P633" t="s">
        <v>18</v>
      </c>
    </row>
    <row r="634" spans="1:16" x14ac:dyDescent="0.3">
      <c r="A634">
        <v>216</v>
      </c>
      <c r="B634" t="s">
        <v>520</v>
      </c>
      <c r="C634" t="s">
        <v>3232</v>
      </c>
      <c r="D634" t="str">
        <f>VLOOKUP(YouTube_University_Data_Final[[#This Row],[Title]],[1]!YouTube_University_Data_Final[[Title]:[Title_language]],2,FALSE)</f>
        <v>English</v>
      </c>
      <c r="E634" t="s">
        <v>651</v>
      </c>
      <c r="F634">
        <v>27</v>
      </c>
      <c r="G634" s="1">
        <v>44141</v>
      </c>
      <c r="H634">
        <v>3357</v>
      </c>
      <c r="I634" t="s">
        <v>522</v>
      </c>
      <c r="J634">
        <v>7680</v>
      </c>
      <c r="K634">
        <v>90</v>
      </c>
      <c r="L634">
        <v>0</v>
      </c>
      <c r="M634">
        <v>0</v>
      </c>
      <c r="N634" t="s">
        <v>101</v>
      </c>
      <c r="O634">
        <v>2020</v>
      </c>
      <c r="P634" t="s">
        <v>18</v>
      </c>
    </row>
    <row r="635" spans="1:16" x14ac:dyDescent="0.3">
      <c r="A635">
        <v>217</v>
      </c>
      <c r="B635" t="s">
        <v>520</v>
      </c>
      <c r="C635" t="s">
        <v>3233</v>
      </c>
      <c r="D635" t="str">
        <f>VLOOKUP(YouTube_University_Data_Final[[#This Row],[Title]],[1]!YouTube_University_Data_Final[[Title]:[Title_language]],2,FALSE)</f>
        <v>English</v>
      </c>
      <c r="E635" t="s">
        <v>652</v>
      </c>
      <c r="F635">
        <v>27</v>
      </c>
      <c r="G635" s="1">
        <v>44141</v>
      </c>
      <c r="H635">
        <v>3309</v>
      </c>
      <c r="I635" t="s">
        <v>522</v>
      </c>
      <c r="J635">
        <v>1174</v>
      </c>
      <c r="K635">
        <v>13</v>
      </c>
      <c r="L635">
        <v>0</v>
      </c>
      <c r="M635">
        <v>0</v>
      </c>
      <c r="N635" t="s">
        <v>101</v>
      </c>
      <c r="O635">
        <v>2020</v>
      </c>
      <c r="P635" t="s">
        <v>18</v>
      </c>
    </row>
    <row r="636" spans="1:16" x14ac:dyDescent="0.3">
      <c r="A636">
        <v>218</v>
      </c>
      <c r="B636" t="s">
        <v>520</v>
      </c>
      <c r="C636" t="s">
        <v>3234</v>
      </c>
      <c r="D636" t="str">
        <f>VLOOKUP(YouTube_University_Data_Final[[#This Row],[Title]],[1]!YouTube_University_Data_Final[[Title]:[Title_language]],2,FALSE)</f>
        <v>English</v>
      </c>
      <c r="E636" t="s">
        <v>3235</v>
      </c>
      <c r="F636">
        <v>27</v>
      </c>
      <c r="G636" s="1">
        <v>44141</v>
      </c>
      <c r="H636">
        <v>3900</v>
      </c>
      <c r="I636" t="s">
        <v>522</v>
      </c>
      <c r="J636">
        <v>1555</v>
      </c>
      <c r="K636">
        <v>15</v>
      </c>
      <c r="L636">
        <v>0</v>
      </c>
      <c r="M636">
        <v>0</v>
      </c>
      <c r="N636" t="s">
        <v>101</v>
      </c>
      <c r="O636">
        <v>2020</v>
      </c>
      <c r="P636" t="s">
        <v>18</v>
      </c>
    </row>
    <row r="637" spans="1:16" x14ac:dyDescent="0.3">
      <c r="A637">
        <v>219</v>
      </c>
      <c r="B637" t="s">
        <v>520</v>
      </c>
      <c r="C637" t="s">
        <v>3236</v>
      </c>
      <c r="D637" t="str">
        <f>VLOOKUP(YouTube_University_Data_Final[[#This Row],[Title]],[1]!YouTube_University_Data_Final[[Title]:[Title_language]],2,FALSE)</f>
        <v>English</v>
      </c>
      <c r="E637" t="s">
        <v>3237</v>
      </c>
      <c r="F637">
        <v>27</v>
      </c>
      <c r="G637" s="1">
        <v>44141</v>
      </c>
      <c r="H637">
        <v>5382</v>
      </c>
      <c r="I637" t="s">
        <v>522</v>
      </c>
      <c r="J637">
        <v>1441</v>
      </c>
      <c r="K637">
        <v>14</v>
      </c>
      <c r="L637">
        <v>0</v>
      </c>
      <c r="M637">
        <v>0</v>
      </c>
      <c r="N637" t="s">
        <v>101</v>
      </c>
      <c r="O637">
        <v>2020</v>
      </c>
      <c r="P637" t="s">
        <v>18</v>
      </c>
    </row>
    <row r="638" spans="1:16" x14ac:dyDescent="0.3">
      <c r="A638">
        <v>220</v>
      </c>
      <c r="B638" t="s">
        <v>520</v>
      </c>
      <c r="C638" t="s">
        <v>653</v>
      </c>
      <c r="D638" t="str">
        <f>VLOOKUP(YouTube_University_Data_Final[[#This Row],[Title]],[1]!YouTube_University_Data_Final[[Title]:[Title_language]],2,FALSE)</f>
        <v>English</v>
      </c>
      <c r="E638" t="s">
        <v>654</v>
      </c>
      <c r="F638">
        <v>27</v>
      </c>
      <c r="G638" s="1">
        <v>44141</v>
      </c>
      <c r="H638">
        <v>21</v>
      </c>
      <c r="I638" t="s">
        <v>522</v>
      </c>
      <c r="J638">
        <v>42</v>
      </c>
      <c r="K638">
        <v>0</v>
      </c>
      <c r="L638">
        <v>0</v>
      </c>
      <c r="M638">
        <v>0</v>
      </c>
      <c r="N638" t="s">
        <v>101</v>
      </c>
      <c r="O638">
        <v>2020</v>
      </c>
      <c r="P638" t="s">
        <v>18</v>
      </c>
    </row>
    <row r="639" spans="1:16" x14ac:dyDescent="0.3">
      <c r="A639">
        <v>221</v>
      </c>
      <c r="B639" t="s">
        <v>520</v>
      </c>
      <c r="C639" t="s">
        <v>655</v>
      </c>
      <c r="D639" t="str">
        <f>VLOOKUP(YouTube_University_Data_Final[[#This Row],[Title]],[1]!YouTube_University_Data_Final[[Title]:[Title_language]],2,FALSE)</f>
        <v>English</v>
      </c>
      <c r="E639" t="s">
        <v>656</v>
      </c>
      <c r="F639">
        <v>27</v>
      </c>
      <c r="G639" s="1">
        <v>44141</v>
      </c>
      <c r="H639">
        <v>134</v>
      </c>
      <c r="I639" t="s">
        <v>522</v>
      </c>
      <c r="J639">
        <v>27</v>
      </c>
      <c r="K639">
        <v>0</v>
      </c>
      <c r="L639">
        <v>0</v>
      </c>
      <c r="M639">
        <v>0</v>
      </c>
      <c r="N639" t="s">
        <v>101</v>
      </c>
      <c r="O639">
        <v>2020</v>
      </c>
      <c r="P639" t="s">
        <v>18</v>
      </c>
    </row>
    <row r="640" spans="1:16" x14ac:dyDescent="0.3">
      <c r="A640">
        <v>222</v>
      </c>
      <c r="B640" t="s">
        <v>520</v>
      </c>
      <c r="C640" t="s">
        <v>657</v>
      </c>
      <c r="D640" t="str">
        <f>VLOOKUP(YouTube_University_Data_Final[[#This Row],[Title]],[1]!YouTube_University_Data_Final[[Title]:[Title_language]],2,FALSE)</f>
        <v>English</v>
      </c>
      <c r="E640" t="s">
        <v>658</v>
      </c>
      <c r="F640">
        <v>27</v>
      </c>
      <c r="G640" s="1">
        <v>44141</v>
      </c>
      <c r="H640">
        <v>642</v>
      </c>
      <c r="I640" t="s">
        <v>522</v>
      </c>
      <c r="J640">
        <v>76</v>
      </c>
      <c r="K640">
        <v>4</v>
      </c>
      <c r="L640">
        <v>0</v>
      </c>
      <c r="M640">
        <v>0</v>
      </c>
      <c r="N640" t="s">
        <v>101</v>
      </c>
      <c r="O640">
        <v>2020</v>
      </c>
      <c r="P640" t="s">
        <v>18</v>
      </c>
    </row>
    <row r="641" spans="1:16" x14ac:dyDescent="0.3">
      <c r="A641">
        <v>223</v>
      </c>
      <c r="B641" t="s">
        <v>520</v>
      </c>
      <c r="C641" t="s">
        <v>659</v>
      </c>
      <c r="D641" t="str">
        <f>VLOOKUP(YouTube_University_Data_Final[[#This Row],[Title]],[1]!YouTube_University_Data_Final[[Title]:[Title_language]],2,FALSE)</f>
        <v>English</v>
      </c>
      <c r="E641" t="s">
        <v>660</v>
      </c>
      <c r="F641">
        <v>27</v>
      </c>
      <c r="G641" s="1">
        <v>44141</v>
      </c>
      <c r="H641">
        <v>845</v>
      </c>
      <c r="I641" t="s">
        <v>522</v>
      </c>
      <c r="J641">
        <v>88</v>
      </c>
      <c r="K641">
        <v>5</v>
      </c>
      <c r="L641">
        <v>0</v>
      </c>
      <c r="M641">
        <v>0</v>
      </c>
      <c r="N641" t="s">
        <v>101</v>
      </c>
      <c r="O641">
        <v>2020</v>
      </c>
      <c r="P641" t="s">
        <v>18</v>
      </c>
    </row>
    <row r="642" spans="1:16" x14ac:dyDescent="0.3">
      <c r="A642">
        <v>224</v>
      </c>
      <c r="B642" t="s">
        <v>520</v>
      </c>
      <c r="C642" t="s">
        <v>661</v>
      </c>
      <c r="D642" t="str">
        <f>VLOOKUP(YouTube_University_Data_Final[[#This Row],[Title]],[1]!YouTube_University_Data_Final[[Title]:[Title_language]],2,FALSE)</f>
        <v>English</v>
      </c>
      <c r="E642" t="s">
        <v>2944</v>
      </c>
      <c r="F642">
        <v>27</v>
      </c>
      <c r="G642" s="1">
        <v>44141</v>
      </c>
      <c r="H642">
        <v>226</v>
      </c>
      <c r="I642" t="s">
        <v>522</v>
      </c>
      <c r="J642">
        <v>40</v>
      </c>
      <c r="K642">
        <v>3</v>
      </c>
      <c r="L642">
        <v>0</v>
      </c>
      <c r="M642">
        <v>0</v>
      </c>
      <c r="N642" t="s">
        <v>101</v>
      </c>
      <c r="O642">
        <v>2020</v>
      </c>
      <c r="P642" t="s">
        <v>18</v>
      </c>
    </row>
    <row r="643" spans="1:16" x14ac:dyDescent="0.3">
      <c r="A643">
        <v>225</v>
      </c>
      <c r="B643" t="s">
        <v>520</v>
      </c>
      <c r="C643" t="s">
        <v>662</v>
      </c>
      <c r="D643" t="str">
        <f>VLOOKUP(YouTube_University_Data_Final[[#This Row],[Title]],[1]!YouTube_University_Data_Final[[Title]:[Title_language]],2,FALSE)</f>
        <v>English</v>
      </c>
      <c r="E643" t="s">
        <v>663</v>
      </c>
      <c r="F643">
        <v>27</v>
      </c>
      <c r="G643" s="1">
        <v>44141</v>
      </c>
      <c r="H643">
        <v>93</v>
      </c>
      <c r="I643" t="s">
        <v>522</v>
      </c>
      <c r="J643">
        <v>23</v>
      </c>
      <c r="K643">
        <v>1</v>
      </c>
      <c r="L643">
        <v>0</v>
      </c>
      <c r="M643">
        <v>0</v>
      </c>
      <c r="N643" t="s">
        <v>101</v>
      </c>
      <c r="O643">
        <v>2020</v>
      </c>
      <c r="P643" t="s">
        <v>18</v>
      </c>
    </row>
    <row r="644" spans="1:16" x14ac:dyDescent="0.3">
      <c r="A644">
        <v>226</v>
      </c>
      <c r="B644" t="s">
        <v>520</v>
      </c>
      <c r="C644" t="s">
        <v>664</v>
      </c>
      <c r="D644" t="str">
        <f>VLOOKUP(YouTube_University_Data_Final[[#This Row],[Title]],[1]!YouTube_University_Data_Final[[Title]:[Title_language]],2,FALSE)</f>
        <v>English</v>
      </c>
      <c r="E644" t="s">
        <v>665</v>
      </c>
      <c r="F644">
        <v>27</v>
      </c>
      <c r="G644" s="1">
        <v>44140</v>
      </c>
      <c r="H644">
        <v>19</v>
      </c>
      <c r="I644" t="s">
        <v>522</v>
      </c>
      <c r="J644">
        <v>27</v>
      </c>
      <c r="K644">
        <v>1</v>
      </c>
      <c r="L644">
        <v>0</v>
      </c>
      <c r="M644">
        <v>0</v>
      </c>
      <c r="N644" t="s">
        <v>101</v>
      </c>
      <c r="O644">
        <v>2020</v>
      </c>
      <c r="P644" t="s">
        <v>18</v>
      </c>
    </row>
    <row r="645" spans="1:16" x14ac:dyDescent="0.3">
      <c r="A645">
        <v>227</v>
      </c>
      <c r="B645" t="s">
        <v>520</v>
      </c>
      <c r="C645" t="s">
        <v>3238</v>
      </c>
      <c r="D645" t="str">
        <f>VLOOKUP(YouTube_University_Data_Final[[#This Row],[Title]],[1]!YouTube_University_Data_Final[[Title]:[Title_language]],2,FALSE)</f>
        <v>Bilingual</v>
      </c>
      <c r="E645" t="s">
        <v>3239</v>
      </c>
      <c r="F645">
        <v>27</v>
      </c>
      <c r="G645" s="1">
        <v>44140</v>
      </c>
      <c r="H645">
        <v>65</v>
      </c>
      <c r="I645" t="s">
        <v>522</v>
      </c>
      <c r="J645">
        <v>1462</v>
      </c>
      <c r="K645">
        <v>12</v>
      </c>
      <c r="L645">
        <v>0</v>
      </c>
      <c r="M645">
        <v>0</v>
      </c>
      <c r="N645" t="s">
        <v>101</v>
      </c>
      <c r="O645">
        <v>2020</v>
      </c>
      <c r="P645" t="s">
        <v>18</v>
      </c>
    </row>
    <row r="646" spans="1:16" x14ac:dyDescent="0.3">
      <c r="A646">
        <v>228</v>
      </c>
      <c r="B646" t="s">
        <v>520</v>
      </c>
      <c r="C646" t="s">
        <v>666</v>
      </c>
      <c r="D646" t="str">
        <f>VLOOKUP(YouTube_University_Data_Final[[#This Row],[Title]],[1]!YouTube_University_Data_Final[[Title]:[Title_language]],2,FALSE)</f>
        <v>English</v>
      </c>
      <c r="E646" t="s">
        <v>667</v>
      </c>
      <c r="F646">
        <v>27</v>
      </c>
      <c r="G646" s="1">
        <v>44140</v>
      </c>
      <c r="H646">
        <v>95</v>
      </c>
      <c r="I646" t="s">
        <v>522</v>
      </c>
      <c r="J646">
        <v>24</v>
      </c>
      <c r="K646">
        <v>0</v>
      </c>
      <c r="L646">
        <v>0</v>
      </c>
      <c r="M646">
        <v>0</v>
      </c>
      <c r="N646" t="s">
        <v>101</v>
      </c>
      <c r="O646">
        <v>2020</v>
      </c>
      <c r="P646" t="s">
        <v>18</v>
      </c>
    </row>
    <row r="647" spans="1:16" x14ac:dyDescent="0.3">
      <c r="A647">
        <v>229</v>
      </c>
      <c r="B647" t="s">
        <v>520</v>
      </c>
      <c r="C647" t="s">
        <v>668</v>
      </c>
      <c r="D647" t="str">
        <f>VLOOKUP(YouTube_University_Data_Final[[#This Row],[Title]],[1]!YouTube_University_Data_Final[[Title]:[Title_language]],2,FALSE)</f>
        <v>English</v>
      </c>
      <c r="E647" t="s">
        <v>669</v>
      </c>
      <c r="F647">
        <v>27</v>
      </c>
      <c r="G647" s="1">
        <v>44140</v>
      </c>
      <c r="H647">
        <v>40</v>
      </c>
      <c r="I647" t="s">
        <v>522</v>
      </c>
      <c r="J647">
        <v>17</v>
      </c>
      <c r="K647">
        <v>0</v>
      </c>
      <c r="L647">
        <v>0</v>
      </c>
      <c r="M647">
        <v>0</v>
      </c>
      <c r="N647" t="s">
        <v>101</v>
      </c>
      <c r="O647">
        <v>2020</v>
      </c>
      <c r="P647" t="s">
        <v>18</v>
      </c>
    </row>
    <row r="648" spans="1:16" x14ac:dyDescent="0.3">
      <c r="A648">
        <v>230</v>
      </c>
      <c r="B648" t="s">
        <v>520</v>
      </c>
      <c r="C648" t="s">
        <v>3240</v>
      </c>
      <c r="D648" t="str">
        <f>VLOOKUP(YouTube_University_Data_Final[[#This Row],[Title]],[1]!YouTube_University_Data_Final[[Title]:[Title_language]],2,FALSE)</f>
        <v>English</v>
      </c>
      <c r="E648" t="s">
        <v>3241</v>
      </c>
      <c r="F648">
        <v>27</v>
      </c>
      <c r="G648" s="1">
        <v>44140</v>
      </c>
      <c r="H648">
        <v>18</v>
      </c>
      <c r="I648" t="s">
        <v>522</v>
      </c>
      <c r="J648">
        <v>37</v>
      </c>
      <c r="K648">
        <v>0</v>
      </c>
      <c r="L648">
        <v>0</v>
      </c>
      <c r="M648">
        <v>0</v>
      </c>
      <c r="N648" t="s">
        <v>101</v>
      </c>
      <c r="O648">
        <v>2020</v>
      </c>
      <c r="P648" t="s">
        <v>18</v>
      </c>
    </row>
    <row r="649" spans="1:16" x14ac:dyDescent="0.3">
      <c r="A649">
        <v>231</v>
      </c>
      <c r="B649" t="s">
        <v>520</v>
      </c>
      <c r="C649" t="s">
        <v>670</v>
      </c>
      <c r="D649" t="str">
        <f>VLOOKUP(YouTube_University_Data_Final[[#This Row],[Title]],[1]!YouTube_University_Data_Final[[Title]:[Title_language]],2,FALSE)</f>
        <v>English</v>
      </c>
      <c r="E649" t="s">
        <v>671</v>
      </c>
      <c r="F649">
        <v>27</v>
      </c>
      <c r="G649" s="1">
        <v>44140</v>
      </c>
      <c r="H649">
        <v>47</v>
      </c>
      <c r="I649" t="s">
        <v>522</v>
      </c>
      <c r="J649">
        <v>137</v>
      </c>
      <c r="K649">
        <v>0</v>
      </c>
      <c r="L649">
        <v>0</v>
      </c>
      <c r="M649">
        <v>0</v>
      </c>
      <c r="N649" t="s">
        <v>101</v>
      </c>
      <c r="O649">
        <v>2020</v>
      </c>
      <c r="P649" t="s">
        <v>18</v>
      </c>
    </row>
    <row r="650" spans="1:16" x14ac:dyDescent="0.3">
      <c r="A650">
        <v>232</v>
      </c>
      <c r="B650" t="s">
        <v>520</v>
      </c>
      <c r="C650" t="s">
        <v>3242</v>
      </c>
      <c r="D650" t="str">
        <f>VLOOKUP(YouTube_University_Data_Final[[#This Row],[Title]],[1]!YouTube_University_Data_Final[[Title]:[Title_language]],2,FALSE)</f>
        <v>English</v>
      </c>
      <c r="E650" t="s">
        <v>672</v>
      </c>
      <c r="F650">
        <v>27</v>
      </c>
      <c r="G650" s="1">
        <v>44139</v>
      </c>
      <c r="H650">
        <v>2197</v>
      </c>
      <c r="I650" t="s">
        <v>522</v>
      </c>
      <c r="J650">
        <v>531</v>
      </c>
      <c r="K650">
        <v>2</v>
      </c>
      <c r="L650">
        <v>0</v>
      </c>
      <c r="M650">
        <v>0</v>
      </c>
      <c r="N650" t="s">
        <v>101</v>
      </c>
      <c r="O650">
        <v>2020</v>
      </c>
      <c r="P650" t="s">
        <v>18</v>
      </c>
    </row>
    <row r="651" spans="1:16" x14ac:dyDescent="0.3">
      <c r="A651">
        <v>233</v>
      </c>
      <c r="B651" t="s">
        <v>520</v>
      </c>
      <c r="C651" t="s">
        <v>3243</v>
      </c>
      <c r="D651" t="str">
        <f>VLOOKUP(YouTube_University_Data_Final[[#This Row],[Title]],[1]!YouTube_University_Data_Final[[Title]:[Title_language]],2,FALSE)</f>
        <v>English</v>
      </c>
      <c r="E651" t="s">
        <v>673</v>
      </c>
      <c r="F651">
        <v>27</v>
      </c>
      <c r="G651" s="1">
        <v>44139</v>
      </c>
      <c r="H651">
        <v>1753</v>
      </c>
      <c r="I651" t="s">
        <v>522</v>
      </c>
      <c r="J651">
        <v>376</v>
      </c>
      <c r="K651">
        <v>2</v>
      </c>
      <c r="L651">
        <v>0</v>
      </c>
      <c r="M651">
        <v>0</v>
      </c>
      <c r="N651" t="s">
        <v>101</v>
      </c>
      <c r="O651">
        <v>2020</v>
      </c>
      <c r="P651" t="s">
        <v>18</v>
      </c>
    </row>
    <row r="652" spans="1:16" x14ac:dyDescent="0.3">
      <c r="A652">
        <v>234</v>
      </c>
      <c r="B652" t="s">
        <v>520</v>
      </c>
      <c r="C652" t="s">
        <v>3244</v>
      </c>
      <c r="D652" t="str">
        <f>VLOOKUP(YouTube_University_Data_Final[[#This Row],[Title]],[1]!YouTube_University_Data_Final[[Title]:[Title_language]],2,FALSE)</f>
        <v>Bilingual</v>
      </c>
      <c r="E652" t="s">
        <v>3245</v>
      </c>
      <c r="F652">
        <v>27</v>
      </c>
      <c r="G652" s="1">
        <v>44139</v>
      </c>
      <c r="H652">
        <v>2674</v>
      </c>
      <c r="I652" t="s">
        <v>522</v>
      </c>
      <c r="J652">
        <v>1158</v>
      </c>
      <c r="K652">
        <v>8</v>
      </c>
      <c r="L652">
        <v>0</v>
      </c>
      <c r="M652">
        <v>0</v>
      </c>
      <c r="N652" t="s">
        <v>101</v>
      </c>
      <c r="O652">
        <v>2020</v>
      </c>
      <c r="P652" t="s">
        <v>18</v>
      </c>
    </row>
    <row r="653" spans="1:16" x14ac:dyDescent="0.3">
      <c r="A653">
        <v>235</v>
      </c>
      <c r="B653" t="s">
        <v>520</v>
      </c>
      <c r="C653" t="s">
        <v>3246</v>
      </c>
      <c r="D653" t="str">
        <f>VLOOKUP(YouTube_University_Data_Final[[#This Row],[Title]],[1]!YouTube_University_Data_Final[[Title]:[Title_language]],2,FALSE)</f>
        <v>Bilingual</v>
      </c>
      <c r="E653" t="s">
        <v>3247</v>
      </c>
      <c r="F653">
        <v>27</v>
      </c>
      <c r="G653" s="1">
        <v>44139</v>
      </c>
      <c r="H653">
        <v>3009</v>
      </c>
      <c r="I653" t="s">
        <v>522</v>
      </c>
      <c r="J653">
        <v>1069</v>
      </c>
      <c r="K653">
        <v>10</v>
      </c>
      <c r="L653">
        <v>0</v>
      </c>
      <c r="M653">
        <v>0</v>
      </c>
      <c r="N653" t="s">
        <v>101</v>
      </c>
      <c r="O653">
        <v>2020</v>
      </c>
      <c r="P653" t="s">
        <v>18</v>
      </c>
    </row>
    <row r="654" spans="1:16" x14ac:dyDescent="0.3">
      <c r="A654">
        <v>236</v>
      </c>
      <c r="B654" t="s">
        <v>520</v>
      </c>
      <c r="C654" t="s">
        <v>3248</v>
      </c>
      <c r="D654" t="str">
        <f>VLOOKUP(YouTube_University_Data_Final[[#This Row],[Title]],[1]!YouTube_University_Data_Final[[Title]:[Title_language]],2,FALSE)</f>
        <v>English</v>
      </c>
      <c r="E654" t="s">
        <v>3249</v>
      </c>
      <c r="F654">
        <v>27</v>
      </c>
      <c r="G654" s="1">
        <v>44139</v>
      </c>
      <c r="H654">
        <v>4338</v>
      </c>
      <c r="I654" t="s">
        <v>522</v>
      </c>
      <c r="J654">
        <v>504</v>
      </c>
      <c r="K654">
        <v>9</v>
      </c>
      <c r="L654">
        <v>0</v>
      </c>
      <c r="M654">
        <v>0</v>
      </c>
      <c r="N654" t="s">
        <v>101</v>
      </c>
      <c r="O654">
        <v>2020</v>
      </c>
      <c r="P654" t="s">
        <v>18</v>
      </c>
    </row>
    <row r="655" spans="1:16" x14ac:dyDescent="0.3">
      <c r="A655">
        <v>237</v>
      </c>
      <c r="B655" t="s">
        <v>520</v>
      </c>
      <c r="C655" t="s">
        <v>3250</v>
      </c>
      <c r="D655" t="str">
        <f>VLOOKUP(YouTube_University_Data_Final[[#This Row],[Title]],[1]!YouTube_University_Data_Final[[Title]:[Title_language]],2,FALSE)</f>
        <v>English</v>
      </c>
      <c r="E655" t="s">
        <v>674</v>
      </c>
      <c r="F655">
        <v>27</v>
      </c>
      <c r="G655" s="1">
        <v>44139</v>
      </c>
      <c r="H655">
        <v>2855</v>
      </c>
      <c r="I655" t="s">
        <v>522</v>
      </c>
      <c r="J655">
        <v>626</v>
      </c>
      <c r="K655">
        <v>4</v>
      </c>
      <c r="L655">
        <v>0</v>
      </c>
      <c r="M655">
        <v>0</v>
      </c>
      <c r="N655" t="s">
        <v>101</v>
      </c>
      <c r="O655">
        <v>2020</v>
      </c>
      <c r="P655" t="s">
        <v>18</v>
      </c>
    </row>
    <row r="656" spans="1:16" x14ac:dyDescent="0.3">
      <c r="A656">
        <v>238</v>
      </c>
      <c r="B656" t="s">
        <v>520</v>
      </c>
      <c r="C656" t="s">
        <v>3251</v>
      </c>
      <c r="D656" t="str">
        <f>VLOOKUP(YouTube_University_Data_Final[[#This Row],[Title]],[1]!YouTube_University_Data_Final[[Title]:[Title_language]],2,FALSE)</f>
        <v>Bilingual</v>
      </c>
      <c r="E656" t="s">
        <v>2944</v>
      </c>
      <c r="F656">
        <v>27</v>
      </c>
      <c r="G656" s="1">
        <v>44139</v>
      </c>
      <c r="H656">
        <v>640</v>
      </c>
      <c r="I656" t="s">
        <v>522</v>
      </c>
      <c r="J656">
        <v>213</v>
      </c>
      <c r="K656">
        <v>1</v>
      </c>
      <c r="L656">
        <v>0</v>
      </c>
      <c r="M656">
        <v>0</v>
      </c>
      <c r="N656" t="s">
        <v>101</v>
      </c>
      <c r="O656">
        <v>2020</v>
      </c>
      <c r="P656" t="s">
        <v>18</v>
      </c>
    </row>
    <row r="657" spans="1:16" x14ac:dyDescent="0.3">
      <c r="A657">
        <v>239</v>
      </c>
      <c r="B657" t="s">
        <v>520</v>
      </c>
      <c r="C657" t="s">
        <v>3252</v>
      </c>
      <c r="D657" t="str">
        <f>VLOOKUP(YouTube_University_Data_Final[[#This Row],[Title]],[1]!YouTube_University_Data_Final[[Title]:[Title_language]],2,FALSE)</f>
        <v>Bilingual</v>
      </c>
      <c r="E657" t="s">
        <v>2944</v>
      </c>
      <c r="F657">
        <v>27</v>
      </c>
      <c r="G657" s="1">
        <v>44139</v>
      </c>
      <c r="H657">
        <v>43</v>
      </c>
      <c r="I657" t="s">
        <v>522</v>
      </c>
      <c r="J657">
        <v>69</v>
      </c>
      <c r="K657">
        <v>1</v>
      </c>
      <c r="L657">
        <v>0</v>
      </c>
      <c r="M657">
        <v>0</v>
      </c>
      <c r="N657" t="s">
        <v>101</v>
      </c>
      <c r="O657">
        <v>2020</v>
      </c>
      <c r="P657" t="s">
        <v>18</v>
      </c>
    </row>
    <row r="658" spans="1:16" x14ac:dyDescent="0.3">
      <c r="A658">
        <v>240</v>
      </c>
      <c r="B658" t="s">
        <v>520</v>
      </c>
      <c r="C658" t="s">
        <v>675</v>
      </c>
      <c r="D658" t="str">
        <f>VLOOKUP(YouTube_University_Data_Final[[#This Row],[Title]],[1]!YouTube_University_Data_Final[[Title]:[Title_language]],2,FALSE)</f>
        <v>English</v>
      </c>
      <c r="E658" t="s">
        <v>2944</v>
      </c>
      <c r="F658">
        <v>27</v>
      </c>
      <c r="G658" s="1">
        <v>44139</v>
      </c>
      <c r="H658">
        <v>170</v>
      </c>
      <c r="I658" t="s">
        <v>522</v>
      </c>
      <c r="J658">
        <v>31</v>
      </c>
      <c r="K658">
        <v>0</v>
      </c>
      <c r="L658">
        <v>0</v>
      </c>
      <c r="M658">
        <v>0</v>
      </c>
      <c r="N658" t="s">
        <v>101</v>
      </c>
      <c r="O658">
        <v>2020</v>
      </c>
      <c r="P658" t="s">
        <v>18</v>
      </c>
    </row>
    <row r="659" spans="1:16" x14ac:dyDescent="0.3">
      <c r="A659">
        <v>241</v>
      </c>
      <c r="B659" t="s">
        <v>520</v>
      </c>
      <c r="C659" t="s">
        <v>3253</v>
      </c>
      <c r="D659" t="str">
        <f>VLOOKUP(YouTube_University_Data_Final[[#This Row],[Title]],[1]!YouTube_University_Data_Final[[Title]:[Title_language]],2,FALSE)</f>
        <v>English</v>
      </c>
      <c r="E659" t="s">
        <v>3254</v>
      </c>
      <c r="F659">
        <v>27</v>
      </c>
      <c r="G659" s="1">
        <v>44139</v>
      </c>
      <c r="H659">
        <v>49</v>
      </c>
      <c r="I659" t="s">
        <v>522</v>
      </c>
      <c r="J659">
        <v>64</v>
      </c>
      <c r="K659">
        <v>2</v>
      </c>
      <c r="L659">
        <v>0</v>
      </c>
      <c r="M659">
        <v>0</v>
      </c>
      <c r="N659" t="s">
        <v>101</v>
      </c>
      <c r="O659">
        <v>2020</v>
      </c>
      <c r="P659" t="s">
        <v>18</v>
      </c>
    </row>
    <row r="660" spans="1:16" x14ac:dyDescent="0.3">
      <c r="A660">
        <v>242</v>
      </c>
      <c r="B660" t="s">
        <v>520</v>
      </c>
      <c r="C660" t="s">
        <v>676</v>
      </c>
      <c r="D660" t="str">
        <f>VLOOKUP(YouTube_University_Data_Final[[#This Row],[Title]],[1]!YouTube_University_Data_Final[[Title]:[Title_language]],2,FALSE)</f>
        <v>English</v>
      </c>
      <c r="E660" t="s">
        <v>677</v>
      </c>
      <c r="F660">
        <v>27</v>
      </c>
      <c r="G660" s="1">
        <v>44139</v>
      </c>
      <c r="H660">
        <v>26</v>
      </c>
      <c r="I660" t="s">
        <v>522</v>
      </c>
      <c r="J660">
        <v>7</v>
      </c>
      <c r="K660">
        <v>0</v>
      </c>
      <c r="L660">
        <v>0</v>
      </c>
      <c r="M660">
        <v>0</v>
      </c>
      <c r="N660" t="s">
        <v>101</v>
      </c>
      <c r="O660">
        <v>2020</v>
      </c>
      <c r="P660" t="s">
        <v>18</v>
      </c>
    </row>
    <row r="661" spans="1:16" x14ac:dyDescent="0.3">
      <c r="A661">
        <v>243</v>
      </c>
      <c r="B661" t="s">
        <v>520</v>
      </c>
      <c r="C661" t="s">
        <v>678</v>
      </c>
      <c r="D661" t="str">
        <f>VLOOKUP(YouTube_University_Data_Final[[#This Row],[Title]],[1]!YouTube_University_Data_Final[[Title]:[Title_language]],2,FALSE)</f>
        <v>English</v>
      </c>
      <c r="E661" t="s">
        <v>2944</v>
      </c>
      <c r="F661">
        <v>27</v>
      </c>
      <c r="G661" s="1">
        <v>44139</v>
      </c>
      <c r="H661">
        <v>124</v>
      </c>
      <c r="I661" t="s">
        <v>522</v>
      </c>
      <c r="J661">
        <v>1290</v>
      </c>
      <c r="K661">
        <v>7</v>
      </c>
      <c r="L661">
        <v>0</v>
      </c>
      <c r="M661">
        <v>0</v>
      </c>
      <c r="N661" t="s">
        <v>101</v>
      </c>
      <c r="O661">
        <v>2020</v>
      </c>
      <c r="P661" t="s">
        <v>18</v>
      </c>
    </row>
    <row r="662" spans="1:16" x14ac:dyDescent="0.3">
      <c r="A662">
        <v>244</v>
      </c>
      <c r="B662" t="s">
        <v>520</v>
      </c>
      <c r="C662" t="s">
        <v>679</v>
      </c>
      <c r="D662" t="str">
        <f>VLOOKUP(YouTube_University_Data_Final[[#This Row],[Title]],[1]!YouTube_University_Data_Final[[Title]:[Title_language]],2,FALSE)</f>
        <v>English</v>
      </c>
      <c r="E662" t="s">
        <v>680</v>
      </c>
      <c r="F662">
        <v>27</v>
      </c>
      <c r="G662" s="1">
        <v>44139</v>
      </c>
      <c r="H662">
        <v>181</v>
      </c>
      <c r="I662" t="s">
        <v>522</v>
      </c>
      <c r="J662">
        <v>135</v>
      </c>
      <c r="K662">
        <v>1</v>
      </c>
      <c r="L662">
        <v>0</v>
      </c>
      <c r="M662">
        <v>0</v>
      </c>
      <c r="N662" t="s">
        <v>101</v>
      </c>
      <c r="O662">
        <v>2020</v>
      </c>
      <c r="P662" t="s">
        <v>18</v>
      </c>
    </row>
    <row r="663" spans="1:16" x14ac:dyDescent="0.3">
      <c r="A663">
        <v>245</v>
      </c>
      <c r="B663" t="s">
        <v>520</v>
      </c>
      <c r="C663" t="s">
        <v>3255</v>
      </c>
      <c r="D663" t="str">
        <f>VLOOKUP(YouTube_University_Data_Final[[#This Row],[Title]],[1]!YouTube_University_Data_Final[[Title]:[Title_language]],2,FALSE)</f>
        <v>Chinese</v>
      </c>
      <c r="E663" t="s">
        <v>3256</v>
      </c>
      <c r="F663">
        <v>27</v>
      </c>
      <c r="G663" s="1">
        <v>44134</v>
      </c>
      <c r="H663">
        <v>219</v>
      </c>
      <c r="I663" t="s">
        <v>522</v>
      </c>
      <c r="J663">
        <v>13354</v>
      </c>
      <c r="K663">
        <v>160</v>
      </c>
      <c r="L663">
        <v>0</v>
      </c>
      <c r="M663">
        <v>0</v>
      </c>
      <c r="N663" t="s">
        <v>17</v>
      </c>
      <c r="O663">
        <v>2020</v>
      </c>
      <c r="P663" t="s">
        <v>18</v>
      </c>
    </row>
    <row r="664" spans="1:16" x14ac:dyDescent="0.3">
      <c r="A664">
        <v>246</v>
      </c>
      <c r="B664" t="s">
        <v>520</v>
      </c>
      <c r="C664" t="s">
        <v>3257</v>
      </c>
      <c r="D664" t="str">
        <f>VLOOKUP(YouTube_University_Data_Final[[#This Row],[Title]],[1]!YouTube_University_Data_Final[[Title]:[Title_language]],2,FALSE)</f>
        <v>Chinese</v>
      </c>
      <c r="E664" t="s">
        <v>3258</v>
      </c>
      <c r="F664">
        <v>27</v>
      </c>
      <c r="G664" s="1">
        <v>44134</v>
      </c>
      <c r="H664">
        <v>189</v>
      </c>
      <c r="I664" t="s">
        <v>522</v>
      </c>
      <c r="J664">
        <v>11493</v>
      </c>
      <c r="K664">
        <v>122</v>
      </c>
      <c r="L664">
        <v>0</v>
      </c>
      <c r="M664">
        <v>0</v>
      </c>
      <c r="N664" t="s">
        <v>17</v>
      </c>
      <c r="O664">
        <v>2020</v>
      </c>
      <c r="P664" t="s">
        <v>18</v>
      </c>
    </row>
    <row r="665" spans="1:16" x14ac:dyDescent="0.3">
      <c r="A665">
        <v>247</v>
      </c>
      <c r="B665" t="s">
        <v>520</v>
      </c>
      <c r="C665" t="s">
        <v>3259</v>
      </c>
      <c r="D665" t="str">
        <f>VLOOKUP(YouTube_University_Data_Final[[#This Row],[Title]],[1]!YouTube_University_Data_Final[[Title]:[Title_language]],2,FALSE)</f>
        <v>Chinese</v>
      </c>
      <c r="E665" t="s">
        <v>3260</v>
      </c>
      <c r="F665">
        <v>27</v>
      </c>
      <c r="G665" s="1">
        <v>44133</v>
      </c>
      <c r="H665">
        <v>250</v>
      </c>
      <c r="I665" t="s">
        <v>522</v>
      </c>
      <c r="J665">
        <v>4094</v>
      </c>
      <c r="K665">
        <v>48</v>
      </c>
      <c r="L665">
        <v>0</v>
      </c>
      <c r="M665">
        <v>0</v>
      </c>
      <c r="N665" t="s">
        <v>17</v>
      </c>
      <c r="O665">
        <v>2020</v>
      </c>
      <c r="P665" t="s">
        <v>18</v>
      </c>
    </row>
    <row r="666" spans="1:16" x14ac:dyDescent="0.3">
      <c r="A666">
        <v>248</v>
      </c>
      <c r="B666" t="s">
        <v>520</v>
      </c>
      <c r="C666" t="s">
        <v>3261</v>
      </c>
      <c r="D666" t="str">
        <f>VLOOKUP(YouTube_University_Data_Final[[#This Row],[Title]],[1]!YouTube_University_Data_Final[[Title]:[Title_language]],2,FALSE)</f>
        <v>Chinese</v>
      </c>
      <c r="E666" t="s">
        <v>3262</v>
      </c>
      <c r="F666">
        <v>27</v>
      </c>
      <c r="G666" s="1">
        <v>44131</v>
      </c>
      <c r="H666">
        <v>1092</v>
      </c>
      <c r="I666" t="s">
        <v>522</v>
      </c>
      <c r="J666">
        <v>1677</v>
      </c>
      <c r="K666">
        <v>19</v>
      </c>
      <c r="L666">
        <v>0</v>
      </c>
      <c r="M666">
        <v>0</v>
      </c>
      <c r="N666" t="s">
        <v>17</v>
      </c>
      <c r="O666">
        <v>2020</v>
      </c>
      <c r="P666" t="s">
        <v>18</v>
      </c>
    </row>
    <row r="667" spans="1:16" x14ac:dyDescent="0.3">
      <c r="A667">
        <v>249</v>
      </c>
      <c r="B667" t="s">
        <v>520</v>
      </c>
      <c r="C667" t="s">
        <v>681</v>
      </c>
      <c r="D667" t="str">
        <f>VLOOKUP(YouTube_University_Data_Final[[#This Row],[Title]],[1]!YouTube_University_Data_Final[[Title]:[Title_language]],2,FALSE)</f>
        <v>English</v>
      </c>
      <c r="E667" t="s">
        <v>3263</v>
      </c>
      <c r="F667">
        <v>27</v>
      </c>
      <c r="G667" s="1">
        <v>44129</v>
      </c>
      <c r="H667">
        <v>167</v>
      </c>
      <c r="I667" t="s">
        <v>522</v>
      </c>
      <c r="J667">
        <v>1006</v>
      </c>
      <c r="K667">
        <v>15</v>
      </c>
      <c r="L667">
        <v>0</v>
      </c>
      <c r="M667">
        <v>0</v>
      </c>
      <c r="N667" t="s">
        <v>17</v>
      </c>
      <c r="O667">
        <v>2020</v>
      </c>
      <c r="P667" t="s">
        <v>18</v>
      </c>
    </row>
    <row r="668" spans="1:16" x14ac:dyDescent="0.3">
      <c r="A668">
        <v>250</v>
      </c>
      <c r="B668" t="s">
        <v>520</v>
      </c>
      <c r="C668" t="s">
        <v>682</v>
      </c>
      <c r="D668" t="str">
        <f>VLOOKUP(YouTube_University_Data_Final[[#This Row],[Title]],[1]!YouTube_University_Data_Final[[Title]:[Title_language]],2,FALSE)</f>
        <v>English</v>
      </c>
      <c r="E668" t="s">
        <v>2944</v>
      </c>
      <c r="F668">
        <v>27</v>
      </c>
      <c r="G668" s="1">
        <v>44127</v>
      </c>
      <c r="H668">
        <v>136</v>
      </c>
      <c r="I668" t="s">
        <v>522</v>
      </c>
      <c r="J668">
        <v>84</v>
      </c>
      <c r="K668">
        <v>0</v>
      </c>
      <c r="L668">
        <v>0</v>
      </c>
      <c r="M668">
        <v>0</v>
      </c>
      <c r="N668" t="s">
        <v>17</v>
      </c>
      <c r="O668">
        <v>2020</v>
      </c>
      <c r="P668" t="s">
        <v>18</v>
      </c>
    </row>
    <row r="669" spans="1:16" x14ac:dyDescent="0.3">
      <c r="A669">
        <v>251</v>
      </c>
      <c r="B669" t="s">
        <v>520</v>
      </c>
      <c r="C669" t="s">
        <v>3264</v>
      </c>
      <c r="D669" t="str">
        <f>VLOOKUP(YouTube_University_Data_Final[[#This Row],[Title]],[1]!YouTube_University_Data_Final[[Title]:[Title_language]],2,FALSE)</f>
        <v>Chinese</v>
      </c>
      <c r="E669" t="s">
        <v>3265</v>
      </c>
      <c r="F669">
        <v>27</v>
      </c>
      <c r="G669" s="1">
        <v>44125</v>
      </c>
      <c r="H669">
        <v>875</v>
      </c>
      <c r="I669" t="s">
        <v>522</v>
      </c>
      <c r="J669">
        <v>969</v>
      </c>
      <c r="K669">
        <v>14</v>
      </c>
      <c r="L669">
        <v>0</v>
      </c>
      <c r="M669">
        <v>0</v>
      </c>
      <c r="N669" t="s">
        <v>17</v>
      </c>
      <c r="O669">
        <v>2020</v>
      </c>
      <c r="P669" t="s">
        <v>18</v>
      </c>
    </row>
    <row r="670" spans="1:16" x14ac:dyDescent="0.3">
      <c r="A670">
        <v>252</v>
      </c>
      <c r="B670" t="s">
        <v>520</v>
      </c>
      <c r="C670" t="s">
        <v>3266</v>
      </c>
      <c r="D670" t="str">
        <f>VLOOKUP(YouTube_University_Data_Final[[#This Row],[Title]],[1]!YouTube_University_Data_Final[[Title]:[Title_language]],2,FALSE)</f>
        <v>Chinese</v>
      </c>
      <c r="E670" t="s">
        <v>3267</v>
      </c>
      <c r="F670">
        <v>27</v>
      </c>
      <c r="G670" s="1">
        <v>44125</v>
      </c>
      <c r="H670">
        <v>908</v>
      </c>
      <c r="I670" t="s">
        <v>522</v>
      </c>
      <c r="J670">
        <v>4595</v>
      </c>
      <c r="K670">
        <v>46</v>
      </c>
      <c r="L670">
        <v>0</v>
      </c>
      <c r="M670">
        <v>0</v>
      </c>
      <c r="N670" t="s">
        <v>17</v>
      </c>
      <c r="O670">
        <v>2020</v>
      </c>
      <c r="P670" t="s">
        <v>18</v>
      </c>
    </row>
    <row r="671" spans="1:16" x14ac:dyDescent="0.3">
      <c r="A671">
        <v>253</v>
      </c>
      <c r="B671" t="s">
        <v>520</v>
      </c>
      <c r="C671" t="s">
        <v>3268</v>
      </c>
      <c r="D671" t="str">
        <f>VLOOKUP(YouTube_University_Data_Final[[#This Row],[Title]],[1]!YouTube_University_Data_Final[[Title]:[Title_language]],2,FALSE)</f>
        <v>Chinese</v>
      </c>
      <c r="E671" t="s">
        <v>3269</v>
      </c>
      <c r="F671">
        <v>27</v>
      </c>
      <c r="G671" s="1">
        <v>44122</v>
      </c>
      <c r="H671">
        <v>834</v>
      </c>
      <c r="I671" t="s">
        <v>522</v>
      </c>
      <c r="J671">
        <v>418</v>
      </c>
      <c r="K671">
        <v>0</v>
      </c>
      <c r="L671">
        <v>0</v>
      </c>
      <c r="M671">
        <v>0</v>
      </c>
      <c r="N671" t="s">
        <v>17</v>
      </c>
      <c r="O671">
        <v>2020</v>
      </c>
      <c r="P671" t="s">
        <v>18</v>
      </c>
    </row>
    <row r="672" spans="1:16" x14ac:dyDescent="0.3">
      <c r="A672">
        <v>254</v>
      </c>
      <c r="B672" t="s">
        <v>520</v>
      </c>
      <c r="C672" t="s">
        <v>3270</v>
      </c>
      <c r="D672" t="str">
        <f>VLOOKUP(YouTube_University_Data_Final[[#This Row],[Title]],[1]!YouTube_University_Data_Final[[Title]:[Title_language]],2,FALSE)</f>
        <v>Chinese</v>
      </c>
      <c r="E672" t="s">
        <v>3271</v>
      </c>
      <c r="F672">
        <v>27</v>
      </c>
      <c r="G672" s="1">
        <v>44122</v>
      </c>
      <c r="H672">
        <v>722</v>
      </c>
      <c r="I672" t="s">
        <v>522</v>
      </c>
      <c r="J672">
        <v>1411</v>
      </c>
      <c r="K672">
        <v>17</v>
      </c>
      <c r="L672">
        <v>0</v>
      </c>
      <c r="M672">
        <v>0</v>
      </c>
      <c r="N672" t="s">
        <v>17</v>
      </c>
      <c r="O672">
        <v>2020</v>
      </c>
      <c r="P672" t="s">
        <v>18</v>
      </c>
    </row>
    <row r="673" spans="1:16" x14ac:dyDescent="0.3">
      <c r="A673">
        <v>255</v>
      </c>
      <c r="B673" t="s">
        <v>520</v>
      </c>
      <c r="C673" t="s">
        <v>3272</v>
      </c>
      <c r="D673" t="str">
        <f>VLOOKUP(YouTube_University_Data_Final[[#This Row],[Title]],[1]!YouTube_University_Data_Final[[Title]:[Title_language]],2,FALSE)</f>
        <v>Chinese</v>
      </c>
      <c r="E673" t="s">
        <v>3273</v>
      </c>
      <c r="F673">
        <v>27</v>
      </c>
      <c r="G673" s="1">
        <v>44121</v>
      </c>
      <c r="H673">
        <v>91</v>
      </c>
      <c r="I673" t="s">
        <v>522</v>
      </c>
      <c r="J673">
        <v>37581</v>
      </c>
      <c r="K673">
        <v>34</v>
      </c>
      <c r="L673">
        <v>0</v>
      </c>
      <c r="M673">
        <v>0</v>
      </c>
      <c r="N673" t="s">
        <v>17</v>
      </c>
      <c r="O673">
        <v>2020</v>
      </c>
      <c r="P673" t="s">
        <v>18</v>
      </c>
    </row>
    <row r="674" spans="1:16" x14ac:dyDescent="0.3">
      <c r="A674">
        <v>256</v>
      </c>
      <c r="B674" t="s">
        <v>520</v>
      </c>
      <c r="C674" t="s">
        <v>3274</v>
      </c>
      <c r="D674" t="str">
        <f>VLOOKUP(YouTube_University_Data_Final[[#This Row],[Title]],[1]!YouTube_University_Data_Final[[Title]:[Title_language]],2,FALSE)</f>
        <v>Chinese</v>
      </c>
      <c r="E674" t="s">
        <v>3275</v>
      </c>
      <c r="F674">
        <v>27</v>
      </c>
      <c r="G674" s="1">
        <v>44120</v>
      </c>
      <c r="H674">
        <v>124</v>
      </c>
      <c r="I674" t="s">
        <v>522</v>
      </c>
      <c r="J674">
        <v>38374</v>
      </c>
      <c r="K674">
        <v>23</v>
      </c>
      <c r="L674">
        <v>0</v>
      </c>
      <c r="M674">
        <v>0</v>
      </c>
      <c r="N674" t="s">
        <v>17</v>
      </c>
      <c r="O674">
        <v>2020</v>
      </c>
      <c r="P674" t="s">
        <v>18</v>
      </c>
    </row>
    <row r="675" spans="1:16" x14ac:dyDescent="0.3">
      <c r="A675">
        <v>257</v>
      </c>
      <c r="B675" t="s">
        <v>520</v>
      </c>
      <c r="C675" t="s">
        <v>683</v>
      </c>
      <c r="D675" t="str">
        <f>VLOOKUP(YouTube_University_Data_Final[[#This Row],[Title]],[1]!YouTube_University_Data_Final[[Title]:[Title_language]],2,FALSE)</f>
        <v>English</v>
      </c>
      <c r="E675" t="s">
        <v>2944</v>
      </c>
      <c r="F675">
        <v>27</v>
      </c>
      <c r="G675" s="1">
        <v>44120</v>
      </c>
      <c r="H675">
        <v>909</v>
      </c>
      <c r="I675" t="s">
        <v>522</v>
      </c>
      <c r="J675">
        <v>443</v>
      </c>
      <c r="K675">
        <v>7</v>
      </c>
      <c r="L675">
        <v>0</v>
      </c>
      <c r="M675">
        <v>0</v>
      </c>
      <c r="N675" t="s">
        <v>17</v>
      </c>
      <c r="O675">
        <v>2020</v>
      </c>
      <c r="P675" t="s">
        <v>18</v>
      </c>
    </row>
    <row r="676" spans="1:16" x14ac:dyDescent="0.3">
      <c r="A676">
        <v>258</v>
      </c>
      <c r="B676" t="s">
        <v>520</v>
      </c>
      <c r="C676" t="s">
        <v>3276</v>
      </c>
      <c r="D676" t="str">
        <f>VLOOKUP(YouTube_University_Data_Final[[#This Row],[Title]],[1]!YouTube_University_Data_Final[[Title]:[Title_language]],2,FALSE)</f>
        <v>English</v>
      </c>
      <c r="E676" t="s">
        <v>684</v>
      </c>
      <c r="F676">
        <v>27</v>
      </c>
      <c r="G676" s="1">
        <v>44119</v>
      </c>
      <c r="H676">
        <v>2</v>
      </c>
      <c r="I676" t="s">
        <v>522</v>
      </c>
      <c r="J676">
        <v>131</v>
      </c>
      <c r="K676">
        <v>1</v>
      </c>
      <c r="L676">
        <v>0</v>
      </c>
      <c r="M676">
        <v>0</v>
      </c>
      <c r="N676" t="s">
        <v>17</v>
      </c>
      <c r="O676">
        <v>2020</v>
      </c>
      <c r="P676" t="s">
        <v>18</v>
      </c>
    </row>
    <row r="677" spans="1:16" x14ac:dyDescent="0.3">
      <c r="A677">
        <v>259</v>
      </c>
      <c r="B677" t="s">
        <v>520</v>
      </c>
      <c r="C677" t="s">
        <v>685</v>
      </c>
      <c r="D677" t="str">
        <f>VLOOKUP(YouTube_University_Data_Final[[#This Row],[Title]],[1]!YouTube_University_Data_Final[[Title]:[Title_language]],2,FALSE)</f>
        <v>English</v>
      </c>
      <c r="E677" t="s">
        <v>686</v>
      </c>
      <c r="F677">
        <v>27</v>
      </c>
      <c r="G677" s="1">
        <v>44119</v>
      </c>
      <c r="H677">
        <v>34</v>
      </c>
      <c r="I677" t="s">
        <v>522</v>
      </c>
      <c r="J677">
        <v>61</v>
      </c>
      <c r="K677">
        <v>0</v>
      </c>
      <c r="L677">
        <v>0</v>
      </c>
      <c r="M677">
        <v>0</v>
      </c>
      <c r="N677" t="s">
        <v>17</v>
      </c>
      <c r="O677">
        <v>2020</v>
      </c>
      <c r="P677" t="s">
        <v>18</v>
      </c>
    </row>
    <row r="678" spans="1:16" x14ac:dyDescent="0.3">
      <c r="A678">
        <v>260</v>
      </c>
      <c r="B678" t="s">
        <v>520</v>
      </c>
      <c r="C678" t="s">
        <v>687</v>
      </c>
      <c r="D678" t="str">
        <f>VLOOKUP(YouTube_University_Data_Final[[#This Row],[Title]],[1]!YouTube_University_Data_Final[[Title]:[Title_language]],2,FALSE)</f>
        <v>English</v>
      </c>
      <c r="E678" t="s">
        <v>688</v>
      </c>
      <c r="F678">
        <v>27</v>
      </c>
      <c r="G678" s="1">
        <v>44119</v>
      </c>
      <c r="H678">
        <v>117</v>
      </c>
      <c r="I678" t="s">
        <v>522</v>
      </c>
      <c r="J678">
        <v>71</v>
      </c>
      <c r="K678">
        <v>2</v>
      </c>
      <c r="L678">
        <v>0</v>
      </c>
      <c r="M678">
        <v>0</v>
      </c>
      <c r="N678" t="s">
        <v>17</v>
      </c>
      <c r="O678">
        <v>2020</v>
      </c>
      <c r="P678" t="s">
        <v>18</v>
      </c>
    </row>
    <row r="679" spans="1:16" x14ac:dyDescent="0.3">
      <c r="A679">
        <v>261</v>
      </c>
      <c r="B679" t="s">
        <v>520</v>
      </c>
      <c r="C679" t="s">
        <v>689</v>
      </c>
      <c r="D679" t="str">
        <f>VLOOKUP(YouTube_University_Data_Final[[#This Row],[Title]],[1]!YouTube_University_Data_Final[[Title]:[Title_language]],2,FALSE)</f>
        <v>English</v>
      </c>
      <c r="E679" t="s">
        <v>690</v>
      </c>
      <c r="F679">
        <v>27</v>
      </c>
      <c r="G679" s="1">
        <v>44119</v>
      </c>
      <c r="H679">
        <v>113</v>
      </c>
      <c r="I679" t="s">
        <v>522</v>
      </c>
      <c r="J679">
        <v>401</v>
      </c>
      <c r="K679">
        <v>6</v>
      </c>
      <c r="L679">
        <v>0</v>
      </c>
      <c r="M679">
        <v>0</v>
      </c>
      <c r="N679" t="s">
        <v>17</v>
      </c>
      <c r="O679">
        <v>2020</v>
      </c>
      <c r="P679" t="s">
        <v>18</v>
      </c>
    </row>
    <row r="680" spans="1:16" x14ac:dyDescent="0.3">
      <c r="A680">
        <v>262</v>
      </c>
      <c r="B680" t="s">
        <v>520</v>
      </c>
      <c r="C680" t="s">
        <v>691</v>
      </c>
      <c r="D680" t="str">
        <f>VLOOKUP(YouTube_University_Data_Final[[#This Row],[Title]],[1]!YouTube_University_Data_Final[[Title]:[Title_language]],2,FALSE)</f>
        <v>English</v>
      </c>
      <c r="E680" t="s">
        <v>2944</v>
      </c>
      <c r="F680">
        <v>27</v>
      </c>
      <c r="G680" s="1">
        <v>44119</v>
      </c>
      <c r="H680">
        <v>233</v>
      </c>
      <c r="I680" t="s">
        <v>522</v>
      </c>
      <c r="J680">
        <v>442</v>
      </c>
      <c r="K680">
        <v>3</v>
      </c>
      <c r="L680">
        <v>0</v>
      </c>
      <c r="M680">
        <v>0</v>
      </c>
      <c r="N680" t="s">
        <v>17</v>
      </c>
      <c r="O680">
        <v>2020</v>
      </c>
      <c r="P680" t="s">
        <v>18</v>
      </c>
    </row>
    <row r="681" spans="1:16" x14ac:dyDescent="0.3">
      <c r="A681">
        <v>263</v>
      </c>
      <c r="B681" t="s">
        <v>520</v>
      </c>
      <c r="C681" t="s">
        <v>3277</v>
      </c>
      <c r="D681" t="str">
        <f>VLOOKUP(YouTube_University_Data_Final[[#This Row],[Title]],[1]!YouTube_University_Data_Final[[Title]:[Title_language]],2,FALSE)</f>
        <v>Chinese</v>
      </c>
      <c r="E681" t="s">
        <v>3278</v>
      </c>
      <c r="F681">
        <v>27</v>
      </c>
      <c r="G681" s="1">
        <v>44119</v>
      </c>
      <c r="H681">
        <v>139</v>
      </c>
      <c r="I681" t="s">
        <v>522</v>
      </c>
      <c r="J681">
        <v>39915</v>
      </c>
      <c r="K681">
        <v>22</v>
      </c>
      <c r="L681">
        <v>0</v>
      </c>
      <c r="M681">
        <v>0</v>
      </c>
      <c r="N681" t="s">
        <v>17</v>
      </c>
      <c r="O681">
        <v>2020</v>
      </c>
      <c r="P681" t="s">
        <v>18</v>
      </c>
    </row>
    <row r="682" spans="1:16" x14ac:dyDescent="0.3">
      <c r="A682">
        <v>264</v>
      </c>
      <c r="B682" t="s">
        <v>520</v>
      </c>
      <c r="C682" t="s">
        <v>692</v>
      </c>
      <c r="D682" t="str">
        <f>VLOOKUP(YouTube_University_Data_Final[[#This Row],[Title]],[1]!YouTube_University_Data_Final[[Title]:[Title_language]],2,FALSE)</f>
        <v>English</v>
      </c>
      <c r="E682" t="s">
        <v>693</v>
      </c>
      <c r="F682">
        <v>27</v>
      </c>
      <c r="G682" s="1">
        <v>44118</v>
      </c>
      <c r="H682">
        <v>48</v>
      </c>
      <c r="I682" t="s">
        <v>522</v>
      </c>
      <c r="J682">
        <v>111</v>
      </c>
      <c r="K682">
        <v>1</v>
      </c>
      <c r="L682">
        <v>0</v>
      </c>
      <c r="M682">
        <v>0</v>
      </c>
      <c r="N682" t="s">
        <v>17</v>
      </c>
      <c r="O682">
        <v>2020</v>
      </c>
      <c r="P682" t="s">
        <v>18</v>
      </c>
    </row>
    <row r="683" spans="1:16" x14ac:dyDescent="0.3">
      <c r="A683">
        <v>265</v>
      </c>
      <c r="B683" t="s">
        <v>520</v>
      </c>
      <c r="C683" t="s">
        <v>694</v>
      </c>
      <c r="D683" t="str">
        <f>VLOOKUP(YouTube_University_Data_Final[[#This Row],[Title]],[1]!YouTube_University_Data_Final[[Title]:[Title_language]],2,FALSE)</f>
        <v>English</v>
      </c>
      <c r="E683" t="s">
        <v>2944</v>
      </c>
      <c r="F683">
        <v>27</v>
      </c>
      <c r="G683" s="1">
        <v>44118</v>
      </c>
      <c r="H683">
        <v>39</v>
      </c>
      <c r="I683" t="s">
        <v>522</v>
      </c>
      <c r="J683">
        <v>141</v>
      </c>
      <c r="K683">
        <v>4</v>
      </c>
      <c r="L683">
        <v>0</v>
      </c>
      <c r="M683">
        <v>0</v>
      </c>
      <c r="N683" t="s">
        <v>17</v>
      </c>
      <c r="O683">
        <v>2020</v>
      </c>
      <c r="P683" t="s">
        <v>18</v>
      </c>
    </row>
    <row r="684" spans="1:16" x14ac:dyDescent="0.3">
      <c r="A684">
        <v>266</v>
      </c>
      <c r="B684" t="s">
        <v>520</v>
      </c>
      <c r="C684" t="s">
        <v>695</v>
      </c>
      <c r="D684" t="str">
        <f>VLOOKUP(YouTube_University_Data_Final[[#This Row],[Title]],[1]!YouTube_University_Data_Final[[Title]:[Title_language]],2,FALSE)</f>
        <v>English</v>
      </c>
      <c r="E684" t="s">
        <v>696</v>
      </c>
      <c r="F684">
        <v>27</v>
      </c>
      <c r="G684" s="1">
        <v>44118</v>
      </c>
      <c r="H684">
        <v>181</v>
      </c>
      <c r="I684" t="s">
        <v>522</v>
      </c>
      <c r="J684">
        <v>321</v>
      </c>
      <c r="K684">
        <v>4</v>
      </c>
      <c r="L684">
        <v>0</v>
      </c>
      <c r="M684">
        <v>0</v>
      </c>
      <c r="N684" t="s">
        <v>17</v>
      </c>
      <c r="O684">
        <v>2020</v>
      </c>
      <c r="P684" t="s">
        <v>18</v>
      </c>
    </row>
    <row r="685" spans="1:16" x14ac:dyDescent="0.3">
      <c r="A685">
        <v>267</v>
      </c>
      <c r="B685" t="s">
        <v>520</v>
      </c>
      <c r="C685" t="s">
        <v>697</v>
      </c>
      <c r="D685" t="str">
        <f>VLOOKUP(YouTube_University_Data_Final[[#This Row],[Title]],[1]!YouTube_University_Data_Final[[Title]:[Title_language]],2,FALSE)</f>
        <v>English</v>
      </c>
      <c r="E685" t="s">
        <v>3279</v>
      </c>
      <c r="F685">
        <v>27</v>
      </c>
      <c r="G685" s="1">
        <v>44116</v>
      </c>
      <c r="H685">
        <v>127</v>
      </c>
      <c r="I685" t="s">
        <v>522</v>
      </c>
      <c r="J685">
        <v>168</v>
      </c>
      <c r="K685">
        <v>2</v>
      </c>
      <c r="L685">
        <v>0</v>
      </c>
      <c r="M685">
        <v>0</v>
      </c>
      <c r="N685" t="s">
        <v>17</v>
      </c>
      <c r="O685">
        <v>2020</v>
      </c>
      <c r="P685" t="s">
        <v>18</v>
      </c>
    </row>
    <row r="686" spans="1:16" x14ac:dyDescent="0.3">
      <c r="A686">
        <v>268</v>
      </c>
      <c r="B686" t="s">
        <v>520</v>
      </c>
      <c r="C686" t="s">
        <v>698</v>
      </c>
      <c r="D686" t="str">
        <f>VLOOKUP(YouTube_University_Data_Final[[#This Row],[Title]],[1]!YouTube_University_Data_Final[[Title]:[Title_language]],2,FALSE)</f>
        <v>English</v>
      </c>
      <c r="E686" t="s">
        <v>3280</v>
      </c>
      <c r="F686">
        <v>27</v>
      </c>
      <c r="G686" s="1">
        <v>44116</v>
      </c>
      <c r="H686">
        <v>181</v>
      </c>
      <c r="I686" t="s">
        <v>522</v>
      </c>
      <c r="J686">
        <v>251</v>
      </c>
      <c r="K686">
        <v>7</v>
      </c>
      <c r="L686">
        <v>0</v>
      </c>
      <c r="M686">
        <v>0</v>
      </c>
      <c r="N686" t="s">
        <v>17</v>
      </c>
      <c r="O686">
        <v>2020</v>
      </c>
      <c r="P686" t="s">
        <v>18</v>
      </c>
    </row>
    <row r="687" spans="1:16" x14ac:dyDescent="0.3">
      <c r="A687">
        <v>269</v>
      </c>
      <c r="B687" t="s">
        <v>520</v>
      </c>
      <c r="C687" t="s">
        <v>699</v>
      </c>
      <c r="D687" t="str">
        <f>VLOOKUP(YouTube_University_Data_Final[[#This Row],[Title]],[1]!YouTube_University_Data_Final[[Title]:[Title_language]],2,FALSE)</f>
        <v>English</v>
      </c>
      <c r="E687" t="s">
        <v>699</v>
      </c>
      <c r="F687">
        <v>27</v>
      </c>
      <c r="G687" s="1">
        <v>44116</v>
      </c>
      <c r="H687">
        <v>52</v>
      </c>
      <c r="I687" t="s">
        <v>522</v>
      </c>
      <c r="J687">
        <v>1419</v>
      </c>
      <c r="K687">
        <v>3</v>
      </c>
      <c r="L687">
        <v>0</v>
      </c>
      <c r="M687">
        <v>0</v>
      </c>
      <c r="N687" t="s">
        <v>17</v>
      </c>
      <c r="O687">
        <v>2020</v>
      </c>
      <c r="P687" t="s">
        <v>18</v>
      </c>
    </row>
    <row r="688" spans="1:16" x14ac:dyDescent="0.3">
      <c r="A688">
        <v>270</v>
      </c>
      <c r="B688" t="s">
        <v>520</v>
      </c>
      <c r="C688" t="s">
        <v>700</v>
      </c>
      <c r="D688" t="str">
        <f>VLOOKUP(YouTube_University_Data_Final[[#This Row],[Title]],[1]!YouTube_University_Data_Final[[Title]:[Title_language]],2,FALSE)</f>
        <v>English</v>
      </c>
      <c r="E688" t="s">
        <v>701</v>
      </c>
      <c r="F688">
        <v>27</v>
      </c>
      <c r="G688" s="1">
        <v>44116</v>
      </c>
      <c r="H688">
        <v>86</v>
      </c>
      <c r="I688" t="s">
        <v>522</v>
      </c>
      <c r="J688">
        <v>27</v>
      </c>
      <c r="K688">
        <v>0</v>
      </c>
      <c r="L688">
        <v>0</v>
      </c>
      <c r="M688">
        <v>0</v>
      </c>
      <c r="N688" t="s">
        <v>17</v>
      </c>
      <c r="O688">
        <v>2020</v>
      </c>
      <c r="P688" t="s">
        <v>18</v>
      </c>
    </row>
    <row r="689" spans="1:16" x14ac:dyDescent="0.3">
      <c r="A689">
        <v>271</v>
      </c>
      <c r="B689" t="s">
        <v>520</v>
      </c>
      <c r="C689" t="s">
        <v>702</v>
      </c>
      <c r="D689" t="str">
        <f>VLOOKUP(YouTube_University_Data_Final[[#This Row],[Title]],[1]!YouTube_University_Data_Final[[Title]:[Title_language]],2,FALSE)</f>
        <v>English</v>
      </c>
      <c r="E689" t="s">
        <v>703</v>
      </c>
      <c r="F689">
        <v>27</v>
      </c>
      <c r="G689" s="1">
        <v>44116</v>
      </c>
      <c r="H689">
        <v>31</v>
      </c>
      <c r="I689" t="s">
        <v>522</v>
      </c>
      <c r="J689">
        <v>113</v>
      </c>
      <c r="K689">
        <v>0</v>
      </c>
      <c r="L689">
        <v>0</v>
      </c>
      <c r="M689">
        <v>0</v>
      </c>
      <c r="N689" t="s">
        <v>17</v>
      </c>
      <c r="O689">
        <v>2020</v>
      </c>
      <c r="P689" t="s">
        <v>18</v>
      </c>
    </row>
    <row r="690" spans="1:16" x14ac:dyDescent="0.3">
      <c r="A690">
        <v>272</v>
      </c>
      <c r="B690" t="s">
        <v>520</v>
      </c>
      <c r="C690" t="s">
        <v>704</v>
      </c>
      <c r="D690" t="str">
        <f>VLOOKUP(YouTube_University_Data_Final[[#This Row],[Title]],[1]!YouTube_University_Data_Final[[Title]:[Title_language]],2,FALSE)</f>
        <v>English</v>
      </c>
      <c r="E690" t="s">
        <v>705</v>
      </c>
      <c r="F690">
        <v>27</v>
      </c>
      <c r="G690" s="1">
        <v>44116</v>
      </c>
      <c r="H690">
        <v>2</v>
      </c>
      <c r="I690" t="s">
        <v>522</v>
      </c>
      <c r="J690">
        <v>53</v>
      </c>
      <c r="K690">
        <v>0</v>
      </c>
      <c r="L690">
        <v>0</v>
      </c>
      <c r="M690">
        <v>0</v>
      </c>
      <c r="N690" t="s">
        <v>17</v>
      </c>
      <c r="O690">
        <v>2020</v>
      </c>
      <c r="P690" t="s">
        <v>18</v>
      </c>
    </row>
    <row r="691" spans="1:16" x14ac:dyDescent="0.3">
      <c r="A691">
        <v>273</v>
      </c>
      <c r="B691" t="s">
        <v>520</v>
      </c>
      <c r="C691" t="s">
        <v>706</v>
      </c>
      <c r="D691" t="str">
        <f>VLOOKUP(YouTube_University_Data_Final[[#This Row],[Title]],[1]!YouTube_University_Data_Final[[Title]:[Title_language]],2,FALSE)</f>
        <v>English</v>
      </c>
      <c r="E691" t="s">
        <v>2944</v>
      </c>
      <c r="F691">
        <v>27</v>
      </c>
      <c r="G691" s="1">
        <v>44116</v>
      </c>
      <c r="H691">
        <v>65</v>
      </c>
      <c r="I691" t="s">
        <v>522</v>
      </c>
      <c r="J691">
        <v>18</v>
      </c>
      <c r="K691">
        <v>0</v>
      </c>
      <c r="L691">
        <v>0</v>
      </c>
      <c r="M691">
        <v>0</v>
      </c>
      <c r="N691" t="s">
        <v>17</v>
      </c>
      <c r="O691">
        <v>2020</v>
      </c>
      <c r="P691" t="s">
        <v>18</v>
      </c>
    </row>
    <row r="692" spans="1:16" x14ac:dyDescent="0.3">
      <c r="A692">
        <v>274</v>
      </c>
      <c r="B692" t="s">
        <v>520</v>
      </c>
      <c r="C692" t="s">
        <v>707</v>
      </c>
      <c r="D692" t="str">
        <f>VLOOKUP(YouTube_University_Data_Final[[#This Row],[Title]],[1]!YouTube_University_Data_Final[[Title]:[Title_language]],2,FALSE)</f>
        <v>English</v>
      </c>
      <c r="E692" t="s">
        <v>2944</v>
      </c>
      <c r="F692">
        <v>27</v>
      </c>
      <c r="G692" s="1">
        <v>44116</v>
      </c>
      <c r="H692">
        <v>53</v>
      </c>
      <c r="I692" t="s">
        <v>522</v>
      </c>
      <c r="J692">
        <v>8</v>
      </c>
      <c r="K692">
        <v>0</v>
      </c>
      <c r="L692">
        <v>0</v>
      </c>
      <c r="M692">
        <v>0</v>
      </c>
      <c r="N692" t="s">
        <v>17</v>
      </c>
      <c r="O692">
        <v>2020</v>
      </c>
      <c r="P692" t="s">
        <v>18</v>
      </c>
    </row>
    <row r="693" spans="1:16" x14ac:dyDescent="0.3">
      <c r="A693">
        <v>275</v>
      </c>
      <c r="B693" t="s">
        <v>520</v>
      </c>
      <c r="C693" t="s">
        <v>708</v>
      </c>
      <c r="D693" t="str">
        <f>VLOOKUP(YouTube_University_Data_Final[[#This Row],[Title]],[1]!YouTube_University_Data_Final[[Title]:[Title_language]],2,FALSE)</f>
        <v>English</v>
      </c>
      <c r="E693" t="s">
        <v>2944</v>
      </c>
      <c r="F693">
        <v>27</v>
      </c>
      <c r="G693" s="1">
        <v>44116</v>
      </c>
      <c r="H693">
        <v>92</v>
      </c>
      <c r="I693" t="s">
        <v>522</v>
      </c>
      <c r="J693">
        <v>34</v>
      </c>
      <c r="K693">
        <v>1</v>
      </c>
      <c r="L693">
        <v>0</v>
      </c>
      <c r="M693">
        <v>0</v>
      </c>
      <c r="N693" t="s">
        <v>17</v>
      </c>
      <c r="O693">
        <v>2020</v>
      </c>
      <c r="P693" t="s">
        <v>18</v>
      </c>
    </row>
    <row r="694" spans="1:16" x14ac:dyDescent="0.3">
      <c r="A694">
        <v>276</v>
      </c>
      <c r="B694" t="s">
        <v>520</v>
      </c>
      <c r="C694" t="s">
        <v>709</v>
      </c>
      <c r="D694" t="str">
        <f>VLOOKUP(YouTube_University_Data_Final[[#This Row],[Title]],[1]!YouTube_University_Data_Final[[Title]:[Title_language]],2,FALSE)</f>
        <v>English</v>
      </c>
      <c r="E694" t="s">
        <v>710</v>
      </c>
      <c r="F694">
        <v>27</v>
      </c>
      <c r="G694" s="1">
        <v>44116</v>
      </c>
      <c r="H694">
        <v>86</v>
      </c>
      <c r="I694" t="s">
        <v>522</v>
      </c>
      <c r="J694">
        <v>27</v>
      </c>
      <c r="K694">
        <v>0</v>
      </c>
      <c r="L694">
        <v>0</v>
      </c>
      <c r="M694">
        <v>0</v>
      </c>
      <c r="N694" t="s">
        <v>17</v>
      </c>
      <c r="O694">
        <v>2020</v>
      </c>
      <c r="P694" t="s">
        <v>18</v>
      </c>
    </row>
    <row r="695" spans="1:16" x14ac:dyDescent="0.3">
      <c r="A695">
        <v>277</v>
      </c>
      <c r="B695" t="s">
        <v>520</v>
      </c>
      <c r="C695" t="s">
        <v>711</v>
      </c>
      <c r="D695" t="str">
        <f>VLOOKUP(YouTube_University_Data_Final[[#This Row],[Title]],[1]!YouTube_University_Data_Final[[Title]:[Title_language]],2,FALSE)</f>
        <v>English</v>
      </c>
      <c r="E695" t="s">
        <v>2944</v>
      </c>
      <c r="F695">
        <v>27</v>
      </c>
      <c r="G695" s="1">
        <v>44116</v>
      </c>
      <c r="H695">
        <v>103</v>
      </c>
      <c r="I695" t="s">
        <v>522</v>
      </c>
      <c r="J695">
        <v>45</v>
      </c>
      <c r="K695">
        <v>0</v>
      </c>
      <c r="L695">
        <v>0</v>
      </c>
      <c r="M695">
        <v>0</v>
      </c>
      <c r="N695" t="s">
        <v>17</v>
      </c>
      <c r="O695">
        <v>2020</v>
      </c>
      <c r="P695" t="s">
        <v>18</v>
      </c>
    </row>
    <row r="696" spans="1:16" x14ac:dyDescent="0.3">
      <c r="A696">
        <v>278</v>
      </c>
      <c r="B696" t="s">
        <v>520</v>
      </c>
      <c r="C696" t="s">
        <v>712</v>
      </c>
      <c r="D696" t="str">
        <f>VLOOKUP(YouTube_University_Data_Final[[#This Row],[Title]],[1]!YouTube_University_Data_Final[[Title]:[Title_language]],2,FALSE)</f>
        <v>English</v>
      </c>
      <c r="E696" t="s">
        <v>713</v>
      </c>
      <c r="F696">
        <v>27</v>
      </c>
      <c r="G696" s="1">
        <v>44113</v>
      </c>
      <c r="H696">
        <v>879</v>
      </c>
      <c r="I696" t="s">
        <v>522</v>
      </c>
      <c r="J696">
        <v>288</v>
      </c>
      <c r="K696">
        <v>2</v>
      </c>
      <c r="L696">
        <v>0</v>
      </c>
      <c r="M696">
        <v>0</v>
      </c>
      <c r="N696" t="s">
        <v>17</v>
      </c>
      <c r="O696">
        <v>2020</v>
      </c>
      <c r="P696" t="s">
        <v>18</v>
      </c>
    </row>
    <row r="697" spans="1:16" x14ac:dyDescent="0.3">
      <c r="A697">
        <v>279</v>
      </c>
      <c r="B697" t="s">
        <v>520</v>
      </c>
      <c r="C697" t="s">
        <v>714</v>
      </c>
      <c r="D697" t="str">
        <f>VLOOKUP(YouTube_University_Data_Final[[#This Row],[Title]],[1]!YouTube_University_Data_Final[[Title]:[Title_language]],2,FALSE)</f>
        <v>English</v>
      </c>
      <c r="E697" t="s">
        <v>715</v>
      </c>
      <c r="F697">
        <v>27</v>
      </c>
      <c r="G697" s="1">
        <v>44113</v>
      </c>
      <c r="H697">
        <v>1927</v>
      </c>
      <c r="I697" t="s">
        <v>522</v>
      </c>
      <c r="J697">
        <v>152</v>
      </c>
      <c r="K697">
        <v>1</v>
      </c>
      <c r="L697">
        <v>0</v>
      </c>
      <c r="M697">
        <v>0</v>
      </c>
      <c r="N697" t="s">
        <v>17</v>
      </c>
      <c r="O697">
        <v>2020</v>
      </c>
      <c r="P697" t="s">
        <v>18</v>
      </c>
    </row>
    <row r="698" spans="1:16" x14ac:dyDescent="0.3">
      <c r="A698">
        <v>280</v>
      </c>
      <c r="B698" t="s">
        <v>520</v>
      </c>
      <c r="C698" t="s">
        <v>716</v>
      </c>
      <c r="D698" t="str">
        <f>VLOOKUP(YouTube_University_Data_Final[[#This Row],[Title]],[1]!YouTube_University_Data_Final[[Title]:[Title_language]],2,FALSE)</f>
        <v>English</v>
      </c>
      <c r="E698" t="s">
        <v>717</v>
      </c>
      <c r="F698">
        <v>27</v>
      </c>
      <c r="G698" s="1">
        <v>44113</v>
      </c>
      <c r="H698">
        <v>1939</v>
      </c>
      <c r="I698" t="s">
        <v>522</v>
      </c>
      <c r="J698">
        <v>63</v>
      </c>
      <c r="K698">
        <v>0</v>
      </c>
      <c r="L698">
        <v>0</v>
      </c>
      <c r="M698">
        <v>0</v>
      </c>
      <c r="N698" t="s">
        <v>17</v>
      </c>
      <c r="O698">
        <v>2020</v>
      </c>
      <c r="P698" t="s">
        <v>18</v>
      </c>
    </row>
    <row r="699" spans="1:16" x14ac:dyDescent="0.3">
      <c r="A699">
        <v>281</v>
      </c>
      <c r="B699" t="s">
        <v>520</v>
      </c>
      <c r="C699" t="s">
        <v>718</v>
      </c>
      <c r="D699" t="str">
        <f>VLOOKUP(YouTube_University_Data_Final[[#This Row],[Title]],[1]!YouTube_University_Data_Final[[Title]:[Title_language]],2,FALSE)</f>
        <v>English</v>
      </c>
      <c r="E699" t="s">
        <v>719</v>
      </c>
      <c r="F699">
        <v>27</v>
      </c>
      <c r="G699" s="1">
        <v>44113</v>
      </c>
      <c r="H699">
        <v>1979</v>
      </c>
      <c r="I699" t="s">
        <v>522</v>
      </c>
      <c r="J699">
        <v>527</v>
      </c>
      <c r="K699">
        <v>8</v>
      </c>
      <c r="L699">
        <v>0</v>
      </c>
      <c r="M699">
        <v>0</v>
      </c>
      <c r="N699" t="s">
        <v>17</v>
      </c>
      <c r="O699">
        <v>2020</v>
      </c>
      <c r="P699" t="s">
        <v>18</v>
      </c>
    </row>
    <row r="700" spans="1:16" x14ac:dyDescent="0.3">
      <c r="A700">
        <v>282</v>
      </c>
      <c r="B700" t="s">
        <v>520</v>
      </c>
      <c r="C700" t="s">
        <v>720</v>
      </c>
      <c r="D700" t="str">
        <f>VLOOKUP(YouTube_University_Data_Final[[#This Row],[Title]],[1]!YouTube_University_Data_Final[[Title]:[Title_language]],2,FALSE)</f>
        <v>English</v>
      </c>
      <c r="E700" t="s">
        <v>721</v>
      </c>
      <c r="F700">
        <v>27</v>
      </c>
      <c r="G700" s="1">
        <v>44113</v>
      </c>
      <c r="H700">
        <v>1920</v>
      </c>
      <c r="I700" t="s">
        <v>522</v>
      </c>
      <c r="J700">
        <v>65</v>
      </c>
      <c r="K700">
        <v>2</v>
      </c>
      <c r="L700">
        <v>0</v>
      </c>
      <c r="M700">
        <v>0</v>
      </c>
      <c r="N700" t="s">
        <v>17</v>
      </c>
      <c r="O700">
        <v>2020</v>
      </c>
      <c r="P700" t="s">
        <v>18</v>
      </c>
    </row>
    <row r="701" spans="1:16" x14ac:dyDescent="0.3">
      <c r="A701">
        <v>283</v>
      </c>
      <c r="B701" t="s">
        <v>520</v>
      </c>
      <c r="C701" t="s">
        <v>722</v>
      </c>
      <c r="D701" t="str">
        <f>VLOOKUP(YouTube_University_Data_Final[[#This Row],[Title]],[1]!YouTube_University_Data_Final[[Title]:[Title_language]],2,FALSE)</f>
        <v>English</v>
      </c>
      <c r="E701" t="s">
        <v>723</v>
      </c>
      <c r="F701">
        <v>27</v>
      </c>
      <c r="G701" s="1">
        <v>44113</v>
      </c>
      <c r="H701">
        <v>1868</v>
      </c>
      <c r="I701" t="s">
        <v>522</v>
      </c>
      <c r="J701">
        <v>214</v>
      </c>
      <c r="K701">
        <v>3</v>
      </c>
      <c r="L701">
        <v>0</v>
      </c>
      <c r="M701">
        <v>0</v>
      </c>
      <c r="N701" t="s">
        <v>17</v>
      </c>
      <c r="O701">
        <v>2020</v>
      </c>
      <c r="P701" t="s">
        <v>18</v>
      </c>
    </row>
    <row r="702" spans="1:16" x14ac:dyDescent="0.3">
      <c r="A702">
        <v>284</v>
      </c>
      <c r="B702" t="s">
        <v>520</v>
      </c>
      <c r="C702" t="s">
        <v>724</v>
      </c>
      <c r="D702" t="str">
        <f>VLOOKUP(YouTube_University_Data_Final[[#This Row],[Title]],[1]!YouTube_University_Data_Final[[Title]:[Title_language]],2,FALSE)</f>
        <v>English</v>
      </c>
      <c r="E702" t="s">
        <v>725</v>
      </c>
      <c r="F702">
        <v>27</v>
      </c>
      <c r="G702" s="1">
        <v>44113</v>
      </c>
      <c r="H702">
        <v>2002</v>
      </c>
      <c r="I702" t="s">
        <v>522</v>
      </c>
      <c r="J702">
        <v>394</v>
      </c>
      <c r="K702">
        <v>4</v>
      </c>
      <c r="L702">
        <v>0</v>
      </c>
      <c r="M702">
        <v>0</v>
      </c>
      <c r="N702" t="s">
        <v>17</v>
      </c>
      <c r="O702">
        <v>2020</v>
      </c>
      <c r="P702" t="s">
        <v>18</v>
      </c>
    </row>
    <row r="703" spans="1:16" x14ac:dyDescent="0.3">
      <c r="A703">
        <v>285</v>
      </c>
      <c r="B703" t="s">
        <v>520</v>
      </c>
      <c r="C703" t="s">
        <v>726</v>
      </c>
      <c r="D703" t="str">
        <f>VLOOKUP(YouTube_University_Data_Final[[#This Row],[Title]],[1]!YouTube_University_Data_Final[[Title]:[Title_language]],2,FALSE)</f>
        <v>English</v>
      </c>
      <c r="E703" t="s">
        <v>727</v>
      </c>
      <c r="F703">
        <v>27</v>
      </c>
      <c r="G703" s="1">
        <v>44113</v>
      </c>
      <c r="H703">
        <v>1689</v>
      </c>
      <c r="I703" t="s">
        <v>522</v>
      </c>
      <c r="J703">
        <v>118</v>
      </c>
      <c r="K703">
        <v>1</v>
      </c>
      <c r="L703">
        <v>0</v>
      </c>
      <c r="M703">
        <v>0</v>
      </c>
      <c r="N703" t="s">
        <v>17</v>
      </c>
      <c r="O703">
        <v>2020</v>
      </c>
      <c r="P703" t="s">
        <v>18</v>
      </c>
    </row>
    <row r="704" spans="1:16" x14ac:dyDescent="0.3">
      <c r="A704">
        <v>286</v>
      </c>
      <c r="B704" t="s">
        <v>520</v>
      </c>
      <c r="C704" t="s">
        <v>728</v>
      </c>
      <c r="D704" t="str">
        <f>VLOOKUP(YouTube_University_Data_Final[[#This Row],[Title]],[1]!YouTube_University_Data_Final[[Title]:[Title_language]],2,FALSE)</f>
        <v>English</v>
      </c>
      <c r="E704" t="s">
        <v>729</v>
      </c>
      <c r="F704">
        <v>27</v>
      </c>
      <c r="G704" s="1">
        <v>44113</v>
      </c>
      <c r="H704">
        <v>1621</v>
      </c>
      <c r="I704" t="s">
        <v>522</v>
      </c>
      <c r="J704">
        <v>294</v>
      </c>
      <c r="K704">
        <v>2</v>
      </c>
      <c r="L704">
        <v>0</v>
      </c>
      <c r="M704">
        <v>0</v>
      </c>
      <c r="N704" t="s">
        <v>17</v>
      </c>
      <c r="O704">
        <v>2020</v>
      </c>
      <c r="P704" t="s">
        <v>18</v>
      </c>
    </row>
    <row r="705" spans="1:16" x14ac:dyDescent="0.3">
      <c r="A705">
        <v>287</v>
      </c>
      <c r="B705" t="s">
        <v>520</v>
      </c>
      <c r="C705" t="s">
        <v>3281</v>
      </c>
      <c r="D705" t="str">
        <f>VLOOKUP(YouTube_University_Data_Final[[#This Row],[Title]],[1]!YouTube_University_Data_Final[[Title]:[Title_language]],2,FALSE)</f>
        <v>Bilingual</v>
      </c>
      <c r="E705" t="s">
        <v>3282</v>
      </c>
      <c r="F705">
        <v>27</v>
      </c>
      <c r="G705" s="1">
        <v>44113</v>
      </c>
      <c r="H705">
        <v>57</v>
      </c>
      <c r="I705" t="s">
        <v>522</v>
      </c>
      <c r="J705">
        <v>32</v>
      </c>
      <c r="K705">
        <v>1</v>
      </c>
      <c r="L705">
        <v>0</v>
      </c>
      <c r="M705">
        <v>0</v>
      </c>
      <c r="N705" t="s">
        <v>17</v>
      </c>
      <c r="O705">
        <v>2020</v>
      </c>
      <c r="P705" t="s">
        <v>18</v>
      </c>
    </row>
    <row r="706" spans="1:16" x14ac:dyDescent="0.3">
      <c r="A706">
        <v>288</v>
      </c>
      <c r="B706" t="s">
        <v>520</v>
      </c>
      <c r="C706" t="s">
        <v>730</v>
      </c>
      <c r="D706" t="str">
        <f>VLOOKUP(YouTube_University_Data_Final[[#This Row],[Title]],[1]!YouTube_University_Data_Final[[Title]:[Title_language]],2,FALSE)</f>
        <v>English</v>
      </c>
      <c r="E706" t="s">
        <v>2944</v>
      </c>
      <c r="F706">
        <v>27</v>
      </c>
      <c r="G706" s="1">
        <v>44112</v>
      </c>
      <c r="H706">
        <v>66</v>
      </c>
      <c r="I706" t="s">
        <v>522</v>
      </c>
      <c r="J706">
        <v>61</v>
      </c>
      <c r="K706">
        <v>1</v>
      </c>
      <c r="L706">
        <v>0</v>
      </c>
      <c r="M706">
        <v>0</v>
      </c>
      <c r="N706" t="s">
        <v>17</v>
      </c>
      <c r="O706">
        <v>2020</v>
      </c>
      <c r="P706" t="s">
        <v>18</v>
      </c>
    </row>
    <row r="707" spans="1:16" x14ac:dyDescent="0.3">
      <c r="A707">
        <v>289</v>
      </c>
      <c r="B707" t="s">
        <v>520</v>
      </c>
      <c r="C707" t="s">
        <v>731</v>
      </c>
      <c r="D707" t="str">
        <f>VLOOKUP(YouTube_University_Data_Final[[#This Row],[Title]],[1]!YouTube_University_Data_Final[[Title]:[Title_language]],2,FALSE)</f>
        <v>English</v>
      </c>
      <c r="E707" t="s">
        <v>732</v>
      </c>
      <c r="F707">
        <v>27</v>
      </c>
      <c r="G707" s="1">
        <v>44112</v>
      </c>
      <c r="H707">
        <v>25</v>
      </c>
      <c r="I707" t="s">
        <v>522</v>
      </c>
      <c r="J707">
        <v>124</v>
      </c>
      <c r="K707">
        <v>0</v>
      </c>
      <c r="L707">
        <v>0</v>
      </c>
      <c r="M707">
        <v>0</v>
      </c>
      <c r="N707" t="s">
        <v>17</v>
      </c>
      <c r="O707">
        <v>2020</v>
      </c>
      <c r="P707" t="s">
        <v>18</v>
      </c>
    </row>
    <row r="708" spans="1:16" x14ac:dyDescent="0.3">
      <c r="A708">
        <v>290</v>
      </c>
      <c r="B708" t="s">
        <v>520</v>
      </c>
      <c r="C708" t="s">
        <v>733</v>
      </c>
      <c r="D708" t="str">
        <f>VLOOKUP(YouTube_University_Data_Final[[#This Row],[Title]],[1]!YouTube_University_Data_Final[[Title]:[Title_language]],2,FALSE)</f>
        <v>English</v>
      </c>
      <c r="E708" t="s">
        <v>3283</v>
      </c>
      <c r="F708">
        <v>27</v>
      </c>
      <c r="G708" s="1">
        <v>44112</v>
      </c>
      <c r="H708">
        <v>79</v>
      </c>
      <c r="I708" t="s">
        <v>522</v>
      </c>
      <c r="J708">
        <v>331</v>
      </c>
      <c r="K708">
        <v>3</v>
      </c>
      <c r="L708">
        <v>0</v>
      </c>
      <c r="M708">
        <v>0</v>
      </c>
      <c r="N708" t="s">
        <v>17</v>
      </c>
      <c r="O708">
        <v>2020</v>
      </c>
      <c r="P708" t="s">
        <v>18</v>
      </c>
    </row>
    <row r="709" spans="1:16" x14ac:dyDescent="0.3">
      <c r="A709">
        <v>291</v>
      </c>
      <c r="B709" t="s">
        <v>520</v>
      </c>
      <c r="C709" t="s">
        <v>734</v>
      </c>
      <c r="D709" t="str">
        <f>VLOOKUP(YouTube_University_Data_Final[[#This Row],[Title]],[1]!YouTube_University_Data_Final[[Title]:[Title_language]],2,FALSE)</f>
        <v>English</v>
      </c>
      <c r="E709" t="s">
        <v>735</v>
      </c>
      <c r="F709">
        <v>27</v>
      </c>
      <c r="G709" s="1">
        <v>44112</v>
      </c>
      <c r="H709">
        <v>46</v>
      </c>
      <c r="I709" t="s">
        <v>522</v>
      </c>
      <c r="J709">
        <v>94</v>
      </c>
      <c r="K709">
        <v>1</v>
      </c>
      <c r="L709">
        <v>0</v>
      </c>
      <c r="M709">
        <v>0</v>
      </c>
      <c r="N709" t="s">
        <v>17</v>
      </c>
      <c r="O709">
        <v>2020</v>
      </c>
      <c r="P709" t="s">
        <v>18</v>
      </c>
    </row>
    <row r="710" spans="1:16" x14ac:dyDescent="0.3">
      <c r="A710">
        <v>292</v>
      </c>
      <c r="B710" t="s">
        <v>520</v>
      </c>
      <c r="C710" t="s">
        <v>736</v>
      </c>
      <c r="D710" t="str">
        <f>VLOOKUP(YouTube_University_Data_Final[[#This Row],[Title]],[1]!YouTube_University_Data_Final[[Title]:[Title_language]],2,FALSE)</f>
        <v>English</v>
      </c>
      <c r="E710" t="s">
        <v>737</v>
      </c>
      <c r="F710">
        <v>27</v>
      </c>
      <c r="G710" s="1">
        <v>44112</v>
      </c>
      <c r="H710">
        <v>25</v>
      </c>
      <c r="I710" t="s">
        <v>522</v>
      </c>
      <c r="J710">
        <v>62</v>
      </c>
      <c r="K710">
        <v>0</v>
      </c>
      <c r="L710">
        <v>0</v>
      </c>
      <c r="M710">
        <v>0</v>
      </c>
      <c r="N710" t="s">
        <v>17</v>
      </c>
      <c r="O710">
        <v>2020</v>
      </c>
      <c r="P710" t="s">
        <v>18</v>
      </c>
    </row>
    <row r="711" spans="1:16" x14ac:dyDescent="0.3">
      <c r="A711">
        <v>293</v>
      </c>
      <c r="B711" t="s">
        <v>520</v>
      </c>
      <c r="C711" t="s">
        <v>738</v>
      </c>
      <c r="D711" t="str">
        <f>VLOOKUP(YouTube_University_Data_Final[[#This Row],[Title]],[1]!YouTube_University_Data_Final[[Title]:[Title_language]],2,FALSE)</f>
        <v>English</v>
      </c>
      <c r="E711" t="s">
        <v>2944</v>
      </c>
      <c r="F711">
        <v>27</v>
      </c>
      <c r="G711" s="1">
        <v>44112</v>
      </c>
      <c r="H711">
        <v>76</v>
      </c>
      <c r="I711" t="s">
        <v>522</v>
      </c>
      <c r="J711">
        <v>79</v>
      </c>
      <c r="K711">
        <v>3</v>
      </c>
      <c r="L711">
        <v>0</v>
      </c>
      <c r="M711">
        <v>0</v>
      </c>
      <c r="N711" t="s">
        <v>17</v>
      </c>
      <c r="O711">
        <v>2020</v>
      </c>
      <c r="P711" t="s">
        <v>18</v>
      </c>
    </row>
    <row r="712" spans="1:16" x14ac:dyDescent="0.3">
      <c r="A712">
        <v>294</v>
      </c>
      <c r="B712" t="s">
        <v>520</v>
      </c>
      <c r="C712" t="s">
        <v>739</v>
      </c>
      <c r="D712" t="str">
        <f>VLOOKUP(YouTube_University_Data_Final[[#This Row],[Title]],[1]!YouTube_University_Data_Final[[Title]:[Title_language]],2,FALSE)</f>
        <v>English</v>
      </c>
      <c r="E712" t="s">
        <v>740</v>
      </c>
      <c r="F712">
        <v>27</v>
      </c>
      <c r="G712" s="1">
        <v>44112</v>
      </c>
      <c r="H712">
        <v>316</v>
      </c>
      <c r="I712" t="s">
        <v>522</v>
      </c>
      <c r="J712">
        <v>144</v>
      </c>
      <c r="K712">
        <v>5</v>
      </c>
      <c r="L712">
        <v>0</v>
      </c>
      <c r="M712">
        <v>0</v>
      </c>
      <c r="N712" t="s">
        <v>17</v>
      </c>
      <c r="O712">
        <v>2020</v>
      </c>
      <c r="P712" t="s">
        <v>18</v>
      </c>
    </row>
    <row r="713" spans="1:16" x14ac:dyDescent="0.3">
      <c r="A713">
        <v>295</v>
      </c>
      <c r="B713" t="s">
        <v>520</v>
      </c>
      <c r="C713" t="s">
        <v>741</v>
      </c>
      <c r="D713" t="str">
        <f>VLOOKUP(YouTube_University_Data_Final[[#This Row],[Title]],[1]!YouTube_University_Data_Final[[Title]:[Title_language]],2,FALSE)</f>
        <v>English</v>
      </c>
      <c r="E713" t="s">
        <v>2944</v>
      </c>
      <c r="F713">
        <v>27</v>
      </c>
      <c r="G713" s="1">
        <v>44110</v>
      </c>
      <c r="H713">
        <v>371</v>
      </c>
      <c r="I713" t="s">
        <v>522</v>
      </c>
      <c r="J713">
        <v>594</v>
      </c>
      <c r="K713">
        <v>2</v>
      </c>
      <c r="L713">
        <v>0</v>
      </c>
      <c r="M713">
        <v>0</v>
      </c>
      <c r="N713" t="s">
        <v>17</v>
      </c>
      <c r="O713">
        <v>2020</v>
      </c>
      <c r="P713" t="s">
        <v>18</v>
      </c>
    </row>
    <row r="714" spans="1:16" x14ac:dyDescent="0.3">
      <c r="A714">
        <v>296</v>
      </c>
      <c r="B714" t="s">
        <v>520</v>
      </c>
      <c r="C714" t="s">
        <v>742</v>
      </c>
      <c r="D714" t="str">
        <f>VLOOKUP(YouTube_University_Data_Final[[#This Row],[Title]],[1]!YouTube_University_Data_Final[[Title]:[Title_language]],2,FALSE)</f>
        <v>English</v>
      </c>
      <c r="E714" t="s">
        <v>2944</v>
      </c>
      <c r="F714">
        <v>27</v>
      </c>
      <c r="G714" s="1">
        <v>44081</v>
      </c>
      <c r="H714">
        <v>4078</v>
      </c>
      <c r="I714" t="s">
        <v>522</v>
      </c>
      <c r="J714">
        <v>585</v>
      </c>
      <c r="K714">
        <v>6</v>
      </c>
      <c r="L714">
        <v>0</v>
      </c>
      <c r="M714">
        <v>0</v>
      </c>
      <c r="N714" t="s">
        <v>21</v>
      </c>
      <c r="O714">
        <v>2020</v>
      </c>
      <c r="P714" t="s">
        <v>18</v>
      </c>
    </row>
    <row r="715" spans="1:16" x14ac:dyDescent="0.3">
      <c r="A715">
        <v>297</v>
      </c>
      <c r="B715" t="s">
        <v>520</v>
      </c>
      <c r="C715" t="s">
        <v>743</v>
      </c>
      <c r="D715" t="str">
        <f>VLOOKUP(YouTube_University_Data_Final[[#This Row],[Title]],[1]!YouTube_University_Data_Final[[Title]:[Title_language]],2,FALSE)</f>
        <v>English</v>
      </c>
      <c r="E715" t="s">
        <v>2944</v>
      </c>
      <c r="F715">
        <v>27</v>
      </c>
      <c r="G715" s="1">
        <v>44074</v>
      </c>
      <c r="H715">
        <v>2004</v>
      </c>
      <c r="I715" t="s">
        <v>522</v>
      </c>
      <c r="J715">
        <v>10988</v>
      </c>
      <c r="K715">
        <v>0</v>
      </c>
      <c r="L715">
        <v>0</v>
      </c>
      <c r="M715">
        <v>0</v>
      </c>
      <c r="N715" t="s">
        <v>48</v>
      </c>
      <c r="O715">
        <v>2020</v>
      </c>
      <c r="P715" t="s">
        <v>18</v>
      </c>
    </row>
    <row r="716" spans="1:16" x14ac:dyDescent="0.3">
      <c r="A716">
        <v>298</v>
      </c>
      <c r="B716" t="s">
        <v>520</v>
      </c>
      <c r="C716" t="s">
        <v>3284</v>
      </c>
      <c r="D716" t="str">
        <f>VLOOKUP(YouTube_University_Data_Final[[#This Row],[Title]],[1]!YouTube_University_Data_Final[[Title]:[Title_language]],2,FALSE)</f>
        <v>Chinese</v>
      </c>
      <c r="E716" t="s">
        <v>3285</v>
      </c>
      <c r="F716">
        <v>27</v>
      </c>
      <c r="G716" s="1">
        <v>44033</v>
      </c>
      <c r="H716">
        <v>287</v>
      </c>
      <c r="I716" t="s">
        <v>522</v>
      </c>
      <c r="J716">
        <v>2161</v>
      </c>
      <c r="K716">
        <v>13</v>
      </c>
      <c r="L716">
        <v>0</v>
      </c>
      <c r="M716">
        <v>0</v>
      </c>
      <c r="N716" t="s">
        <v>56</v>
      </c>
      <c r="O716">
        <v>2020</v>
      </c>
      <c r="P716" t="s">
        <v>18</v>
      </c>
    </row>
    <row r="717" spans="1:16" x14ac:dyDescent="0.3">
      <c r="A717">
        <v>299</v>
      </c>
      <c r="B717" t="s">
        <v>520</v>
      </c>
      <c r="C717" t="s">
        <v>3286</v>
      </c>
      <c r="D717" t="str">
        <f>VLOOKUP(YouTube_University_Data_Final[[#This Row],[Title]],[1]!YouTube_University_Data_Final[[Title]:[Title_language]],2,FALSE)</f>
        <v>Chinese</v>
      </c>
      <c r="E717" t="s">
        <v>3287</v>
      </c>
      <c r="F717">
        <v>27</v>
      </c>
      <c r="G717" s="1">
        <v>44032</v>
      </c>
      <c r="H717">
        <v>255</v>
      </c>
      <c r="I717" t="s">
        <v>522</v>
      </c>
      <c r="J717">
        <v>1149</v>
      </c>
      <c r="K717">
        <v>10</v>
      </c>
      <c r="L717">
        <v>0</v>
      </c>
      <c r="M717">
        <v>0</v>
      </c>
      <c r="N717" t="s">
        <v>56</v>
      </c>
      <c r="O717">
        <v>2020</v>
      </c>
      <c r="P717" t="s">
        <v>18</v>
      </c>
    </row>
    <row r="718" spans="1:16" x14ac:dyDescent="0.3">
      <c r="A718">
        <v>300</v>
      </c>
      <c r="B718" t="s">
        <v>520</v>
      </c>
      <c r="C718" t="s">
        <v>3288</v>
      </c>
      <c r="D718" t="str">
        <f>VLOOKUP(YouTube_University_Data_Final[[#This Row],[Title]],[1]!YouTube_University_Data_Final[[Title]:[Title_language]],2,FALSE)</f>
        <v>Chinese</v>
      </c>
      <c r="E718" t="s">
        <v>2944</v>
      </c>
      <c r="F718">
        <v>27</v>
      </c>
      <c r="G718" s="1">
        <v>44031</v>
      </c>
      <c r="H718">
        <v>333</v>
      </c>
      <c r="I718" t="s">
        <v>522</v>
      </c>
      <c r="J718">
        <v>4660</v>
      </c>
      <c r="K718">
        <v>36</v>
      </c>
      <c r="L718">
        <v>0</v>
      </c>
      <c r="M718">
        <v>0</v>
      </c>
      <c r="N718" t="s">
        <v>56</v>
      </c>
      <c r="O718">
        <v>2020</v>
      </c>
      <c r="P718" t="s">
        <v>18</v>
      </c>
    </row>
    <row r="719" spans="1:16" x14ac:dyDescent="0.3">
      <c r="A719">
        <v>301</v>
      </c>
      <c r="B719" t="s">
        <v>520</v>
      </c>
      <c r="C719" t="s">
        <v>744</v>
      </c>
      <c r="D719" t="str">
        <f>VLOOKUP(YouTube_University_Data_Final[[#This Row],[Title]],[1]!YouTube_University_Data_Final[[Title]:[Title_language]],2,FALSE)</f>
        <v>English</v>
      </c>
      <c r="E719" t="s">
        <v>745</v>
      </c>
      <c r="F719">
        <v>27</v>
      </c>
      <c r="G719" s="1">
        <v>44014</v>
      </c>
      <c r="H719">
        <v>773</v>
      </c>
      <c r="I719" t="s">
        <v>746</v>
      </c>
      <c r="J719">
        <v>1703</v>
      </c>
      <c r="K719">
        <v>8</v>
      </c>
      <c r="L719">
        <v>0</v>
      </c>
      <c r="M719">
        <v>0</v>
      </c>
      <c r="N719" t="s">
        <v>56</v>
      </c>
      <c r="O719">
        <v>2020</v>
      </c>
      <c r="P719" t="s">
        <v>18</v>
      </c>
    </row>
    <row r="720" spans="1:16" x14ac:dyDescent="0.3">
      <c r="A720">
        <v>302</v>
      </c>
      <c r="B720" t="s">
        <v>520</v>
      </c>
      <c r="C720" t="s">
        <v>747</v>
      </c>
      <c r="D720" t="str">
        <f>VLOOKUP(YouTube_University_Data_Final[[#This Row],[Title]],[1]!YouTube_University_Data_Final[[Title]:[Title_language]],2,FALSE)</f>
        <v>English</v>
      </c>
      <c r="E720" t="s">
        <v>2944</v>
      </c>
      <c r="F720">
        <v>27</v>
      </c>
      <c r="G720" s="1">
        <v>43993</v>
      </c>
      <c r="H720">
        <v>6624</v>
      </c>
      <c r="I720" t="s">
        <v>522</v>
      </c>
      <c r="J720">
        <v>290</v>
      </c>
      <c r="K720">
        <v>2</v>
      </c>
      <c r="L720">
        <v>0</v>
      </c>
      <c r="M720">
        <v>0</v>
      </c>
      <c r="N720" t="s">
        <v>78</v>
      </c>
      <c r="O720">
        <v>2020</v>
      </c>
      <c r="P720" t="s">
        <v>18</v>
      </c>
    </row>
    <row r="721" spans="1:16" x14ac:dyDescent="0.3">
      <c r="A721">
        <v>303</v>
      </c>
      <c r="B721" t="s">
        <v>520</v>
      </c>
      <c r="C721" t="s">
        <v>748</v>
      </c>
      <c r="D721" t="str">
        <f>VLOOKUP(YouTube_University_Data_Final[[#This Row],[Title]],[1]!YouTube_University_Data_Final[[Title]:[Title_language]],2,FALSE)</f>
        <v>English</v>
      </c>
      <c r="E721" t="s">
        <v>2944</v>
      </c>
      <c r="F721">
        <v>27</v>
      </c>
      <c r="G721" s="1">
        <v>43985</v>
      </c>
      <c r="H721">
        <v>126</v>
      </c>
      <c r="I721" t="s">
        <v>522</v>
      </c>
      <c r="J721">
        <v>206</v>
      </c>
      <c r="K721">
        <v>3</v>
      </c>
      <c r="L721">
        <v>0</v>
      </c>
      <c r="M721">
        <v>0</v>
      </c>
      <c r="N721" t="s">
        <v>78</v>
      </c>
      <c r="O721">
        <v>2020</v>
      </c>
      <c r="P721" t="s">
        <v>18</v>
      </c>
    </row>
    <row r="722" spans="1:16" x14ac:dyDescent="0.3">
      <c r="A722">
        <v>304</v>
      </c>
      <c r="B722" t="s">
        <v>520</v>
      </c>
      <c r="C722" t="s">
        <v>749</v>
      </c>
      <c r="D722" t="str">
        <f>VLOOKUP(YouTube_University_Data_Final[[#This Row],[Title]],[1]!YouTube_University_Data_Final[[Title]:[Title_language]],2,FALSE)</f>
        <v>English</v>
      </c>
      <c r="E722" t="s">
        <v>2944</v>
      </c>
      <c r="F722">
        <v>27</v>
      </c>
      <c r="G722" s="1">
        <v>43984</v>
      </c>
      <c r="H722">
        <v>2940</v>
      </c>
      <c r="I722" t="s">
        <v>522</v>
      </c>
      <c r="J722">
        <v>605</v>
      </c>
      <c r="K722">
        <v>7</v>
      </c>
      <c r="L722">
        <v>0</v>
      </c>
      <c r="M722">
        <v>0</v>
      </c>
      <c r="N722" t="s">
        <v>78</v>
      </c>
      <c r="O722">
        <v>2020</v>
      </c>
      <c r="P722" t="s">
        <v>18</v>
      </c>
    </row>
    <row r="723" spans="1:16" x14ac:dyDescent="0.3">
      <c r="A723">
        <v>305</v>
      </c>
      <c r="B723" t="s">
        <v>520</v>
      </c>
      <c r="C723" t="s">
        <v>750</v>
      </c>
      <c r="D723" t="str">
        <f>VLOOKUP(YouTube_University_Data_Final[[#This Row],[Title]],[1]!YouTube_University_Data_Final[[Title]:[Title_language]],2,FALSE)</f>
        <v>English</v>
      </c>
      <c r="E723" t="s">
        <v>2944</v>
      </c>
      <c r="F723">
        <v>27</v>
      </c>
      <c r="G723" s="1">
        <v>43983</v>
      </c>
      <c r="H723">
        <v>4932</v>
      </c>
      <c r="I723" t="s">
        <v>522</v>
      </c>
      <c r="J723">
        <v>343</v>
      </c>
      <c r="K723">
        <v>2</v>
      </c>
      <c r="L723">
        <v>0</v>
      </c>
      <c r="M723">
        <v>0</v>
      </c>
      <c r="N723" t="s">
        <v>78</v>
      </c>
      <c r="O723">
        <v>2020</v>
      </c>
      <c r="P723" t="s">
        <v>18</v>
      </c>
    </row>
    <row r="724" spans="1:16" x14ac:dyDescent="0.3">
      <c r="A724">
        <v>306</v>
      </c>
      <c r="B724" t="s">
        <v>520</v>
      </c>
      <c r="C724" t="s">
        <v>751</v>
      </c>
      <c r="D724" t="str">
        <f>VLOOKUP(YouTube_University_Data_Final[[#This Row],[Title]],[1]!YouTube_University_Data_Final[[Title]:[Title_language]],2,FALSE)</f>
        <v>English</v>
      </c>
      <c r="E724" t="s">
        <v>2944</v>
      </c>
      <c r="F724">
        <v>27</v>
      </c>
      <c r="G724" s="1">
        <v>43979</v>
      </c>
      <c r="H724">
        <v>4774</v>
      </c>
      <c r="I724" t="s">
        <v>522</v>
      </c>
      <c r="J724">
        <v>333</v>
      </c>
      <c r="K724">
        <v>3</v>
      </c>
      <c r="L724">
        <v>0</v>
      </c>
      <c r="M724">
        <v>0</v>
      </c>
      <c r="N724" t="s">
        <v>81</v>
      </c>
      <c r="O724">
        <v>2020</v>
      </c>
      <c r="P724" t="s">
        <v>18</v>
      </c>
    </row>
    <row r="725" spans="1:16" x14ac:dyDescent="0.3">
      <c r="A725">
        <v>307</v>
      </c>
      <c r="B725" t="s">
        <v>520</v>
      </c>
      <c r="C725" t="s">
        <v>752</v>
      </c>
      <c r="D725" t="str">
        <f>VLOOKUP(YouTube_University_Data_Final[[#This Row],[Title]],[1]!YouTube_University_Data_Final[[Title]:[Title_language]],2,FALSE)</f>
        <v>English</v>
      </c>
      <c r="E725" t="s">
        <v>2944</v>
      </c>
      <c r="F725">
        <v>27</v>
      </c>
      <c r="G725" s="1">
        <v>43977</v>
      </c>
      <c r="H725">
        <v>2299</v>
      </c>
      <c r="I725" t="s">
        <v>522</v>
      </c>
      <c r="J725">
        <v>256</v>
      </c>
      <c r="K725">
        <v>3</v>
      </c>
      <c r="L725">
        <v>0</v>
      </c>
      <c r="M725">
        <v>0</v>
      </c>
      <c r="N725" t="s">
        <v>81</v>
      </c>
      <c r="O725">
        <v>2020</v>
      </c>
      <c r="P725" t="s">
        <v>18</v>
      </c>
    </row>
    <row r="726" spans="1:16" x14ac:dyDescent="0.3">
      <c r="A726">
        <v>308</v>
      </c>
      <c r="B726" t="s">
        <v>520</v>
      </c>
      <c r="C726" t="s">
        <v>753</v>
      </c>
      <c r="D726" t="str">
        <f>VLOOKUP(YouTube_University_Data_Final[[#This Row],[Title]],[1]!YouTube_University_Data_Final[[Title]:[Title_language]],2,FALSE)</f>
        <v>English</v>
      </c>
      <c r="E726" t="s">
        <v>2944</v>
      </c>
      <c r="F726">
        <v>27</v>
      </c>
      <c r="G726" s="1">
        <v>43973</v>
      </c>
      <c r="H726">
        <v>8625</v>
      </c>
      <c r="I726" t="s">
        <v>522</v>
      </c>
      <c r="J726">
        <v>431</v>
      </c>
      <c r="K726">
        <v>0</v>
      </c>
      <c r="L726">
        <v>0</v>
      </c>
      <c r="M726">
        <v>0</v>
      </c>
      <c r="N726" t="s">
        <v>81</v>
      </c>
      <c r="O726">
        <v>2020</v>
      </c>
      <c r="P726" t="s">
        <v>18</v>
      </c>
    </row>
    <row r="727" spans="1:16" x14ac:dyDescent="0.3">
      <c r="A727">
        <v>309</v>
      </c>
      <c r="B727" t="s">
        <v>520</v>
      </c>
      <c r="C727" t="s">
        <v>754</v>
      </c>
      <c r="D727" t="str">
        <f>VLOOKUP(YouTube_University_Data_Final[[#This Row],[Title]],[1]!YouTube_University_Data_Final[[Title]:[Title_language]],2,FALSE)</f>
        <v>English</v>
      </c>
      <c r="E727" t="s">
        <v>2944</v>
      </c>
      <c r="F727">
        <v>27</v>
      </c>
      <c r="G727" s="1">
        <v>43973</v>
      </c>
      <c r="H727">
        <v>6417</v>
      </c>
      <c r="I727" t="s">
        <v>522</v>
      </c>
      <c r="J727">
        <v>825</v>
      </c>
      <c r="K727">
        <v>7</v>
      </c>
      <c r="L727">
        <v>0</v>
      </c>
      <c r="M727">
        <v>0</v>
      </c>
      <c r="N727" t="s">
        <v>81</v>
      </c>
      <c r="O727">
        <v>2020</v>
      </c>
      <c r="P727" t="s">
        <v>18</v>
      </c>
    </row>
    <row r="728" spans="1:16" x14ac:dyDescent="0.3">
      <c r="A728">
        <v>310</v>
      </c>
      <c r="B728" t="s">
        <v>520</v>
      </c>
      <c r="C728" t="s">
        <v>755</v>
      </c>
      <c r="D728" t="str">
        <f>VLOOKUP(YouTube_University_Data_Final[[#This Row],[Title]],[1]!YouTube_University_Data_Final[[Title]:[Title_language]],2,FALSE)</f>
        <v>English</v>
      </c>
      <c r="E728" t="s">
        <v>2944</v>
      </c>
      <c r="F728">
        <v>27</v>
      </c>
      <c r="G728" s="1">
        <v>43973</v>
      </c>
      <c r="H728">
        <v>5497</v>
      </c>
      <c r="I728" t="s">
        <v>522</v>
      </c>
      <c r="J728">
        <v>961</v>
      </c>
      <c r="K728">
        <v>18</v>
      </c>
      <c r="L728">
        <v>0</v>
      </c>
      <c r="M728">
        <v>0</v>
      </c>
      <c r="N728" t="s">
        <v>81</v>
      </c>
      <c r="O728">
        <v>2020</v>
      </c>
      <c r="P728" t="s">
        <v>18</v>
      </c>
    </row>
    <row r="729" spans="1:16" x14ac:dyDescent="0.3">
      <c r="A729">
        <v>311</v>
      </c>
      <c r="B729" t="s">
        <v>520</v>
      </c>
      <c r="C729" t="s">
        <v>756</v>
      </c>
      <c r="D729" t="str">
        <f>VLOOKUP(YouTube_University_Data_Final[[#This Row],[Title]],[1]!YouTube_University_Data_Final[[Title]:[Title_language]],2,FALSE)</f>
        <v>English</v>
      </c>
      <c r="E729" t="s">
        <v>2944</v>
      </c>
      <c r="F729">
        <v>27</v>
      </c>
      <c r="G729" s="1">
        <v>43973</v>
      </c>
      <c r="H729">
        <v>6954</v>
      </c>
      <c r="I729" t="s">
        <v>522</v>
      </c>
      <c r="J729">
        <v>535</v>
      </c>
      <c r="K729">
        <v>4</v>
      </c>
      <c r="L729">
        <v>0</v>
      </c>
      <c r="M729">
        <v>0</v>
      </c>
      <c r="N729" t="s">
        <v>81</v>
      </c>
      <c r="O729">
        <v>2020</v>
      </c>
      <c r="P729" t="s">
        <v>18</v>
      </c>
    </row>
    <row r="730" spans="1:16" x14ac:dyDescent="0.3">
      <c r="A730">
        <v>312</v>
      </c>
      <c r="B730" t="s">
        <v>520</v>
      </c>
      <c r="C730" t="s">
        <v>757</v>
      </c>
      <c r="D730" t="str">
        <f>VLOOKUP(YouTube_University_Data_Final[[#This Row],[Title]],[1]!YouTube_University_Data_Final[[Title]:[Title_language]],2,FALSE)</f>
        <v>English</v>
      </c>
      <c r="E730" t="s">
        <v>2944</v>
      </c>
      <c r="F730">
        <v>27</v>
      </c>
      <c r="G730" s="1">
        <v>43973</v>
      </c>
      <c r="H730">
        <v>6300</v>
      </c>
      <c r="I730" t="s">
        <v>522</v>
      </c>
      <c r="J730">
        <v>1330</v>
      </c>
      <c r="K730">
        <v>12</v>
      </c>
      <c r="L730">
        <v>0</v>
      </c>
      <c r="M730">
        <v>0</v>
      </c>
      <c r="N730" t="s">
        <v>81</v>
      </c>
      <c r="O730">
        <v>2020</v>
      </c>
      <c r="P730" t="s">
        <v>18</v>
      </c>
    </row>
    <row r="731" spans="1:16" x14ac:dyDescent="0.3">
      <c r="A731">
        <v>313</v>
      </c>
      <c r="B731" t="s">
        <v>520</v>
      </c>
      <c r="C731" t="s">
        <v>758</v>
      </c>
      <c r="D731" t="str">
        <f>VLOOKUP(YouTube_University_Data_Final[[#This Row],[Title]],[1]!YouTube_University_Data_Final[[Title]:[Title_language]],2,FALSE)</f>
        <v>English</v>
      </c>
      <c r="E731" t="s">
        <v>2944</v>
      </c>
      <c r="F731">
        <v>27</v>
      </c>
      <c r="G731" s="1">
        <v>43962</v>
      </c>
      <c r="H731">
        <v>2114</v>
      </c>
      <c r="I731" t="s">
        <v>522</v>
      </c>
      <c r="J731">
        <v>412</v>
      </c>
      <c r="K731">
        <v>3</v>
      </c>
      <c r="L731">
        <v>0</v>
      </c>
      <c r="M731">
        <v>0</v>
      </c>
      <c r="N731" t="s">
        <v>81</v>
      </c>
      <c r="O731">
        <v>2020</v>
      </c>
      <c r="P731" t="s">
        <v>18</v>
      </c>
    </row>
    <row r="732" spans="1:16" x14ac:dyDescent="0.3">
      <c r="A732">
        <v>314</v>
      </c>
      <c r="B732" t="s">
        <v>520</v>
      </c>
      <c r="C732" t="s">
        <v>3289</v>
      </c>
      <c r="D732" t="str">
        <f>VLOOKUP(YouTube_University_Data_Final[[#This Row],[Title]],[1]!YouTube_University_Data_Final[[Title]:[Title_language]],2,FALSE)</f>
        <v>Bilingual</v>
      </c>
      <c r="E732" t="s">
        <v>3290</v>
      </c>
      <c r="F732">
        <v>27</v>
      </c>
      <c r="G732" s="1">
        <v>43959</v>
      </c>
      <c r="H732">
        <v>63</v>
      </c>
      <c r="I732" t="s">
        <v>522</v>
      </c>
      <c r="J732">
        <v>296</v>
      </c>
      <c r="K732">
        <v>0</v>
      </c>
      <c r="L732">
        <v>0</v>
      </c>
      <c r="M732">
        <v>0</v>
      </c>
      <c r="N732" t="s">
        <v>81</v>
      </c>
      <c r="O732">
        <v>2020</v>
      </c>
      <c r="P732" t="s">
        <v>18</v>
      </c>
    </row>
    <row r="733" spans="1:16" x14ac:dyDescent="0.3">
      <c r="A733">
        <v>315</v>
      </c>
      <c r="B733" t="s">
        <v>520</v>
      </c>
      <c r="C733" t="s">
        <v>759</v>
      </c>
      <c r="D733" t="str">
        <f>VLOOKUP(YouTube_University_Data_Final[[#This Row],[Title]],[1]!YouTube_University_Data_Final[[Title]:[Title_language]],2,FALSE)</f>
        <v>English</v>
      </c>
      <c r="E733" t="s">
        <v>760</v>
      </c>
      <c r="F733">
        <v>27</v>
      </c>
      <c r="G733" s="1">
        <v>43955</v>
      </c>
      <c r="H733">
        <v>2835</v>
      </c>
      <c r="I733" t="s">
        <v>522</v>
      </c>
      <c r="J733">
        <v>303</v>
      </c>
      <c r="K733">
        <v>2</v>
      </c>
      <c r="L733">
        <v>0</v>
      </c>
      <c r="M733">
        <v>0</v>
      </c>
      <c r="N733" t="s">
        <v>81</v>
      </c>
      <c r="O733">
        <v>2020</v>
      </c>
      <c r="P733" t="s">
        <v>18</v>
      </c>
    </row>
    <row r="734" spans="1:16" x14ac:dyDescent="0.3">
      <c r="A734">
        <v>316</v>
      </c>
      <c r="B734" t="s">
        <v>520</v>
      </c>
      <c r="C734" t="s">
        <v>761</v>
      </c>
      <c r="D734" t="str">
        <f>VLOOKUP(YouTube_University_Data_Final[[#This Row],[Title]],[1]!YouTube_University_Data_Final[[Title]:[Title_language]],2,FALSE)</f>
        <v>English</v>
      </c>
      <c r="E734" t="s">
        <v>762</v>
      </c>
      <c r="F734">
        <v>27</v>
      </c>
      <c r="G734" s="1">
        <v>43955</v>
      </c>
      <c r="H734">
        <v>2775</v>
      </c>
      <c r="I734" t="s">
        <v>522</v>
      </c>
      <c r="J734">
        <v>2957</v>
      </c>
      <c r="K734">
        <v>55</v>
      </c>
      <c r="L734">
        <v>0</v>
      </c>
      <c r="M734">
        <v>0</v>
      </c>
      <c r="N734" t="s">
        <v>81</v>
      </c>
      <c r="O734">
        <v>2020</v>
      </c>
      <c r="P734" t="s">
        <v>18</v>
      </c>
    </row>
    <row r="735" spans="1:16" x14ac:dyDescent="0.3">
      <c r="A735">
        <v>317</v>
      </c>
      <c r="B735" t="s">
        <v>520</v>
      </c>
      <c r="C735" t="s">
        <v>763</v>
      </c>
      <c r="D735" t="str">
        <f>VLOOKUP(YouTube_University_Data_Final[[#This Row],[Title]],[1]!YouTube_University_Data_Final[[Title]:[Title_language]],2,FALSE)</f>
        <v>English</v>
      </c>
      <c r="E735" t="s">
        <v>764</v>
      </c>
      <c r="F735">
        <v>27</v>
      </c>
      <c r="G735" s="1">
        <v>43955</v>
      </c>
      <c r="H735">
        <v>98</v>
      </c>
      <c r="I735" t="s">
        <v>522</v>
      </c>
      <c r="J735">
        <v>10058</v>
      </c>
      <c r="K735">
        <v>60</v>
      </c>
      <c r="L735">
        <v>0</v>
      </c>
      <c r="M735">
        <v>0</v>
      </c>
      <c r="N735" t="s">
        <v>81</v>
      </c>
      <c r="O735">
        <v>2020</v>
      </c>
      <c r="P735" t="s">
        <v>18</v>
      </c>
    </row>
    <row r="736" spans="1:16" x14ac:dyDescent="0.3">
      <c r="A736">
        <v>318</v>
      </c>
      <c r="B736" t="s">
        <v>520</v>
      </c>
      <c r="C736" t="s">
        <v>3291</v>
      </c>
      <c r="D736" t="str">
        <f>VLOOKUP(YouTube_University_Data_Final[[#This Row],[Title]],[1]!YouTube_University_Data_Final[[Title]:[Title_language]],2,FALSE)</f>
        <v>Chinese</v>
      </c>
      <c r="E736" t="s">
        <v>3292</v>
      </c>
      <c r="F736">
        <v>27</v>
      </c>
      <c r="G736" s="1">
        <v>43951</v>
      </c>
      <c r="H736">
        <v>60</v>
      </c>
      <c r="I736" t="s">
        <v>522</v>
      </c>
      <c r="J736">
        <v>460</v>
      </c>
      <c r="K736">
        <v>4</v>
      </c>
      <c r="L736">
        <v>0</v>
      </c>
      <c r="M736">
        <v>0</v>
      </c>
      <c r="N736" t="s">
        <v>87</v>
      </c>
      <c r="O736">
        <v>2020</v>
      </c>
      <c r="P736" t="s">
        <v>18</v>
      </c>
    </row>
    <row r="737" spans="1:16" x14ac:dyDescent="0.3">
      <c r="A737">
        <v>319</v>
      </c>
      <c r="B737" t="s">
        <v>520</v>
      </c>
      <c r="C737" t="s">
        <v>3293</v>
      </c>
      <c r="D737" t="str">
        <f>VLOOKUP(YouTube_University_Data_Final[[#This Row],[Title]],[1]!YouTube_University_Data_Final[[Title]:[Title_language]],2,FALSE)</f>
        <v>Chinese</v>
      </c>
      <c r="E737" t="s">
        <v>3294</v>
      </c>
      <c r="F737">
        <v>27</v>
      </c>
      <c r="G737" s="1">
        <v>43945</v>
      </c>
      <c r="H737">
        <v>291</v>
      </c>
      <c r="I737" t="s">
        <v>522</v>
      </c>
      <c r="J737">
        <v>934</v>
      </c>
      <c r="K737">
        <v>14</v>
      </c>
      <c r="L737">
        <v>0</v>
      </c>
      <c r="M737">
        <v>0</v>
      </c>
      <c r="N737" t="s">
        <v>87</v>
      </c>
      <c r="O737">
        <v>2020</v>
      </c>
      <c r="P737" t="s">
        <v>18</v>
      </c>
    </row>
    <row r="738" spans="1:16" x14ac:dyDescent="0.3">
      <c r="A738">
        <v>320</v>
      </c>
      <c r="B738" t="s">
        <v>520</v>
      </c>
      <c r="C738" t="s">
        <v>3295</v>
      </c>
      <c r="D738" t="str">
        <f>VLOOKUP(YouTube_University_Data_Final[[#This Row],[Title]],[1]!YouTube_University_Data_Final[[Title]:[Title_language]],2,FALSE)</f>
        <v>Chinese</v>
      </c>
      <c r="E738" t="s">
        <v>3296</v>
      </c>
      <c r="F738">
        <v>27</v>
      </c>
      <c r="G738" s="1">
        <v>43944</v>
      </c>
      <c r="H738">
        <v>70</v>
      </c>
      <c r="I738" t="s">
        <v>522</v>
      </c>
      <c r="J738">
        <v>987</v>
      </c>
      <c r="K738">
        <v>15</v>
      </c>
      <c r="L738">
        <v>0</v>
      </c>
      <c r="M738">
        <v>0</v>
      </c>
      <c r="N738" t="s">
        <v>87</v>
      </c>
      <c r="O738">
        <v>2020</v>
      </c>
      <c r="P738" t="s">
        <v>18</v>
      </c>
    </row>
    <row r="739" spans="1:16" x14ac:dyDescent="0.3">
      <c r="A739">
        <v>321</v>
      </c>
      <c r="B739" t="s">
        <v>520</v>
      </c>
      <c r="C739" t="s">
        <v>3297</v>
      </c>
      <c r="D739" t="str">
        <f>VLOOKUP(YouTube_University_Data_Final[[#This Row],[Title]],[1]!YouTube_University_Data_Final[[Title]:[Title_language]],2,FALSE)</f>
        <v>Chinese</v>
      </c>
      <c r="E739" t="s">
        <v>3298</v>
      </c>
      <c r="F739">
        <v>27</v>
      </c>
      <c r="G739" s="1">
        <v>43944</v>
      </c>
      <c r="H739">
        <v>38</v>
      </c>
      <c r="I739" t="s">
        <v>522</v>
      </c>
      <c r="J739">
        <v>384</v>
      </c>
      <c r="K739">
        <v>3</v>
      </c>
      <c r="L739">
        <v>0</v>
      </c>
      <c r="M739">
        <v>0</v>
      </c>
      <c r="N739" t="s">
        <v>87</v>
      </c>
      <c r="O739">
        <v>2020</v>
      </c>
      <c r="P739" t="s">
        <v>18</v>
      </c>
    </row>
    <row r="740" spans="1:16" x14ac:dyDescent="0.3">
      <c r="A740">
        <v>322</v>
      </c>
      <c r="B740" t="s">
        <v>520</v>
      </c>
      <c r="C740" t="s">
        <v>765</v>
      </c>
      <c r="D740" t="str">
        <f>VLOOKUP(YouTube_University_Data_Final[[#This Row],[Title]],[1]!YouTube_University_Data_Final[[Title]:[Title_language]],2,FALSE)</f>
        <v>English</v>
      </c>
      <c r="E740" t="s">
        <v>2944</v>
      </c>
      <c r="F740">
        <v>27</v>
      </c>
      <c r="G740" s="1">
        <v>43944</v>
      </c>
      <c r="H740">
        <v>4776</v>
      </c>
      <c r="I740" t="s">
        <v>522</v>
      </c>
      <c r="J740">
        <v>80</v>
      </c>
      <c r="K740">
        <v>0</v>
      </c>
      <c r="L740">
        <v>0</v>
      </c>
      <c r="M740">
        <v>0</v>
      </c>
      <c r="N740" t="s">
        <v>87</v>
      </c>
      <c r="O740">
        <v>2020</v>
      </c>
      <c r="P740" t="s">
        <v>18</v>
      </c>
    </row>
    <row r="741" spans="1:16" x14ac:dyDescent="0.3">
      <c r="A741">
        <v>323</v>
      </c>
      <c r="B741" t="s">
        <v>520</v>
      </c>
      <c r="C741" t="s">
        <v>3299</v>
      </c>
      <c r="D741" t="str">
        <f>VLOOKUP(YouTube_University_Data_Final[[#This Row],[Title]],[1]!YouTube_University_Data_Final[[Title]:[Title_language]],2,FALSE)</f>
        <v>Chinese</v>
      </c>
      <c r="E741" t="s">
        <v>3300</v>
      </c>
      <c r="F741">
        <v>27</v>
      </c>
      <c r="G741" s="1">
        <v>43943</v>
      </c>
      <c r="H741">
        <v>42</v>
      </c>
      <c r="I741" t="s">
        <v>522</v>
      </c>
      <c r="J741">
        <v>461</v>
      </c>
      <c r="K741">
        <v>6</v>
      </c>
      <c r="L741">
        <v>0</v>
      </c>
      <c r="M741">
        <v>0</v>
      </c>
      <c r="N741" t="s">
        <v>87</v>
      </c>
      <c r="O741">
        <v>2020</v>
      </c>
      <c r="P741" t="s">
        <v>18</v>
      </c>
    </row>
    <row r="742" spans="1:16" x14ac:dyDescent="0.3">
      <c r="A742">
        <v>324</v>
      </c>
      <c r="B742" t="s">
        <v>520</v>
      </c>
      <c r="C742" t="s">
        <v>3301</v>
      </c>
      <c r="D742" t="str">
        <f>VLOOKUP(YouTube_University_Data_Final[[#This Row],[Title]],[1]!YouTube_University_Data_Final[[Title]:[Title_language]],2,FALSE)</f>
        <v>Chinese</v>
      </c>
      <c r="E742" t="s">
        <v>3302</v>
      </c>
      <c r="F742">
        <v>27</v>
      </c>
      <c r="G742" s="1">
        <v>43942</v>
      </c>
      <c r="H742">
        <v>26</v>
      </c>
      <c r="I742" t="s">
        <v>522</v>
      </c>
      <c r="J742">
        <v>535</v>
      </c>
      <c r="K742">
        <v>4</v>
      </c>
      <c r="L742">
        <v>0</v>
      </c>
      <c r="M742">
        <v>0</v>
      </c>
      <c r="N742" t="s">
        <v>87</v>
      </c>
      <c r="O742">
        <v>2020</v>
      </c>
      <c r="P742" t="s">
        <v>18</v>
      </c>
    </row>
    <row r="743" spans="1:16" x14ac:dyDescent="0.3">
      <c r="A743">
        <v>325</v>
      </c>
      <c r="B743" t="s">
        <v>520</v>
      </c>
      <c r="C743" t="s">
        <v>3303</v>
      </c>
      <c r="D743" t="str">
        <f>VLOOKUP(YouTube_University_Data_Final[[#This Row],[Title]],[1]!YouTube_University_Data_Final[[Title]:[Title_language]],2,FALSE)</f>
        <v>Chinese</v>
      </c>
      <c r="E743" t="s">
        <v>3304</v>
      </c>
      <c r="F743">
        <v>27</v>
      </c>
      <c r="G743" s="1">
        <v>43941</v>
      </c>
      <c r="H743">
        <v>46</v>
      </c>
      <c r="I743" t="s">
        <v>522</v>
      </c>
      <c r="J743">
        <v>525</v>
      </c>
      <c r="K743">
        <v>6</v>
      </c>
      <c r="L743">
        <v>0</v>
      </c>
      <c r="M743">
        <v>0</v>
      </c>
      <c r="N743" t="s">
        <v>87</v>
      </c>
      <c r="O743">
        <v>2020</v>
      </c>
      <c r="P743" t="s">
        <v>18</v>
      </c>
    </row>
    <row r="744" spans="1:16" x14ac:dyDescent="0.3">
      <c r="A744">
        <v>326</v>
      </c>
      <c r="B744" t="s">
        <v>520</v>
      </c>
      <c r="C744" t="s">
        <v>766</v>
      </c>
      <c r="D744" t="str">
        <f>VLOOKUP(YouTube_University_Data_Final[[#This Row],[Title]],[1]!YouTube_University_Data_Final[[Title]:[Title_language]],2,FALSE)</f>
        <v>English</v>
      </c>
      <c r="E744" t="s">
        <v>2944</v>
      </c>
      <c r="F744">
        <v>27</v>
      </c>
      <c r="G744" s="1">
        <v>43932</v>
      </c>
      <c r="H744">
        <v>6300</v>
      </c>
      <c r="I744" t="s">
        <v>522</v>
      </c>
      <c r="J744">
        <v>182</v>
      </c>
      <c r="K744">
        <v>2</v>
      </c>
      <c r="L744">
        <v>0</v>
      </c>
      <c r="M744">
        <v>0</v>
      </c>
      <c r="N744" t="s">
        <v>87</v>
      </c>
      <c r="O744">
        <v>2020</v>
      </c>
      <c r="P744" t="s">
        <v>18</v>
      </c>
    </row>
    <row r="745" spans="1:16" x14ac:dyDescent="0.3">
      <c r="A745">
        <v>327</v>
      </c>
      <c r="B745" t="s">
        <v>520</v>
      </c>
      <c r="C745" t="s">
        <v>767</v>
      </c>
      <c r="D745" t="str">
        <f>VLOOKUP(YouTube_University_Data_Final[[#This Row],[Title]],[1]!YouTube_University_Data_Final[[Title]:[Title_language]],2,FALSE)</f>
        <v>English</v>
      </c>
      <c r="E745" t="s">
        <v>2944</v>
      </c>
      <c r="F745">
        <v>27</v>
      </c>
      <c r="G745" s="1">
        <v>43932</v>
      </c>
      <c r="H745">
        <v>5452</v>
      </c>
      <c r="I745" t="s">
        <v>522</v>
      </c>
      <c r="J745">
        <v>642</v>
      </c>
      <c r="K745">
        <v>10</v>
      </c>
      <c r="L745">
        <v>0</v>
      </c>
      <c r="M745">
        <v>0</v>
      </c>
      <c r="N745" t="s">
        <v>87</v>
      </c>
      <c r="O745">
        <v>2020</v>
      </c>
      <c r="P745" t="s">
        <v>18</v>
      </c>
    </row>
    <row r="746" spans="1:16" x14ac:dyDescent="0.3">
      <c r="A746">
        <v>328</v>
      </c>
      <c r="B746" t="s">
        <v>520</v>
      </c>
      <c r="C746" t="s">
        <v>768</v>
      </c>
      <c r="D746" t="str">
        <f>VLOOKUP(YouTube_University_Data_Final[[#This Row],[Title]],[1]!YouTube_University_Data_Final[[Title]:[Title_language]],2,FALSE)</f>
        <v>English</v>
      </c>
      <c r="E746" t="s">
        <v>2944</v>
      </c>
      <c r="F746">
        <v>27</v>
      </c>
      <c r="G746" s="1">
        <v>43931</v>
      </c>
      <c r="H746">
        <v>4952</v>
      </c>
      <c r="I746" t="s">
        <v>522</v>
      </c>
      <c r="J746">
        <v>202</v>
      </c>
      <c r="K746">
        <v>1</v>
      </c>
      <c r="L746">
        <v>0</v>
      </c>
      <c r="M746">
        <v>0</v>
      </c>
      <c r="N746" t="s">
        <v>87</v>
      </c>
      <c r="O746">
        <v>2020</v>
      </c>
      <c r="P746" t="s">
        <v>18</v>
      </c>
    </row>
    <row r="747" spans="1:16" x14ac:dyDescent="0.3">
      <c r="A747">
        <v>329</v>
      </c>
      <c r="B747" t="s">
        <v>520</v>
      </c>
      <c r="C747" t="s">
        <v>769</v>
      </c>
      <c r="D747" t="str">
        <f>VLOOKUP(YouTube_University_Data_Final[[#This Row],[Title]],[1]!YouTube_University_Data_Final[[Title]:[Title_language]],2,FALSE)</f>
        <v>English</v>
      </c>
      <c r="E747" t="s">
        <v>3305</v>
      </c>
      <c r="F747">
        <v>27</v>
      </c>
      <c r="G747" s="1">
        <v>43922</v>
      </c>
      <c r="H747">
        <v>157</v>
      </c>
      <c r="I747" t="s">
        <v>522</v>
      </c>
      <c r="J747">
        <v>1326</v>
      </c>
      <c r="K747">
        <v>12</v>
      </c>
      <c r="L747">
        <v>0</v>
      </c>
      <c r="M747">
        <v>0</v>
      </c>
      <c r="N747" t="s">
        <v>87</v>
      </c>
      <c r="O747">
        <v>2020</v>
      </c>
      <c r="P747" t="s">
        <v>18</v>
      </c>
    </row>
    <row r="748" spans="1:16" x14ac:dyDescent="0.3">
      <c r="A748">
        <v>330</v>
      </c>
      <c r="B748" t="s">
        <v>520</v>
      </c>
      <c r="C748" t="s">
        <v>770</v>
      </c>
      <c r="D748" t="str">
        <f>VLOOKUP(YouTube_University_Data_Final[[#This Row],[Title]],[1]!YouTube_University_Data_Final[[Title]:[Title_language]],2,FALSE)</f>
        <v>English</v>
      </c>
      <c r="E748" t="s">
        <v>771</v>
      </c>
      <c r="F748">
        <v>27</v>
      </c>
      <c r="G748" s="1">
        <v>43910</v>
      </c>
      <c r="H748">
        <v>98</v>
      </c>
      <c r="I748" t="s">
        <v>772</v>
      </c>
      <c r="J748">
        <v>4341</v>
      </c>
      <c r="K748">
        <v>45</v>
      </c>
      <c r="L748">
        <v>0</v>
      </c>
      <c r="M748">
        <v>0</v>
      </c>
      <c r="N748" t="s">
        <v>90</v>
      </c>
      <c r="O748">
        <v>2020</v>
      </c>
      <c r="P748" t="s">
        <v>18</v>
      </c>
    </row>
    <row r="749" spans="1:16" x14ac:dyDescent="0.3">
      <c r="A749">
        <v>331</v>
      </c>
      <c r="B749" t="s">
        <v>520</v>
      </c>
      <c r="C749" t="s">
        <v>773</v>
      </c>
      <c r="D749" t="str">
        <f>VLOOKUP(YouTube_University_Data_Final[[#This Row],[Title]],[1]!YouTube_University_Data_Final[[Title]:[Title_language]],2,FALSE)</f>
        <v>English</v>
      </c>
      <c r="E749" t="s">
        <v>774</v>
      </c>
      <c r="F749">
        <v>27</v>
      </c>
      <c r="G749" s="1">
        <v>43910</v>
      </c>
      <c r="H749">
        <v>2119</v>
      </c>
      <c r="I749" t="s">
        <v>522</v>
      </c>
      <c r="J749">
        <v>249</v>
      </c>
      <c r="K749">
        <v>3</v>
      </c>
      <c r="L749">
        <v>0</v>
      </c>
      <c r="M749">
        <v>0</v>
      </c>
      <c r="N749" t="s">
        <v>90</v>
      </c>
      <c r="O749">
        <v>2020</v>
      </c>
      <c r="P749" t="s">
        <v>18</v>
      </c>
    </row>
    <row r="750" spans="1:16" x14ac:dyDescent="0.3">
      <c r="A750">
        <v>332</v>
      </c>
      <c r="B750" t="s">
        <v>520</v>
      </c>
      <c r="C750" t="s">
        <v>775</v>
      </c>
      <c r="D750" t="str">
        <f>VLOOKUP(YouTube_University_Data_Final[[#This Row],[Title]],[1]!YouTube_University_Data_Final[[Title]:[Title_language]],2,FALSE)</f>
        <v>English</v>
      </c>
      <c r="E750" t="s">
        <v>3306</v>
      </c>
      <c r="F750">
        <v>27</v>
      </c>
      <c r="G750" s="1">
        <v>43896</v>
      </c>
      <c r="H750">
        <v>138</v>
      </c>
      <c r="I750" t="s">
        <v>522</v>
      </c>
      <c r="J750">
        <v>1735</v>
      </c>
      <c r="K750">
        <v>19</v>
      </c>
      <c r="L750">
        <v>0</v>
      </c>
      <c r="M750">
        <v>0</v>
      </c>
      <c r="N750" t="s">
        <v>90</v>
      </c>
      <c r="O750">
        <v>2020</v>
      </c>
      <c r="P750" t="s">
        <v>18</v>
      </c>
    </row>
    <row r="751" spans="1:16" x14ac:dyDescent="0.3">
      <c r="A751">
        <v>333</v>
      </c>
      <c r="B751" t="s">
        <v>520</v>
      </c>
      <c r="C751" t="s">
        <v>776</v>
      </c>
      <c r="D751" t="str">
        <f>VLOOKUP(YouTube_University_Data_Final[[#This Row],[Title]],[1]!YouTube_University_Data_Final[[Title]:[Title_language]],2,FALSE)</f>
        <v>English</v>
      </c>
      <c r="E751" t="s">
        <v>777</v>
      </c>
      <c r="F751">
        <v>27</v>
      </c>
      <c r="G751" s="1">
        <v>43892</v>
      </c>
      <c r="H751">
        <v>1530</v>
      </c>
      <c r="I751" t="s">
        <v>522</v>
      </c>
      <c r="J751">
        <v>373</v>
      </c>
      <c r="K751">
        <v>4</v>
      </c>
      <c r="L751">
        <v>0</v>
      </c>
      <c r="M751">
        <v>0</v>
      </c>
      <c r="N751" t="s">
        <v>90</v>
      </c>
      <c r="O751">
        <v>2020</v>
      </c>
      <c r="P751" t="s">
        <v>18</v>
      </c>
    </row>
    <row r="752" spans="1:16" x14ac:dyDescent="0.3">
      <c r="A752">
        <v>334</v>
      </c>
      <c r="B752" t="s">
        <v>520</v>
      </c>
      <c r="C752" t="s">
        <v>778</v>
      </c>
      <c r="D752" t="str">
        <f>VLOOKUP(YouTube_University_Data_Final[[#This Row],[Title]],[1]!YouTube_University_Data_Final[[Title]:[Title_language]],2,FALSE)</f>
        <v>English</v>
      </c>
      <c r="E752" t="s">
        <v>779</v>
      </c>
      <c r="F752">
        <v>27</v>
      </c>
      <c r="G752" s="1">
        <v>43851</v>
      </c>
      <c r="H752">
        <v>76</v>
      </c>
      <c r="I752" t="s">
        <v>780</v>
      </c>
      <c r="J752">
        <v>331</v>
      </c>
      <c r="K752">
        <v>0</v>
      </c>
      <c r="L752">
        <v>0</v>
      </c>
      <c r="M752">
        <v>0</v>
      </c>
      <c r="N752" t="s">
        <v>93</v>
      </c>
      <c r="O752">
        <v>2020</v>
      </c>
      <c r="P752" t="s">
        <v>18</v>
      </c>
    </row>
    <row r="753" spans="1:16" x14ac:dyDescent="0.3">
      <c r="A753">
        <v>335</v>
      </c>
      <c r="B753" t="s">
        <v>520</v>
      </c>
      <c r="C753" t="s">
        <v>781</v>
      </c>
      <c r="D753" t="str">
        <f>VLOOKUP(YouTube_University_Data_Final[[#This Row],[Title]],[1]!YouTube_University_Data_Final[[Title]:[Title_language]],2,FALSE)</f>
        <v>English</v>
      </c>
      <c r="E753" t="s">
        <v>2944</v>
      </c>
      <c r="F753">
        <v>27</v>
      </c>
      <c r="G753" s="1">
        <v>43816</v>
      </c>
      <c r="H753">
        <v>76</v>
      </c>
      <c r="I753" t="s">
        <v>522</v>
      </c>
      <c r="J753">
        <v>2536</v>
      </c>
      <c r="K753">
        <v>15</v>
      </c>
      <c r="L753">
        <v>0</v>
      </c>
      <c r="M753">
        <v>0</v>
      </c>
      <c r="N753" t="s">
        <v>98</v>
      </c>
      <c r="O753">
        <v>2019</v>
      </c>
      <c r="P753" t="s">
        <v>18</v>
      </c>
    </row>
    <row r="754" spans="1:16" x14ac:dyDescent="0.3">
      <c r="A754">
        <v>336</v>
      </c>
      <c r="B754" t="s">
        <v>520</v>
      </c>
      <c r="C754" t="s">
        <v>782</v>
      </c>
      <c r="D754" t="str">
        <f>VLOOKUP(YouTube_University_Data_Final[[#This Row],[Title]],[1]!YouTube_University_Data_Final[[Title]:[Title_language]],2,FALSE)</f>
        <v>English</v>
      </c>
      <c r="E754" t="s">
        <v>783</v>
      </c>
      <c r="F754">
        <v>27</v>
      </c>
      <c r="G754" s="1">
        <v>43810</v>
      </c>
      <c r="H754">
        <v>74</v>
      </c>
      <c r="I754" t="s">
        <v>522</v>
      </c>
      <c r="J754">
        <v>637</v>
      </c>
      <c r="K754">
        <v>1</v>
      </c>
      <c r="L754">
        <v>0</v>
      </c>
      <c r="M754">
        <v>0</v>
      </c>
      <c r="N754" t="s">
        <v>98</v>
      </c>
      <c r="O754">
        <v>2019</v>
      </c>
      <c r="P754" t="s">
        <v>18</v>
      </c>
    </row>
    <row r="755" spans="1:16" x14ac:dyDescent="0.3">
      <c r="A755">
        <v>337</v>
      </c>
      <c r="B755" t="s">
        <v>520</v>
      </c>
      <c r="C755" t="s">
        <v>784</v>
      </c>
      <c r="D755" t="str">
        <f>VLOOKUP(YouTube_University_Data_Final[[#This Row],[Title]],[1]!YouTube_University_Data_Final[[Title]:[Title_language]],2,FALSE)</f>
        <v>English</v>
      </c>
      <c r="E755" t="s">
        <v>785</v>
      </c>
      <c r="F755">
        <v>27</v>
      </c>
      <c r="G755" s="1">
        <v>43808</v>
      </c>
      <c r="H755">
        <v>202</v>
      </c>
      <c r="I755" t="s">
        <v>522</v>
      </c>
      <c r="J755">
        <v>1113</v>
      </c>
      <c r="K755">
        <v>9</v>
      </c>
      <c r="L755">
        <v>0</v>
      </c>
      <c r="M755">
        <v>0</v>
      </c>
      <c r="N755" t="s">
        <v>98</v>
      </c>
      <c r="O755">
        <v>2019</v>
      </c>
      <c r="P755" t="s">
        <v>18</v>
      </c>
    </row>
    <row r="756" spans="1:16" x14ac:dyDescent="0.3">
      <c r="A756">
        <v>338</v>
      </c>
      <c r="B756" t="s">
        <v>520</v>
      </c>
      <c r="C756" t="s">
        <v>786</v>
      </c>
      <c r="D756" t="str">
        <f>VLOOKUP(YouTube_University_Data_Final[[#This Row],[Title]],[1]!YouTube_University_Data_Final[[Title]:[Title_language]],2,FALSE)</f>
        <v>English</v>
      </c>
      <c r="E756" t="s">
        <v>2944</v>
      </c>
      <c r="F756">
        <v>27</v>
      </c>
      <c r="G756" s="1">
        <v>43808</v>
      </c>
      <c r="H756">
        <v>569</v>
      </c>
      <c r="I756" t="s">
        <v>522</v>
      </c>
      <c r="J756">
        <v>563</v>
      </c>
      <c r="K756">
        <v>4</v>
      </c>
      <c r="L756">
        <v>0</v>
      </c>
      <c r="M756">
        <v>0</v>
      </c>
      <c r="N756" t="s">
        <v>98</v>
      </c>
      <c r="O756">
        <v>2019</v>
      </c>
      <c r="P756" t="s">
        <v>18</v>
      </c>
    </row>
    <row r="757" spans="1:16" x14ac:dyDescent="0.3">
      <c r="A757">
        <v>339</v>
      </c>
      <c r="B757" t="s">
        <v>520</v>
      </c>
      <c r="C757" t="s">
        <v>787</v>
      </c>
      <c r="D757" t="str">
        <f>VLOOKUP(YouTube_University_Data_Final[[#This Row],[Title]],[1]!YouTube_University_Data_Final[[Title]:[Title_language]],2,FALSE)</f>
        <v>English</v>
      </c>
      <c r="E757" t="s">
        <v>788</v>
      </c>
      <c r="F757">
        <v>27</v>
      </c>
      <c r="G757" s="1">
        <v>43808</v>
      </c>
      <c r="H757">
        <v>1021</v>
      </c>
      <c r="I757" t="s">
        <v>789</v>
      </c>
      <c r="J757">
        <v>1915</v>
      </c>
      <c r="K757">
        <v>19</v>
      </c>
      <c r="L757">
        <v>0</v>
      </c>
      <c r="M757">
        <v>0</v>
      </c>
      <c r="N757" t="s">
        <v>98</v>
      </c>
      <c r="O757">
        <v>2019</v>
      </c>
      <c r="P757" t="s">
        <v>18</v>
      </c>
    </row>
    <row r="758" spans="1:16" x14ac:dyDescent="0.3">
      <c r="A758">
        <v>340</v>
      </c>
      <c r="B758" t="s">
        <v>520</v>
      </c>
      <c r="C758" t="s">
        <v>3307</v>
      </c>
      <c r="D758" t="str">
        <f>VLOOKUP(YouTube_University_Data_Final[[#This Row],[Title]],[1]!YouTube_University_Data_Final[[Title]:[Title_language]],2,FALSE)</f>
        <v>English</v>
      </c>
      <c r="E758" t="s">
        <v>790</v>
      </c>
      <c r="F758">
        <v>27</v>
      </c>
      <c r="G758" s="1">
        <v>43798</v>
      </c>
      <c r="H758">
        <v>1196</v>
      </c>
      <c r="I758" t="s">
        <v>522</v>
      </c>
      <c r="J758">
        <v>275</v>
      </c>
      <c r="K758">
        <v>3</v>
      </c>
      <c r="L758">
        <v>0</v>
      </c>
      <c r="M758">
        <v>0</v>
      </c>
      <c r="N758" t="s">
        <v>101</v>
      </c>
      <c r="O758">
        <v>2019</v>
      </c>
      <c r="P758" t="s">
        <v>18</v>
      </c>
    </row>
    <row r="759" spans="1:16" x14ac:dyDescent="0.3">
      <c r="A759">
        <v>341</v>
      </c>
      <c r="B759" t="s">
        <v>520</v>
      </c>
      <c r="C759" t="s">
        <v>3308</v>
      </c>
      <c r="D759" t="str">
        <f>VLOOKUP(YouTube_University_Data_Final[[#This Row],[Title]],[1]!YouTube_University_Data_Final[[Title]:[Title_language]],2,FALSE)</f>
        <v>English</v>
      </c>
      <c r="E759" t="s">
        <v>790</v>
      </c>
      <c r="F759">
        <v>27</v>
      </c>
      <c r="G759" s="1">
        <v>43798</v>
      </c>
      <c r="H759">
        <v>1210</v>
      </c>
      <c r="I759" t="s">
        <v>522</v>
      </c>
      <c r="J759">
        <v>474</v>
      </c>
      <c r="K759">
        <v>2</v>
      </c>
      <c r="L759">
        <v>0</v>
      </c>
      <c r="M759">
        <v>0</v>
      </c>
      <c r="N759" t="s">
        <v>101</v>
      </c>
      <c r="O759">
        <v>2019</v>
      </c>
      <c r="P759" t="s">
        <v>18</v>
      </c>
    </row>
    <row r="760" spans="1:16" x14ac:dyDescent="0.3">
      <c r="A760">
        <v>342</v>
      </c>
      <c r="B760" t="s">
        <v>520</v>
      </c>
      <c r="C760" t="s">
        <v>791</v>
      </c>
      <c r="D760" t="str">
        <f>VLOOKUP(YouTube_University_Data_Final[[#This Row],[Title]],[1]!YouTube_University_Data_Final[[Title]:[Title_language]],2,FALSE)</f>
        <v>English</v>
      </c>
      <c r="E760" t="s">
        <v>792</v>
      </c>
      <c r="F760">
        <v>27</v>
      </c>
      <c r="G760" s="1">
        <v>43795</v>
      </c>
      <c r="H760">
        <v>193</v>
      </c>
      <c r="I760" t="s">
        <v>793</v>
      </c>
      <c r="J760">
        <v>325</v>
      </c>
      <c r="K760">
        <v>2</v>
      </c>
      <c r="L760">
        <v>0</v>
      </c>
      <c r="M760">
        <v>0</v>
      </c>
      <c r="N760" t="s">
        <v>101</v>
      </c>
      <c r="O760">
        <v>2019</v>
      </c>
      <c r="P760" t="s">
        <v>18</v>
      </c>
    </row>
    <row r="761" spans="1:16" x14ac:dyDescent="0.3">
      <c r="A761">
        <v>343</v>
      </c>
      <c r="B761" t="s">
        <v>520</v>
      </c>
      <c r="C761" t="s">
        <v>794</v>
      </c>
      <c r="D761" t="str">
        <f>VLOOKUP(YouTube_University_Data_Final[[#This Row],[Title]],[1]!YouTube_University_Data_Final[[Title]:[Title_language]],2,FALSE)</f>
        <v>English</v>
      </c>
      <c r="E761" t="s">
        <v>795</v>
      </c>
      <c r="F761">
        <v>27</v>
      </c>
      <c r="G761" s="1">
        <v>43795</v>
      </c>
      <c r="H761">
        <v>308</v>
      </c>
      <c r="I761" t="s">
        <v>793</v>
      </c>
      <c r="J761">
        <v>1077</v>
      </c>
      <c r="K761">
        <v>17</v>
      </c>
      <c r="L761">
        <v>0</v>
      </c>
      <c r="M761">
        <v>0</v>
      </c>
      <c r="N761" t="s">
        <v>101</v>
      </c>
      <c r="O761">
        <v>2019</v>
      </c>
      <c r="P761" t="s">
        <v>18</v>
      </c>
    </row>
    <row r="762" spans="1:16" x14ac:dyDescent="0.3">
      <c r="A762">
        <v>344</v>
      </c>
      <c r="B762" t="s">
        <v>520</v>
      </c>
      <c r="C762" t="s">
        <v>3309</v>
      </c>
      <c r="D762" t="str">
        <f>VLOOKUP(YouTube_University_Data_Final[[#This Row],[Title]],[1]!YouTube_University_Data_Final[[Title]:[Title_language]],2,FALSE)</f>
        <v>Chinese</v>
      </c>
      <c r="E762" t="s">
        <v>2944</v>
      </c>
      <c r="F762">
        <v>27</v>
      </c>
      <c r="G762" s="1">
        <v>43791</v>
      </c>
      <c r="H762">
        <v>490</v>
      </c>
      <c r="I762" t="s">
        <v>522</v>
      </c>
      <c r="J762">
        <v>16024</v>
      </c>
      <c r="K762">
        <v>127</v>
      </c>
      <c r="L762">
        <v>0</v>
      </c>
      <c r="M762">
        <v>0</v>
      </c>
      <c r="N762" t="s">
        <v>101</v>
      </c>
      <c r="O762">
        <v>2019</v>
      </c>
      <c r="P762" t="s">
        <v>18</v>
      </c>
    </row>
    <row r="763" spans="1:16" x14ac:dyDescent="0.3">
      <c r="A763">
        <v>345</v>
      </c>
      <c r="B763" t="s">
        <v>520</v>
      </c>
      <c r="C763" t="s">
        <v>796</v>
      </c>
      <c r="D763" t="str">
        <f>VLOOKUP(YouTube_University_Data_Final[[#This Row],[Title]],[1]!YouTube_University_Data_Final[[Title]:[Title_language]],2,FALSE)</f>
        <v>English</v>
      </c>
      <c r="E763" t="s">
        <v>797</v>
      </c>
      <c r="F763">
        <v>27</v>
      </c>
      <c r="G763" s="1">
        <v>43788</v>
      </c>
      <c r="H763">
        <v>761</v>
      </c>
      <c r="I763" t="s">
        <v>522</v>
      </c>
      <c r="J763">
        <v>2177</v>
      </c>
      <c r="K763">
        <v>9</v>
      </c>
      <c r="L763">
        <v>0</v>
      </c>
      <c r="M763">
        <v>0</v>
      </c>
      <c r="N763" t="s">
        <v>101</v>
      </c>
      <c r="O763">
        <v>2019</v>
      </c>
      <c r="P763" t="s">
        <v>18</v>
      </c>
    </row>
    <row r="764" spans="1:16" x14ac:dyDescent="0.3">
      <c r="A764">
        <v>346</v>
      </c>
      <c r="B764" t="s">
        <v>520</v>
      </c>
      <c r="C764" t="s">
        <v>798</v>
      </c>
      <c r="D764" t="str">
        <f>VLOOKUP(YouTube_University_Data_Final[[#This Row],[Title]],[1]!YouTube_University_Data_Final[[Title]:[Title_language]],2,FALSE)</f>
        <v>English</v>
      </c>
      <c r="E764" t="s">
        <v>799</v>
      </c>
      <c r="F764">
        <v>27</v>
      </c>
      <c r="G764" s="1">
        <v>43783</v>
      </c>
      <c r="H764">
        <v>77</v>
      </c>
      <c r="I764" t="s">
        <v>522</v>
      </c>
      <c r="J764">
        <v>1252</v>
      </c>
      <c r="K764">
        <v>3</v>
      </c>
      <c r="L764">
        <v>0</v>
      </c>
      <c r="M764">
        <v>0</v>
      </c>
      <c r="N764" t="s">
        <v>101</v>
      </c>
      <c r="O764">
        <v>2019</v>
      </c>
      <c r="P764" t="s">
        <v>18</v>
      </c>
    </row>
    <row r="765" spans="1:16" x14ac:dyDescent="0.3">
      <c r="A765">
        <v>347</v>
      </c>
      <c r="B765" t="s">
        <v>520</v>
      </c>
      <c r="C765" t="s">
        <v>800</v>
      </c>
      <c r="D765" t="str">
        <f>VLOOKUP(YouTube_University_Data_Final[[#This Row],[Title]],[1]!YouTube_University_Data_Final[[Title]:[Title_language]],2,FALSE)</f>
        <v>English</v>
      </c>
      <c r="E765" t="s">
        <v>801</v>
      </c>
      <c r="F765">
        <v>27</v>
      </c>
      <c r="G765" s="1">
        <v>43783</v>
      </c>
      <c r="H765">
        <v>82</v>
      </c>
      <c r="I765" t="s">
        <v>522</v>
      </c>
      <c r="J765">
        <v>471</v>
      </c>
      <c r="K765">
        <v>0</v>
      </c>
      <c r="L765">
        <v>0</v>
      </c>
      <c r="M765">
        <v>0</v>
      </c>
      <c r="N765" t="s">
        <v>101</v>
      </c>
      <c r="O765">
        <v>2019</v>
      </c>
      <c r="P765" t="s">
        <v>18</v>
      </c>
    </row>
    <row r="766" spans="1:16" x14ac:dyDescent="0.3">
      <c r="A766">
        <v>348</v>
      </c>
      <c r="B766" t="s">
        <v>520</v>
      </c>
      <c r="C766" t="s">
        <v>802</v>
      </c>
      <c r="D766" t="str">
        <f>VLOOKUP(YouTube_University_Data_Final[[#This Row],[Title]],[1]!YouTube_University_Data_Final[[Title]:[Title_language]],2,FALSE)</f>
        <v>English</v>
      </c>
      <c r="E766" t="s">
        <v>799</v>
      </c>
      <c r="F766">
        <v>27</v>
      </c>
      <c r="G766" s="1">
        <v>43783</v>
      </c>
      <c r="H766">
        <v>72</v>
      </c>
      <c r="I766" t="s">
        <v>522</v>
      </c>
      <c r="J766">
        <v>963</v>
      </c>
      <c r="K766">
        <v>8</v>
      </c>
      <c r="L766">
        <v>0</v>
      </c>
      <c r="M766">
        <v>0</v>
      </c>
      <c r="N766" t="s">
        <v>101</v>
      </c>
      <c r="O766">
        <v>2019</v>
      </c>
      <c r="P766" t="s">
        <v>18</v>
      </c>
    </row>
    <row r="767" spans="1:16" x14ac:dyDescent="0.3">
      <c r="A767">
        <v>349</v>
      </c>
      <c r="B767" t="s">
        <v>520</v>
      </c>
      <c r="C767" t="s">
        <v>803</v>
      </c>
      <c r="D767" t="str">
        <f>VLOOKUP(YouTube_University_Data_Final[[#This Row],[Title]],[1]!YouTube_University_Data_Final[[Title]:[Title_language]],2,FALSE)</f>
        <v>English</v>
      </c>
      <c r="E767" t="s">
        <v>799</v>
      </c>
      <c r="F767">
        <v>27</v>
      </c>
      <c r="G767" s="1">
        <v>43783</v>
      </c>
      <c r="H767">
        <v>74</v>
      </c>
      <c r="I767" t="s">
        <v>522</v>
      </c>
      <c r="J767">
        <v>256</v>
      </c>
      <c r="K767">
        <v>0</v>
      </c>
      <c r="L767">
        <v>0</v>
      </c>
      <c r="M767">
        <v>0</v>
      </c>
      <c r="N767" t="s">
        <v>101</v>
      </c>
      <c r="O767">
        <v>2019</v>
      </c>
      <c r="P767" t="s">
        <v>18</v>
      </c>
    </row>
    <row r="768" spans="1:16" x14ac:dyDescent="0.3">
      <c r="A768">
        <v>350</v>
      </c>
      <c r="B768" t="s">
        <v>520</v>
      </c>
      <c r="C768" t="s">
        <v>804</v>
      </c>
      <c r="D768" t="str">
        <f>VLOOKUP(YouTube_University_Data_Final[[#This Row],[Title]],[1]!YouTube_University_Data_Final[[Title]:[Title_language]],2,FALSE)</f>
        <v>English</v>
      </c>
      <c r="E768" t="s">
        <v>805</v>
      </c>
      <c r="F768">
        <v>27</v>
      </c>
      <c r="G768" s="1">
        <v>43783</v>
      </c>
      <c r="H768">
        <v>454</v>
      </c>
      <c r="I768" t="s">
        <v>806</v>
      </c>
      <c r="J768">
        <v>447</v>
      </c>
      <c r="K768">
        <v>2</v>
      </c>
      <c r="L768">
        <v>0</v>
      </c>
      <c r="M768">
        <v>0</v>
      </c>
      <c r="N768" t="s">
        <v>101</v>
      </c>
      <c r="O768">
        <v>2019</v>
      </c>
      <c r="P768" t="s">
        <v>18</v>
      </c>
    </row>
    <row r="769" spans="1:16" x14ac:dyDescent="0.3">
      <c r="A769">
        <v>351</v>
      </c>
      <c r="B769" t="s">
        <v>520</v>
      </c>
      <c r="C769" t="s">
        <v>807</v>
      </c>
      <c r="D769" t="str">
        <f>VLOOKUP(YouTube_University_Data_Final[[#This Row],[Title]],[1]!YouTube_University_Data_Final[[Title]:[Title_language]],2,FALSE)</f>
        <v>English</v>
      </c>
      <c r="E769" t="s">
        <v>808</v>
      </c>
      <c r="F769">
        <v>27</v>
      </c>
      <c r="G769" s="1">
        <v>43783</v>
      </c>
      <c r="H769">
        <v>89</v>
      </c>
      <c r="I769" t="s">
        <v>522</v>
      </c>
      <c r="J769">
        <v>395</v>
      </c>
      <c r="K769">
        <v>1</v>
      </c>
      <c r="L769">
        <v>0</v>
      </c>
      <c r="M769">
        <v>0</v>
      </c>
      <c r="N769" t="s">
        <v>101</v>
      </c>
      <c r="O769">
        <v>2019</v>
      </c>
      <c r="P769" t="s">
        <v>18</v>
      </c>
    </row>
    <row r="770" spans="1:16" x14ac:dyDescent="0.3">
      <c r="A770">
        <v>352</v>
      </c>
      <c r="B770" t="s">
        <v>520</v>
      </c>
      <c r="C770" t="s">
        <v>809</v>
      </c>
      <c r="D770" t="str">
        <f>VLOOKUP(YouTube_University_Data_Final[[#This Row],[Title]],[1]!YouTube_University_Data_Final[[Title]:[Title_language]],2,FALSE)</f>
        <v>English</v>
      </c>
      <c r="E770" t="s">
        <v>3310</v>
      </c>
      <c r="F770">
        <v>27</v>
      </c>
      <c r="G770" s="1">
        <v>43783</v>
      </c>
      <c r="H770">
        <v>769</v>
      </c>
      <c r="I770" t="s">
        <v>810</v>
      </c>
      <c r="J770">
        <v>1076</v>
      </c>
      <c r="K770">
        <v>22</v>
      </c>
      <c r="L770">
        <v>0</v>
      </c>
      <c r="M770">
        <v>0</v>
      </c>
      <c r="N770" t="s">
        <v>101</v>
      </c>
      <c r="O770">
        <v>2019</v>
      </c>
      <c r="P770" t="s">
        <v>18</v>
      </c>
    </row>
    <row r="771" spans="1:16" x14ac:dyDescent="0.3">
      <c r="A771">
        <v>353</v>
      </c>
      <c r="B771" t="s">
        <v>520</v>
      </c>
      <c r="C771" t="s">
        <v>811</v>
      </c>
      <c r="D771" t="str">
        <f>VLOOKUP(YouTube_University_Data_Final[[#This Row],[Title]],[1]!YouTube_University_Data_Final[[Title]:[Title_language]],2,FALSE)</f>
        <v>English</v>
      </c>
      <c r="E771" t="s">
        <v>2944</v>
      </c>
      <c r="F771">
        <v>27</v>
      </c>
      <c r="G771" s="1">
        <v>43782</v>
      </c>
      <c r="H771">
        <v>126</v>
      </c>
      <c r="I771" t="s">
        <v>522</v>
      </c>
      <c r="J771">
        <v>327</v>
      </c>
      <c r="K771">
        <v>3</v>
      </c>
      <c r="L771">
        <v>0</v>
      </c>
      <c r="M771">
        <v>0</v>
      </c>
      <c r="N771" t="s">
        <v>101</v>
      </c>
      <c r="O771">
        <v>2019</v>
      </c>
      <c r="P771" t="s">
        <v>18</v>
      </c>
    </row>
    <row r="772" spans="1:16" x14ac:dyDescent="0.3">
      <c r="A772">
        <v>354</v>
      </c>
      <c r="B772" t="s">
        <v>520</v>
      </c>
      <c r="C772" t="s">
        <v>812</v>
      </c>
      <c r="D772" t="str">
        <f>VLOOKUP(YouTube_University_Data_Final[[#This Row],[Title]],[1]!YouTube_University_Data_Final[[Title]:[Title_language]],2,FALSE)</f>
        <v>English</v>
      </c>
      <c r="E772" t="s">
        <v>2944</v>
      </c>
      <c r="F772">
        <v>27</v>
      </c>
      <c r="G772" s="1">
        <v>43782</v>
      </c>
      <c r="H772">
        <v>172</v>
      </c>
      <c r="I772" t="s">
        <v>522</v>
      </c>
      <c r="J772">
        <v>1216</v>
      </c>
      <c r="K772">
        <v>15</v>
      </c>
      <c r="L772">
        <v>0</v>
      </c>
      <c r="M772">
        <v>0</v>
      </c>
      <c r="N772" t="s">
        <v>101</v>
      </c>
      <c r="O772">
        <v>2019</v>
      </c>
      <c r="P772" t="s">
        <v>18</v>
      </c>
    </row>
    <row r="773" spans="1:16" x14ac:dyDescent="0.3">
      <c r="A773">
        <v>355</v>
      </c>
      <c r="B773" t="s">
        <v>520</v>
      </c>
      <c r="C773" t="s">
        <v>813</v>
      </c>
      <c r="D773" t="str">
        <f>VLOOKUP(YouTube_University_Data_Final[[#This Row],[Title]],[1]!YouTube_University_Data_Final[[Title]:[Title_language]],2,FALSE)</f>
        <v>English</v>
      </c>
      <c r="E773" t="s">
        <v>814</v>
      </c>
      <c r="F773">
        <v>27</v>
      </c>
      <c r="G773" s="1">
        <v>43782</v>
      </c>
      <c r="H773">
        <v>136</v>
      </c>
      <c r="I773" t="s">
        <v>522</v>
      </c>
      <c r="J773">
        <v>569</v>
      </c>
      <c r="K773">
        <v>2</v>
      </c>
      <c r="L773">
        <v>0</v>
      </c>
      <c r="M773">
        <v>0</v>
      </c>
      <c r="N773" t="s">
        <v>101</v>
      </c>
      <c r="O773">
        <v>2019</v>
      </c>
      <c r="P773" t="s">
        <v>18</v>
      </c>
    </row>
    <row r="774" spans="1:16" x14ac:dyDescent="0.3">
      <c r="A774">
        <v>356</v>
      </c>
      <c r="B774" t="s">
        <v>520</v>
      </c>
      <c r="C774" t="s">
        <v>815</v>
      </c>
      <c r="D774" t="str">
        <f>VLOOKUP(YouTube_University_Data_Final[[#This Row],[Title]],[1]!YouTube_University_Data_Final[[Title]:[Title_language]],2,FALSE)</f>
        <v>English</v>
      </c>
      <c r="E774" t="s">
        <v>3311</v>
      </c>
      <c r="F774">
        <v>27</v>
      </c>
      <c r="G774" s="1">
        <v>43782</v>
      </c>
      <c r="H774">
        <v>165</v>
      </c>
      <c r="I774" t="s">
        <v>522</v>
      </c>
      <c r="J774">
        <v>858</v>
      </c>
      <c r="K774">
        <v>5</v>
      </c>
      <c r="L774">
        <v>0</v>
      </c>
      <c r="M774">
        <v>0</v>
      </c>
      <c r="N774" t="s">
        <v>101</v>
      </c>
      <c r="O774">
        <v>2019</v>
      </c>
      <c r="P774" t="s">
        <v>18</v>
      </c>
    </row>
    <row r="775" spans="1:16" x14ac:dyDescent="0.3">
      <c r="A775">
        <v>357</v>
      </c>
      <c r="B775" t="s">
        <v>520</v>
      </c>
      <c r="C775" t="s">
        <v>816</v>
      </c>
      <c r="D775" t="str">
        <f>VLOOKUP(YouTube_University_Data_Final[[#This Row],[Title]],[1]!YouTube_University_Data_Final[[Title]:[Title_language]],2,FALSE)</f>
        <v>English</v>
      </c>
      <c r="E775" t="s">
        <v>817</v>
      </c>
      <c r="F775">
        <v>27</v>
      </c>
      <c r="G775" s="1">
        <v>43782</v>
      </c>
      <c r="H775">
        <v>220</v>
      </c>
      <c r="I775" t="s">
        <v>522</v>
      </c>
      <c r="J775">
        <v>1436</v>
      </c>
      <c r="K775">
        <v>10</v>
      </c>
      <c r="L775">
        <v>0</v>
      </c>
      <c r="M775">
        <v>0</v>
      </c>
      <c r="N775" t="s">
        <v>101</v>
      </c>
      <c r="O775">
        <v>2019</v>
      </c>
      <c r="P775" t="s">
        <v>18</v>
      </c>
    </row>
    <row r="776" spans="1:16" x14ac:dyDescent="0.3">
      <c r="A776">
        <v>358</v>
      </c>
      <c r="B776" t="s">
        <v>520</v>
      </c>
      <c r="C776" t="s">
        <v>818</v>
      </c>
      <c r="D776" t="str">
        <f>VLOOKUP(YouTube_University_Data_Final[[#This Row],[Title]],[1]!YouTube_University_Data_Final[[Title]:[Title_language]],2,FALSE)</f>
        <v>English</v>
      </c>
      <c r="E776" t="s">
        <v>819</v>
      </c>
      <c r="F776">
        <v>27</v>
      </c>
      <c r="G776" s="1">
        <v>43782</v>
      </c>
      <c r="H776">
        <v>99</v>
      </c>
      <c r="I776" t="s">
        <v>820</v>
      </c>
      <c r="J776">
        <v>184</v>
      </c>
      <c r="K776">
        <v>1</v>
      </c>
      <c r="L776">
        <v>0</v>
      </c>
      <c r="M776">
        <v>0</v>
      </c>
      <c r="N776" t="s">
        <v>101</v>
      </c>
      <c r="O776">
        <v>2019</v>
      </c>
      <c r="P776" t="s">
        <v>18</v>
      </c>
    </row>
    <row r="777" spans="1:16" x14ac:dyDescent="0.3">
      <c r="A777">
        <v>359</v>
      </c>
      <c r="B777" t="s">
        <v>520</v>
      </c>
      <c r="C777" t="s">
        <v>821</v>
      </c>
      <c r="D777" t="str">
        <f>VLOOKUP(YouTube_University_Data_Final[[#This Row],[Title]],[1]!YouTube_University_Data_Final[[Title]:[Title_language]],2,FALSE)</f>
        <v>English</v>
      </c>
      <c r="E777" t="s">
        <v>822</v>
      </c>
      <c r="F777">
        <v>27</v>
      </c>
      <c r="G777" s="1">
        <v>43781</v>
      </c>
      <c r="H777">
        <v>711</v>
      </c>
      <c r="I777" t="s">
        <v>823</v>
      </c>
      <c r="J777">
        <v>2624</v>
      </c>
      <c r="K777">
        <v>21</v>
      </c>
      <c r="L777">
        <v>0</v>
      </c>
      <c r="M777">
        <v>0</v>
      </c>
      <c r="N777" t="s">
        <v>101</v>
      </c>
      <c r="O777">
        <v>2019</v>
      </c>
      <c r="P777" t="s">
        <v>18</v>
      </c>
    </row>
    <row r="778" spans="1:16" x14ac:dyDescent="0.3">
      <c r="A778">
        <v>360</v>
      </c>
      <c r="B778" t="s">
        <v>520</v>
      </c>
      <c r="C778" t="s">
        <v>824</v>
      </c>
      <c r="D778" t="str">
        <f>VLOOKUP(YouTube_University_Data_Final[[#This Row],[Title]],[1]!YouTube_University_Data_Final[[Title]:[Title_language]],2,FALSE)</f>
        <v>English</v>
      </c>
      <c r="E778" t="s">
        <v>825</v>
      </c>
      <c r="F778">
        <v>27</v>
      </c>
      <c r="G778" s="1">
        <v>43781</v>
      </c>
      <c r="H778">
        <v>798</v>
      </c>
      <c r="I778" t="s">
        <v>522</v>
      </c>
      <c r="J778">
        <v>835</v>
      </c>
      <c r="K778">
        <v>7</v>
      </c>
      <c r="L778">
        <v>0</v>
      </c>
      <c r="M778">
        <v>0</v>
      </c>
      <c r="N778" t="s">
        <v>101</v>
      </c>
      <c r="O778">
        <v>2019</v>
      </c>
      <c r="P778" t="s">
        <v>18</v>
      </c>
    </row>
    <row r="779" spans="1:16" x14ac:dyDescent="0.3">
      <c r="A779">
        <v>361</v>
      </c>
      <c r="B779" t="s">
        <v>520</v>
      </c>
      <c r="C779" t="s">
        <v>826</v>
      </c>
      <c r="D779" t="str">
        <f>VLOOKUP(YouTube_University_Data_Final[[#This Row],[Title]],[1]!YouTube_University_Data_Final[[Title]:[Title_language]],2,FALSE)</f>
        <v>English</v>
      </c>
      <c r="E779" t="s">
        <v>3312</v>
      </c>
      <c r="F779">
        <v>27</v>
      </c>
      <c r="G779" s="1">
        <v>43781</v>
      </c>
      <c r="H779">
        <v>708</v>
      </c>
      <c r="I779" t="s">
        <v>522</v>
      </c>
      <c r="J779">
        <v>1239</v>
      </c>
      <c r="K779">
        <v>9</v>
      </c>
      <c r="L779">
        <v>0</v>
      </c>
      <c r="M779">
        <v>0</v>
      </c>
      <c r="N779" t="s">
        <v>101</v>
      </c>
      <c r="O779">
        <v>2019</v>
      </c>
      <c r="P779" t="s">
        <v>18</v>
      </c>
    </row>
    <row r="780" spans="1:16" x14ac:dyDescent="0.3">
      <c r="A780">
        <v>362</v>
      </c>
      <c r="B780" t="s">
        <v>520</v>
      </c>
      <c r="C780" t="s">
        <v>827</v>
      </c>
      <c r="D780" t="str">
        <f>VLOOKUP(YouTube_University_Data_Final[[#This Row],[Title]],[1]!YouTube_University_Data_Final[[Title]:[Title_language]],2,FALSE)</f>
        <v>English</v>
      </c>
      <c r="E780" t="s">
        <v>828</v>
      </c>
      <c r="F780">
        <v>27</v>
      </c>
      <c r="G780" s="1">
        <v>43781</v>
      </c>
      <c r="H780">
        <v>1271</v>
      </c>
      <c r="I780" t="s">
        <v>522</v>
      </c>
      <c r="J780">
        <v>2796</v>
      </c>
      <c r="K780">
        <v>30</v>
      </c>
      <c r="L780">
        <v>0</v>
      </c>
      <c r="M780">
        <v>0</v>
      </c>
      <c r="N780" t="s">
        <v>101</v>
      </c>
      <c r="O780">
        <v>2019</v>
      </c>
      <c r="P780" t="s">
        <v>18</v>
      </c>
    </row>
    <row r="781" spans="1:16" x14ac:dyDescent="0.3">
      <c r="A781">
        <v>363</v>
      </c>
      <c r="B781" t="s">
        <v>520</v>
      </c>
      <c r="C781" t="s">
        <v>3313</v>
      </c>
      <c r="D781" t="str">
        <f>VLOOKUP(YouTube_University_Data_Final[[#This Row],[Title]],[1]!YouTube_University_Data_Final[[Title]:[Title_language]],2,FALSE)</f>
        <v>Bilingual</v>
      </c>
      <c r="E781" t="s">
        <v>2944</v>
      </c>
      <c r="F781">
        <v>27</v>
      </c>
      <c r="G781" s="1">
        <v>43777</v>
      </c>
      <c r="H781">
        <v>716</v>
      </c>
      <c r="I781" t="s">
        <v>522</v>
      </c>
      <c r="J781">
        <v>4138</v>
      </c>
      <c r="K781">
        <v>46</v>
      </c>
      <c r="L781">
        <v>0</v>
      </c>
      <c r="M781">
        <v>0</v>
      </c>
      <c r="N781" t="s">
        <v>101</v>
      </c>
      <c r="O781">
        <v>2019</v>
      </c>
      <c r="P781" t="s">
        <v>18</v>
      </c>
    </row>
    <row r="782" spans="1:16" x14ac:dyDescent="0.3">
      <c r="A782">
        <v>364</v>
      </c>
      <c r="B782" t="s">
        <v>520</v>
      </c>
      <c r="C782" t="s">
        <v>3314</v>
      </c>
      <c r="D782" t="str">
        <f>VLOOKUP(YouTube_University_Data_Final[[#This Row],[Title]],[1]!YouTube_University_Data_Final[[Title]:[Title_language]],2,FALSE)</f>
        <v>Bilingual</v>
      </c>
      <c r="E782" t="s">
        <v>829</v>
      </c>
      <c r="F782">
        <v>27</v>
      </c>
      <c r="G782" s="1">
        <v>43777</v>
      </c>
      <c r="H782">
        <v>369</v>
      </c>
      <c r="I782" t="s">
        <v>522</v>
      </c>
      <c r="J782">
        <v>2817</v>
      </c>
      <c r="K782">
        <v>15</v>
      </c>
      <c r="L782">
        <v>0</v>
      </c>
      <c r="M782">
        <v>0</v>
      </c>
      <c r="N782" t="s">
        <v>101</v>
      </c>
      <c r="O782">
        <v>2019</v>
      </c>
      <c r="P782" t="s">
        <v>18</v>
      </c>
    </row>
    <row r="783" spans="1:16" x14ac:dyDescent="0.3">
      <c r="A783">
        <v>365</v>
      </c>
      <c r="B783" t="s">
        <v>520</v>
      </c>
      <c r="C783" t="s">
        <v>3315</v>
      </c>
      <c r="D783" t="str">
        <f>VLOOKUP(YouTube_University_Data_Final[[#This Row],[Title]],[1]!YouTube_University_Data_Final[[Title]:[Title_language]],2,FALSE)</f>
        <v>Bilingual</v>
      </c>
      <c r="E783" t="s">
        <v>830</v>
      </c>
      <c r="F783">
        <v>27</v>
      </c>
      <c r="G783" s="1">
        <v>43777</v>
      </c>
      <c r="H783">
        <v>329</v>
      </c>
      <c r="I783" t="s">
        <v>522</v>
      </c>
      <c r="J783">
        <v>2458</v>
      </c>
      <c r="K783">
        <v>17</v>
      </c>
      <c r="L783">
        <v>0</v>
      </c>
      <c r="M783">
        <v>0</v>
      </c>
      <c r="N783" t="s">
        <v>101</v>
      </c>
      <c r="O783">
        <v>2019</v>
      </c>
      <c r="P783" t="s">
        <v>18</v>
      </c>
    </row>
    <row r="784" spans="1:16" x14ac:dyDescent="0.3">
      <c r="A784">
        <v>366</v>
      </c>
      <c r="B784" t="s">
        <v>520</v>
      </c>
      <c r="C784" t="s">
        <v>831</v>
      </c>
      <c r="D784" t="str">
        <f>VLOOKUP(YouTube_University_Data_Final[[#This Row],[Title]],[1]!YouTube_University_Data_Final[[Title]:[Title_language]],2,FALSE)</f>
        <v>English</v>
      </c>
      <c r="E784" t="s">
        <v>2944</v>
      </c>
      <c r="F784">
        <v>27</v>
      </c>
      <c r="G784" s="1">
        <v>43775</v>
      </c>
      <c r="H784">
        <v>173</v>
      </c>
      <c r="I784" t="s">
        <v>522</v>
      </c>
      <c r="J784">
        <v>367</v>
      </c>
      <c r="K784">
        <v>6</v>
      </c>
      <c r="L784">
        <v>0</v>
      </c>
      <c r="M784">
        <v>0</v>
      </c>
      <c r="N784" t="s">
        <v>101</v>
      </c>
      <c r="O784">
        <v>2019</v>
      </c>
      <c r="P784" t="s">
        <v>18</v>
      </c>
    </row>
    <row r="785" spans="1:16" x14ac:dyDescent="0.3">
      <c r="A785">
        <v>367</v>
      </c>
      <c r="B785" t="s">
        <v>520</v>
      </c>
      <c r="C785" t="s">
        <v>832</v>
      </c>
      <c r="D785" t="str">
        <f>VLOOKUP(YouTube_University_Data_Final[[#This Row],[Title]],[1]!YouTube_University_Data_Final[[Title]:[Title_language]],2,FALSE)</f>
        <v>English</v>
      </c>
      <c r="E785" t="s">
        <v>833</v>
      </c>
      <c r="F785">
        <v>27</v>
      </c>
      <c r="G785" s="1">
        <v>43775</v>
      </c>
      <c r="H785">
        <v>1185</v>
      </c>
      <c r="I785" t="s">
        <v>834</v>
      </c>
      <c r="J785">
        <v>1560</v>
      </c>
      <c r="K785">
        <v>11</v>
      </c>
      <c r="L785">
        <v>0</v>
      </c>
      <c r="M785">
        <v>0</v>
      </c>
      <c r="N785" t="s">
        <v>101</v>
      </c>
      <c r="O785">
        <v>2019</v>
      </c>
      <c r="P785" t="s">
        <v>18</v>
      </c>
    </row>
    <row r="786" spans="1:16" x14ac:dyDescent="0.3">
      <c r="A786">
        <v>368</v>
      </c>
      <c r="B786" t="s">
        <v>520</v>
      </c>
      <c r="C786" t="s">
        <v>835</v>
      </c>
      <c r="D786" t="str">
        <f>VLOOKUP(YouTube_University_Data_Final[[#This Row],[Title]],[1]!YouTube_University_Data_Final[[Title]:[Title_language]],2,FALSE)</f>
        <v>English</v>
      </c>
      <c r="E786" t="s">
        <v>3316</v>
      </c>
      <c r="F786">
        <v>27</v>
      </c>
      <c r="G786" s="1">
        <v>43775</v>
      </c>
      <c r="H786">
        <v>32</v>
      </c>
      <c r="I786" t="s">
        <v>836</v>
      </c>
      <c r="J786">
        <v>2174</v>
      </c>
      <c r="K786">
        <v>29</v>
      </c>
      <c r="L786">
        <v>0</v>
      </c>
      <c r="M786">
        <v>0</v>
      </c>
      <c r="N786" t="s">
        <v>101</v>
      </c>
      <c r="O786">
        <v>2019</v>
      </c>
      <c r="P786" t="s">
        <v>18</v>
      </c>
    </row>
    <row r="787" spans="1:16" x14ac:dyDescent="0.3">
      <c r="A787">
        <v>369</v>
      </c>
      <c r="B787" t="s">
        <v>520</v>
      </c>
      <c r="C787" t="s">
        <v>837</v>
      </c>
      <c r="D787" t="str">
        <f>VLOOKUP(YouTube_University_Data_Final[[#This Row],[Title]],[1]!YouTube_University_Data_Final[[Title]:[Title_language]],2,FALSE)</f>
        <v>English</v>
      </c>
      <c r="E787" t="s">
        <v>2944</v>
      </c>
      <c r="F787">
        <v>27</v>
      </c>
      <c r="G787" s="1">
        <v>43774</v>
      </c>
      <c r="H787">
        <v>822</v>
      </c>
      <c r="I787" t="s">
        <v>522</v>
      </c>
      <c r="J787">
        <v>370</v>
      </c>
      <c r="K787">
        <v>2</v>
      </c>
      <c r="L787">
        <v>0</v>
      </c>
      <c r="M787">
        <v>0</v>
      </c>
      <c r="N787" t="s">
        <v>101</v>
      </c>
      <c r="O787">
        <v>2019</v>
      </c>
      <c r="P787" t="s">
        <v>18</v>
      </c>
    </row>
    <row r="788" spans="1:16" x14ac:dyDescent="0.3">
      <c r="A788">
        <v>370</v>
      </c>
      <c r="B788" t="s">
        <v>520</v>
      </c>
      <c r="C788" t="s">
        <v>838</v>
      </c>
      <c r="D788" t="str">
        <f>VLOOKUP(YouTube_University_Data_Final[[#This Row],[Title]],[1]!YouTube_University_Data_Final[[Title]:[Title_language]],2,FALSE)</f>
        <v>English</v>
      </c>
      <c r="E788" t="s">
        <v>2944</v>
      </c>
      <c r="F788">
        <v>27</v>
      </c>
      <c r="G788" s="1">
        <v>43774</v>
      </c>
      <c r="H788">
        <v>717</v>
      </c>
      <c r="I788" t="s">
        <v>522</v>
      </c>
      <c r="J788">
        <v>4673</v>
      </c>
      <c r="K788">
        <v>48</v>
      </c>
      <c r="L788">
        <v>0</v>
      </c>
      <c r="M788">
        <v>0</v>
      </c>
      <c r="N788" t="s">
        <v>101</v>
      </c>
      <c r="O788">
        <v>2019</v>
      </c>
      <c r="P788" t="s">
        <v>18</v>
      </c>
    </row>
    <row r="789" spans="1:16" x14ac:dyDescent="0.3">
      <c r="A789">
        <v>371</v>
      </c>
      <c r="B789" t="s">
        <v>520</v>
      </c>
      <c r="C789" t="s">
        <v>839</v>
      </c>
      <c r="D789" t="str">
        <f>VLOOKUP(YouTube_University_Data_Final[[#This Row],[Title]],[1]!YouTube_University_Data_Final[[Title]:[Title_language]],2,FALSE)</f>
        <v>English</v>
      </c>
      <c r="E789" t="s">
        <v>2944</v>
      </c>
      <c r="F789">
        <v>27</v>
      </c>
      <c r="G789" s="1">
        <v>43774</v>
      </c>
      <c r="H789">
        <v>271</v>
      </c>
      <c r="I789" t="s">
        <v>522</v>
      </c>
      <c r="J789">
        <v>1396</v>
      </c>
      <c r="K789">
        <v>9</v>
      </c>
      <c r="L789">
        <v>0</v>
      </c>
      <c r="M789">
        <v>0</v>
      </c>
      <c r="N789" t="s">
        <v>101</v>
      </c>
      <c r="O789">
        <v>2019</v>
      </c>
      <c r="P789" t="s">
        <v>18</v>
      </c>
    </row>
    <row r="790" spans="1:16" x14ac:dyDescent="0.3">
      <c r="A790">
        <v>372</v>
      </c>
      <c r="B790" t="s">
        <v>520</v>
      </c>
      <c r="C790" t="s">
        <v>840</v>
      </c>
      <c r="D790" t="str">
        <f>VLOOKUP(YouTube_University_Data_Final[[#This Row],[Title]],[1]!YouTube_University_Data_Final[[Title]:[Title_language]],2,FALSE)</f>
        <v>English</v>
      </c>
      <c r="E790" t="s">
        <v>3317</v>
      </c>
      <c r="F790">
        <v>27</v>
      </c>
      <c r="G790" s="1">
        <v>43774</v>
      </c>
      <c r="H790">
        <v>551</v>
      </c>
      <c r="I790" t="s">
        <v>841</v>
      </c>
      <c r="J790">
        <v>976</v>
      </c>
      <c r="K790">
        <v>3</v>
      </c>
      <c r="L790">
        <v>0</v>
      </c>
      <c r="M790">
        <v>0</v>
      </c>
      <c r="N790" t="s">
        <v>101</v>
      </c>
      <c r="O790">
        <v>2019</v>
      </c>
      <c r="P790" t="s">
        <v>18</v>
      </c>
    </row>
    <row r="791" spans="1:16" x14ac:dyDescent="0.3">
      <c r="A791">
        <v>373</v>
      </c>
      <c r="B791" t="s">
        <v>520</v>
      </c>
      <c r="C791" t="s">
        <v>842</v>
      </c>
      <c r="D791" t="str">
        <f>VLOOKUP(YouTube_University_Data_Final[[#This Row],[Title]],[1]!YouTube_University_Data_Final[[Title]:[Title_language]],2,FALSE)</f>
        <v>English</v>
      </c>
      <c r="E791" t="s">
        <v>843</v>
      </c>
      <c r="F791">
        <v>27</v>
      </c>
      <c r="G791" s="1">
        <v>43774</v>
      </c>
      <c r="H791">
        <v>176</v>
      </c>
      <c r="I791" t="s">
        <v>522</v>
      </c>
      <c r="J791">
        <v>137</v>
      </c>
      <c r="K791">
        <v>2</v>
      </c>
      <c r="L791">
        <v>0</v>
      </c>
      <c r="M791">
        <v>0</v>
      </c>
      <c r="N791" t="s">
        <v>101</v>
      </c>
      <c r="O791">
        <v>2019</v>
      </c>
      <c r="P791" t="s">
        <v>18</v>
      </c>
    </row>
    <row r="792" spans="1:16" x14ac:dyDescent="0.3">
      <c r="A792">
        <v>374</v>
      </c>
      <c r="B792" t="s">
        <v>520</v>
      </c>
      <c r="C792" t="s">
        <v>844</v>
      </c>
      <c r="D792" t="str">
        <f>VLOOKUP(YouTube_University_Data_Final[[#This Row],[Title]],[1]!YouTube_University_Data_Final[[Title]:[Title_language]],2,FALSE)</f>
        <v>English</v>
      </c>
      <c r="E792" t="s">
        <v>845</v>
      </c>
      <c r="F792">
        <v>27</v>
      </c>
      <c r="G792" s="1">
        <v>43774</v>
      </c>
      <c r="H792">
        <v>188</v>
      </c>
      <c r="I792" t="s">
        <v>522</v>
      </c>
      <c r="J792">
        <v>490</v>
      </c>
      <c r="K792">
        <v>8</v>
      </c>
      <c r="L792">
        <v>0</v>
      </c>
      <c r="M792">
        <v>0</v>
      </c>
      <c r="N792" t="s">
        <v>101</v>
      </c>
      <c r="O792">
        <v>2019</v>
      </c>
      <c r="P792" t="s">
        <v>18</v>
      </c>
    </row>
    <row r="793" spans="1:16" x14ac:dyDescent="0.3">
      <c r="A793">
        <v>375</v>
      </c>
      <c r="B793" t="s">
        <v>520</v>
      </c>
      <c r="C793" t="s">
        <v>846</v>
      </c>
      <c r="D793" t="str">
        <f>VLOOKUP(YouTube_University_Data_Final[[#This Row],[Title]],[1]!YouTube_University_Data_Final[[Title]:[Title_language]],2,FALSE)</f>
        <v>English</v>
      </c>
      <c r="E793" t="s">
        <v>847</v>
      </c>
      <c r="F793">
        <v>27</v>
      </c>
      <c r="G793" s="1">
        <v>43774</v>
      </c>
      <c r="H793">
        <v>373</v>
      </c>
      <c r="I793" t="s">
        <v>522</v>
      </c>
      <c r="J793">
        <v>352</v>
      </c>
      <c r="K793">
        <v>3</v>
      </c>
      <c r="L793">
        <v>0</v>
      </c>
      <c r="M793">
        <v>0</v>
      </c>
      <c r="N793" t="s">
        <v>101</v>
      </c>
      <c r="O793">
        <v>2019</v>
      </c>
      <c r="P793" t="s">
        <v>18</v>
      </c>
    </row>
    <row r="794" spans="1:16" x14ac:dyDescent="0.3">
      <c r="A794">
        <v>376</v>
      </c>
      <c r="B794" t="s">
        <v>520</v>
      </c>
      <c r="C794" t="s">
        <v>848</v>
      </c>
      <c r="D794" t="str">
        <f>VLOOKUP(YouTube_University_Data_Final[[#This Row],[Title]],[1]!YouTube_University_Data_Final[[Title]:[Title_language]],2,FALSE)</f>
        <v>English</v>
      </c>
      <c r="E794" t="s">
        <v>2944</v>
      </c>
      <c r="F794">
        <v>27</v>
      </c>
      <c r="G794" s="1">
        <v>43774</v>
      </c>
      <c r="H794">
        <v>81</v>
      </c>
      <c r="I794" t="s">
        <v>849</v>
      </c>
      <c r="J794">
        <v>842</v>
      </c>
      <c r="K794">
        <v>4</v>
      </c>
      <c r="L794">
        <v>0</v>
      </c>
      <c r="M794">
        <v>0</v>
      </c>
      <c r="N794" t="s">
        <v>101</v>
      </c>
      <c r="O794">
        <v>2019</v>
      </c>
      <c r="P794" t="s">
        <v>18</v>
      </c>
    </row>
    <row r="795" spans="1:16" x14ac:dyDescent="0.3">
      <c r="A795">
        <v>377</v>
      </c>
      <c r="B795" t="s">
        <v>520</v>
      </c>
      <c r="C795" t="s">
        <v>850</v>
      </c>
      <c r="D795" t="str">
        <f>VLOOKUP(YouTube_University_Data_Final[[#This Row],[Title]],[1]!YouTube_University_Data_Final[[Title]:[Title_language]],2,FALSE)</f>
        <v>English</v>
      </c>
      <c r="E795" t="s">
        <v>851</v>
      </c>
      <c r="F795">
        <v>27</v>
      </c>
      <c r="G795" s="1">
        <v>43773</v>
      </c>
      <c r="H795">
        <v>146</v>
      </c>
      <c r="I795" t="s">
        <v>852</v>
      </c>
      <c r="J795">
        <v>2015</v>
      </c>
      <c r="K795">
        <v>14</v>
      </c>
      <c r="L795">
        <v>0</v>
      </c>
      <c r="M795">
        <v>0</v>
      </c>
      <c r="N795" t="s">
        <v>101</v>
      </c>
      <c r="O795">
        <v>2019</v>
      </c>
      <c r="P795" t="s">
        <v>18</v>
      </c>
    </row>
    <row r="796" spans="1:16" x14ac:dyDescent="0.3">
      <c r="A796">
        <v>378</v>
      </c>
      <c r="B796" t="s">
        <v>520</v>
      </c>
      <c r="C796" t="s">
        <v>853</v>
      </c>
      <c r="D796" t="str">
        <f>VLOOKUP(YouTube_University_Data_Final[[#This Row],[Title]],[1]!YouTube_University_Data_Final[[Title]:[Title_language]],2,FALSE)</f>
        <v>English</v>
      </c>
      <c r="E796" t="s">
        <v>2944</v>
      </c>
      <c r="F796">
        <v>27</v>
      </c>
      <c r="G796" s="1">
        <v>43773</v>
      </c>
      <c r="H796">
        <v>107</v>
      </c>
      <c r="I796" t="s">
        <v>854</v>
      </c>
      <c r="J796">
        <v>3661</v>
      </c>
      <c r="K796">
        <v>21</v>
      </c>
      <c r="L796">
        <v>0</v>
      </c>
      <c r="M796">
        <v>0</v>
      </c>
      <c r="N796" t="s">
        <v>101</v>
      </c>
      <c r="O796">
        <v>2019</v>
      </c>
      <c r="P796" t="s">
        <v>18</v>
      </c>
    </row>
    <row r="797" spans="1:16" x14ac:dyDescent="0.3">
      <c r="A797">
        <v>379</v>
      </c>
      <c r="B797" t="s">
        <v>520</v>
      </c>
      <c r="C797" t="s">
        <v>855</v>
      </c>
      <c r="D797" t="str">
        <f>VLOOKUP(YouTube_University_Data_Final[[#This Row],[Title]],[1]!YouTube_University_Data_Final[[Title]:[Title_language]],2,FALSE)</f>
        <v>English</v>
      </c>
      <c r="E797" t="s">
        <v>856</v>
      </c>
      <c r="F797">
        <v>27</v>
      </c>
      <c r="G797" s="1">
        <v>43773</v>
      </c>
      <c r="H797">
        <v>3351</v>
      </c>
      <c r="I797" t="s">
        <v>522</v>
      </c>
      <c r="J797">
        <v>934</v>
      </c>
      <c r="K797">
        <v>2</v>
      </c>
      <c r="L797">
        <v>0</v>
      </c>
      <c r="M797">
        <v>0</v>
      </c>
      <c r="N797" t="s">
        <v>101</v>
      </c>
      <c r="O797">
        <v>2019</v>
      </c>
      <c r="P797" t="s">
        <v>18</v>
      </c>
    </row>
    <row r="798" spans="1:16" x14ac:dyDescent="0.3">
      <c r="A798">
        <v>380</v>
      </c>
      <c r="B798" t="s">
        <v>520</v>
      </c>
      <c r="C798" t="s">
        <v>857</v>
      </c>
      <c r="D798" t="str">
        <f>VLOOKUP(YouTube_University_Data_Final[[#This Row],[Title]],[1]!YouTube_University_Data_Final[[Title]:[Title_language]],2,FALSE)</f>
        <v>English</v>
      </c>
      <c r="E798" t="s">
        <v>829</v>
      </c>
      <c r="F798">
        <v>27</v>
      </c>
      <c r="G798" s="1">
        <v>43773</v>
      </c>
      <c r="H798">
        <v>2133</v>
      </c>
      <c r="I798" t="s">
        <v>522</v>
      </c>
      <c r="J798">
        <v>881</v>
      </c>
      <c r="K798">
        <v>2</v>
      </c>
      <c r="L798">
        <v>0</v>
      </c>
      <c r="M798">
        <v>0</v>
      </c>
      <c r="N798" t="s">
        <v>101</v>
      </c>
      <c r="O798">
        <v>2019</v>
      </c>
      <c r="P798" t="s">
        <v>18</v>
      </c>
    </row>
    <row r="799" spans="1:16" x14ac:dyDescent="0.3">
      <c r="A799">
        <v>381</v>
      </c>
      <c r="B799" t="s">
        <v>520</v>
      </c>
      <c r="C799" t="s">
        <v>858</v>
      </c>
      <c r="D799" t="str">
        <f>VLOOKUP(YouTube_University_Data_Final[[#This Row],[Title]],[1]!YouTube_University_Data_Final[[Title]:[Title_language]],2,FALSE)</f>
        <v>English</v>
      </c>
      <c r="E799" t="s">
        <v>830</v>
      </c>
      <c r="F799">
        <v>27</v>
      </c>
      <c r="G799" s="1">
        <v>43773</v>
      </c>
      <c r="H799">
        <v>1147</v>
      </c>
      <c r="I799" t="s">
        <v>522</v>
      </c>
      <c r="J799">
        <v>5166</v>
      </c>
      <c r="K799">
        <v>75</v>
      </c>
      <c r="L799">
        <v>0</v>
      </c>
      <c r="M799">
        <v>0</v>
      </c>
      <c r="N799" t="s">
        <v>101</v>
      </c>
      <c r="O799">
        <v>2019</v>
      </c>
      <c r="P799" t="s">
        <v>18</v>
      </c>
    </row>
    <row r="800" spans="1:16" x14ac:dyDescent="0.3">
      <c r="A800">
        <v>382</v>
      </c>
      <c r="B800" t="s">
        <v>520</v>
      </c>
      <c r="C800" t="s">
        <v>859</v>
      </c>
      <c r="D800" t="str">
        <f>VLOOKUP(YouTube_University_Data_Final[[#This Row],[Title]],[1]!YouTube_University_Data_Final[[Title]:[Title_language]],2,FALSE)</f>
        <v>English</v>
      </c>
      <c r="E800" t="s">
        <v>830</v>
      </c>
      <c r="F800">
        <v>27</v>
      </c>
      <c r="G800" s="1">
        <v>43773</v>
      </c>
      <c r="H800">
        <v>2400</v>
      </c>
      <c r="I800" t="s">
        <v>522</v>
      </c>
      <c r="J800">
        <v>1658</v>
      </c>
      <c r="K800">
        <v>10</v>
      </c>
      <c r="L800">
        <v>0</v>
      </c>
      <c r="M800">
        <v>0</v>
      </c>
      <c r="N800" t="s">
        <v>101</v>
      </c>
      <c r="O800">
        <v>2019</v>
      </c>
      <c r="P800" t="s">
        <v>18</v>
      </c>
    </row>
    <row r="801" spans="1:16" x14ac:dyDescent="0.3">
      <c r="A801">
        <v>383</v>
      </c>
      <c r="B801" t="s">
        <v>520</v>
      </c>
      <c r="C801" t="s">
        <v>860</v>
      </c>
      <c r="D801" t="str">
        <f>VLOOKUP(YouTube_University_Data_Final[[#This Row],[Title]],[1]!YouTube_University_Data_Final[[Title]:[Title_language]],2,FALSE)</f>
        <v>English</v>
      </c>
      <c r="E801" t="s">
        <v>861</v>
      </c>
      <c r="F801">
        <v>27</v>
      </c>
      <c r="G801" s="1">
        <v>43772</v>
      </c>
      <c r="H801">
        <v>730</v>
      </c>
      <c r="I801" t="s">
        <v>522</v>
      </c>
      <c r="J801">
        <v>732</v>
      </c>
      <c r="K801">
        <v>2</v>
      </c>
      <c r="L801">
        <v>0</v>
      </c>
      <c r="M801">
        <v>0</v>
      </c>
      <c r="N801" t="s">
        <v>101</v>
      </c>
      <c r="O801">
        <v>2019</v>
      </c>
      <c r="P801" t="s">
        <v>18</v>
      </c>
    </row>
    <row r="802" spans="1:16" x14ac:dyDescent="0.3">
      <c r="A802">
        <v>384</v>
      </c>
      <c r="B802" t="s">
        <v>520</v>
      </c>
      <c r="C802" t="s">
        <v>862</v>
      </c>
      <c r="D802" t="str">
        <f>VLOOKUP(YouTube_University_Data_Final[[#This Row],[Title]],[1]!YouTube_University_Data_Final[[Title]:[Title_language]],2,FALSE)</f>
        <v>English</v>
      </c>
      <c r="E802" t="s">
        <v>863</v>
      </c>
      <c r="F802">
        <v>27</v>
      </c>
      <c r="G802" s="1">
        <v>43771</v>
      </c>
      <c r="H802">
        <v>611</v>
      </c>
      <c r="I802" t="s">
        <v>522</v>
      </c>
      <c r="J802">
        <v>2436</v>
      </c>
      <c r="K802">
        <v>40</v>
      </c>
      <c r="L802">
        <v>0</v>
      </c>
      <c r="M802">
        <v>0</v>
      </c>
      <c r="N802" t="s">
        <v>101</v>
      </c>
      <c r="O802">
        <v>2019</v>
      </c>
      <c r="P802" t="s">
        <v>18</v>
      </c>
    </row>
    <row r="803" spans="1:16" x14ac:dyDescent="0.3">
      <c r="A803">
        <v>385</v>
      </c>
      <c r="B803" t="s">
        <v>520</v>
      </c>
      <c r="C803" t="s">
        <v>864</v>
      </c>
      <c r="D803" t="str">
        <f>VLOOKUP(YouTube_University_Data_Final[[#This Row],[Title]],[1]!YouTube_University_Data_Final[[Title]:[Title_language]],2,FALSE)</f>
        <v>English</v>
      </c>
      <c r="E803" t="s">
        <v>865</v>
      </c>
      <c r="F803">
        <v>27</v>
      </c>
      <c r="G803" s="1">
        <v>43770</v>
      </c>
      <c r="H803">
        <v>571</v>
      </c>
      <c r="I803" t="s">
        <v>866</v>
      </c>
      <c r="J803">
        <v>3484</v>
      </c>
      <c r="K803">
        <v>24</v>
      </c>
      <c r="L803">
        <v>0</v>
      </c>
      <c r="M803">
        <v>0</v>
      </c>
      <c r="N803" t="s">
        <v>101</v>
      </c>
      <c r="O803">
        <v>2019</v>
      </c>
      <c r="P803" t="s">
        <v>18</v>
      </c>
    </row>
    <row r="804" spans="1:16" x14ac:dyDescent="0.3">
      <c r="A804">
        <v>386</v>
      </c>
      <c r="B804" t="s">
        <v>520</v>
      </c>
      <c r="C804" t="s">
        <v>867</v>
      </c>
      <c r="D804" t="str">
        <f>VLOOKUP(YouTube_University_Data_Final[[#This Row],[Title]],[1]!YouTube_University_Data_Final[[Title]:[Title_language]],2,FALSE)</f>
        <v>English</v>
      </c>
      <c r="E804" t="s">
        <v>868</v>
      </c>
      <c r="F804">
        <v>27</v>
      </c>
      <c r="G804" s="1">
        <v>43770</v>
      </c>
      <c r="H804">
        <v>629</v>
      </c>
      <c r="I804" t="s">
        <v>869</v>
      </c>
      <c r="J804">
        <v>1013</v>
      </c>
      <c r="K804">
        <v>7</v>
      </c>
      <c r="L804">
        <v>0</v>
      </c>
      <c r="M804">
        <v>0</v>
      </c>
      <c r="N804" t="s">
        <v>101</v>
      </c>
      <c r="O804">
        <v>2019</v>
      </c>
      <c r="P804" t="s">
        <v>18</v>
      </c>
    </row>
    <row r="805" spans="1:16" x14ac:dyDescent="0.3">
      <c r="A805">
        <v>387</v>
      </c>
      <c r="B805" t="s">
        <v>520</v>
      </c>
      <c r="C805" t="s">
        <v>846</v>
      </c>
      <c r="D805" t="str">
        <f>VLOOKUP(YouTube_University_Data_Final[[#This Row],[Title]],[1]!YouTube_University_Data_Final[[Title]:[Title_language]],2,FALSE)</f>
        <v>English</v>
      </c>
      <c r="E805" t="s">
        <v>843</v>
      </c>
      <c r="F805">
        <v>27</v>
      </c>
      <c r="G805" s="1">
        <v>43770</v>
      </c>
      <c r="H805">
        <v>172</v>
      </c>
      <c r="I805" t="s">
        <v>522</v>
      </c>
      <c r="J805">
        <v>379</v>
      </c>
      <c r="K805">
        <v>3</v>
      </c>
      <c r="L805">
        <v>0</v>
      </c>
      <c r="M805">
        <v>0</v>
      </c>
      <c r="N805" t="s">
        <v>101</v>
      </c>
      <c r="O805">
        <v>2019</v>
      </c>
      <c r="P805" t="s">
        <v>18</v>
      </c>
    </row>
    <row r="806" spans="1:16" x14ac:dyDescent="0.3">
      <c r="A806">
        <v>388</v>
      </c>
      <c r="B806" t="s">
        <v>520</v>
      </c>
      <c r="C806" t="s">
        <v>870</v>
      </c>
      <c r="D806" t="str">
        <f>VLOOKUP(YouTube_University_Data_Final[[#This Row],[Title]],[1]!YouTube_University_Data_Final[[Title]:[Title_language]],2,FALSE)</f>
        <v>English</v>
      </c>
      <c r="E806" t="s">
        <v>3318</v>
      </c>
      <c r="F806">
        <v>27</v>
      </c>
      <c r="G806" s="1">
        <v>43770</v>
      </c>
      <c r="H806">
        <v>486</v>
      </c>
      <c r="I806" t="s">
        <v>871</v>
      </c>
      <c r="J806">
        <v>1942</v>
      </c>
      <c r="K806">
        <v>25</v>
      </c>
      <c r="L806">
        <v>0</v>
      </c>
      <c r="M806">
        <v>0</v>
      </c>
      <c r="N806" t="s">
        <v>101</v>
      </c>
      <c r="O806">
        <v>2019</v>
      </c>
      <c r="P806" t="s">
        <v>18</v>
      </c>
    </row>
    <row r="807" spans="1:16" x14ac:dyDescent="0.3">
      <c r="A807">
        <v>389</v>
      </c>
      <c r="B807" t="s">
        <v>520</v>
      </c>
      <c r="C807" t="s">
        <v>872</v>
      </c>
      <c r="D807" t="str">
        <f>VLOOKUP(YouTube_University_Data_Final[[#This Row],[Title]],[1]!YouTube_University_Data_Final[[Title]:[Title_language]],2,FALSE)</f>
        <v>English</v>
      </c>
      <c r="E807" t="s">
        <v>873</v>
      </c>
      <c r="F807">
        <v>27</v>
      </c>
      <c r="G807" s="1">
        <v>43770</v>
      </c>
      <c r="H807">
        <v>768</v>
      </c>
      <c r="I807" t="s">
        <v>874</v>
      </c>
      <c r="J807">
        <v>595</v>
      </c>
      <c r="K807">
        <v>7</v>
      </c>
      <c r="L807">
        <v>0</v>
      </c>
      <c r="M807">
        <v>0</v>
      </c>
      <c r="N807" t="s">
        <v>101</v>
      </c>
      <c r="O807">
        <v>2019</v>
      </c>
      <c r="P807" t="s">
        <v>18</v>
      </c>
    </row>
    <row r="808" spans="1:16" x14ac:dyDescent="0.3">
      <c r="A808">
        <v>390</v>
      </c>
      <c r="B808" t="s">
        <v>520</v>
      </c>
      <c r="C808" t="s">
        <v>3319</v>
      </c>
      <c r="D808" t="str">
        <f>VLOOKUP(YouTube_University_Data_Final[[#This Row],[Title]],[1]!YouTube_University_Data_Final[[Title]:[Title_language]],2,FALSE)</f>
        <v>Bilingual</v>
      </c>
      <c r="E808" t="s">
        <v>3320</v>
      </c>
      <c r="F808">
        <v>27</v>
      </c>
      <c r="G808" s="1">
        <v>43770</v>
      </c>
      <c r="H808">
        <v>727</v>
      </c>
      <c r="I808" t="s">
        <v>875</v>
      </c>
      <c r="J808">
        <v>2321</v>
      </c>
      <c r="K808">
        <v>9</v>
      </c>
      <c r="L808">
        <v>0</v>
      </c>
      <c r="M808">
        <v>0</v>
      </c>
      <c r="N808" t="s">
        <v>101</v>
      </c>
      <c r="O808">
        <v>2019</v>
      </c>
      <c r="P808" t="s">
        <v>18</v>
      </c>
    </row>
    <row r="809" spans="1:16" x14ac:dyDescent="0.3">
      <c r="A809">
        <v>391</v>
      </c>
      <c r="B809" t="s">
        <v>520</v>
      </c>
      <c r="C809" t="s">
        <v>876</v>
      </c>
      <c r="D809" t="str">
        <f>VLOOKUP(YouTube_University_Data_Final[[#This Row],[Title]],[1]!YouTube_University_Data_Final[[Title]:[Title_language]],2,FALSE)</f>
        <v>English</v>
      </c>
      <c r="E809" t="s">
        <v>877</v>
      </c>
      <c r="F809">
        <v>27</v>
      </c>
      <c r="G809" s="1">
        <v>43770</v>
      </c>
      <c r="H809">
        <v>220</v>
      </c>
      <c r="I809" t="s">
        <v>878</v>
      </c>
      <c r="J809">
        <v>587</v>
      </c>
      <c r="K809">
        <v>5</v>
      </c>
      <c r="L809">
        <v>0</v>
      </c>
      <c r="M809">
        <v>0</v>
      </c>
      <c r="N809" t="s">
        <v>101</v>
      </c>
      <c r="O809">
        <v>2019</v>
      </c>
      <c r="P809" t="s">
        <v>18</v>
      </c>
    </row>
    <row r="810" spans="1:16" x14ac:dyDescent="0.3">
      <c r="A810">
        <v>392</v>
      </c>
      <c r="B810" t="s">
        <v>520</v>
      </c>
      <c r="C810" t="s">
        <v>879</v>
      </c>
      <c r="D810" t="str">
        <f>VLOOKUP(YouTube_University_Data_Final[[#This Row],[Title]],[1]!YouTube_University_Data_Final[[Title]:[Title_language]],2,FALSE)</f>
        <v>English</v>
      </c>
      <c r="E810" t="s">
        <v>880</v>
      </c>
      <c r="F810">
        <v>27</v>
      </c>
      <c r="G810" s="1">
        <v>43769</v>
      </c>
      <c r="H810">
        <v>909</v>
      </c>
      <c r="I810" t="s">
        <v>881</v>
      </c>
      <c r="J810">
        <v>2806</v>
      </c>
      <c r="K810">
        <v>34</v>
      </c>
      <c r="L810">
        <v>0</v>
      </c>
      <c r="M810">
        <v>0</v>
      </c>
      <c r="N810" t="s">
        <v>17</v>
      </c>
      <c r="O810">
        <v>2019</v>
      </c>
      <c r="P810" t="s">
        <v>18</v>
      </c>
    </row>
    <row r="811" spans="1:16" x14ac:dyDescent="0.3">
      <c r="A811">
        <v>393</v>
      </c>
      <c r="B811" t="s">
        <v>520</v>
      </c>
      <c r="C811" t="s">
        <v>842</v>
      </c>
      <c r="D811" t="str">
        <f>VLOOKUP(YouTube_University_Data_Final[[#This Row],[Title]],[1]!YouTube_University_Data_Final[[Title]:[Title_language]],2,FALSE)</f>
        <v>English</v>
      </c>
      <c r="E811" t="s">
        <v>847</v>
      </c>
      <c r="F811">
        <v>27</v>
      </c>
      <c r="G811" s="1">
        <v>43769</v>
      </c>
      <c r="H811">
        <v>271</v>
      </c>
      <c r="I811" t="s">
        <v>522</v>
      </c>
      <c r="J811">
        <v>138</v>
      </c>
      <c r="K811">
        <v>1</v>
      </c>
      <c r="L811">
        <v>0</v>
      </c>
      <c r="M811">
        <v>0</v>
      </c>
      <c r="N811" t="s">
        <v>17</v>
      </c>
      <c r="O811">
        <v>2019</v>
      </c>
      <c r="P811" t="s">
        <v>18</v>
      </c>
    </row>
    <row r="812" spans="1:16" x14ac:dyDescent="0.3">
      <c r="A812">
        <v>394</v>
      </c>
      <c r="B812" t="s">
        <v>520</v>
      </c>
      <c r="C812" t="s">
        <v>882</v>
      </c>
      <c r="D812" t="str">
        <f>VLOOKUP(YouTube_University_Data_Final[[#This Row],[Title]],[1]!YouTube_University_Data_Final[[Title]:[Title_language]],2,FALSE)</f>
        <v>English</v>
      </c>
      <c r="E812" t="s">
        <v>883</v>
      </c>
      <c r="F812">
        <v>27</v>
      </c>
      <c r="G812" s="1">
        <v>43769</v>
      </c>
      <c r="H812">
        <v>557</v>
      </c>
      <c r="I812" t="s">
        <v>884</v>
      </c>
      <c r="J812">
        <v>663</v>
      </c>
      <c r="K812">
        <v>1</v>
      </c>
      <c r="L812">
        <v>0</v>
      </c>
      <c r="M812">
        <v>0</v>
      </c>
      <c r="N812" t="s">
        <v>17</v>
      </c>
      <c r="O812">
        <v>2019</v>
      </c>
      <c r="P812" t="s">
        <v>18</v>
      </c>
    </row>
    <row r="813" spans="1:16" x14ac:dyDescent="0.3">
      <c r="A813">
        <v>395</v>
      </c>
      <c r="B813" t="s">
        <v>520</v>
      </c>
      <c r="C813" t="s">
        <v>885</v>
      </c>
      <c r="D813" t="str">
        <f>VLOOKUP(YouTube_University_Data_Final[[#This Row],[Title]],[1]!YouTube_University_Data_Final[[Title]:[Title_language]],2,FALSE)</f>
        <v>English</v>
      </c>
      <c r="E813" t="s">
        <v>3321</v>
      </c>
      <c r="F813">
        <v>27</v>
      </c>
      <c r="G813" s="1">
        <v>43769</v>
      </c>
      <c r="H813">
        <v>909</v>
      </c>
      <c r="I813" t="s">
        <v>522</v>
      </c>
      <c r="J813">
        <v>1059</v>
      </c>
      <c r="K813">
        <v>5</v>
      </c>
      <c r="L813">
        <v>0</v>
      </c>
      <c r="M813">
        <v>0</v>
      </c>
      <c r="N813" t="s">
        <v>17</v>
      </c>
      <c r="O813">
        <v>2019</v>
      </c>
      <c r="P813" t="s">
        <v>18</v>
      </c>
    </row>
    <row r="814" spans="1:16" x14ac:dyDescent="0.3">
      <c r="A814">
        <v>396</v>
      </c>
      <c r="B814" t="s">
        <v>520</v>
      </c>
      <c r="C814" t="s">
        <v>886</v>
      </c>
      <c r="D814" t="str">
        <f>VLOOKUP(YouTube_University_Data_Final[[#This Row],[Title]],[1]!YouTube_University_Data_Final[[Title]:[Title_language]],2,FALSE)</f>
        <v>English</v>
      </c>
      <c r="E814" t="s">
        <v>887</v>
      </c>
      <c r="F814">
        <v>27</v>
      </c>
      <c r="G814" s="1">
        <v>43769</v>
      </c>
      <c r="H814">
        <v>1566</v>
      </c>
      <c r="I814" t="s">
        <v>888</v>
      </c>
      <c r="J814">
        <v>1305</v>
      </c>
      <c r="K814">
        <v>8</v>
      </c>
      <c r="L814">
        <v>0</v>
      </c>
      <c r="M814">
        <v>0</v>
      </c>
      <c r="N814" t="s">
        <v>17</v>
      </c>
      <c r="O814">
        <v>2019</v>
      </c>
      <c r="P814" t="s">
        <v>18</v>
      </c>
    </row>
    <row r="815" spans="1:16" x14ac:dyDescent="0.3">
      <c r="A815">
        <v>397</v>
      </c>
      <c r="B815" t="s">
        <v>520</v>
      </c>
      <c r="C815" t="s">
        <v>889</v>
      </c>
      <c r="D815" t="str">
        <f>VLOOKUP(YouTube_University_Data_Final[[#This Row],[Title]],[1]!YouTube_University_Data_Final[[Title]:[Title_language]],2,FALSE)</f>
        <v>English</v>
      </c>
      <c r="E815" t="s">
        <v>890</v>
      </c>
      <c r="F815">
        <v>27</v>
      </c>
      <c r="G815" s="1">
        <v>43769</v>
      </c>
      <c r="H815">
        <v>1093</v>
      </c>
      <c r="I815" t="s">
        <v>891</v>
      </c>
      <c r="J815">
        <v>1098</v>
      </c>
      <c r="K815">
        <v>4</v>
      </c>
      <c r="L815">
        <v>0</v>
      </c>
      <c r="M815">
        <v>0</v>
      </c>
      <c r="N815" t="s">
        <v>17</v>
      </c>
      <c r="O815">
        <v>2019</v>
      </c>
      <c r="P815" t="s">
        <v>18</v>
      </c>
    </row>
    <row r="816" spans="1:16" x14ac:dyDescent="0.3">
      <c r="A816">
        <v>398</v>
      </c>
      <c r="B816" t="s">
        <v>520</v>
      </c>
      <c r="C816" t="s">
        <v>892</v>
      </c>
      <c r="D816" t="str">
        <f>VLOOKUP(YouTube_University_Data_Final[[#This Row],[Title]],[1]!YouTube_University_Data_Final[[Title]:[Title_language]],2,FALSE)</f>
        <v>English</v>
      </c>
      <c r="E816" t="s">
        <v>3322</v>
      </c>
      <c r="F816">
        <v>27</v>
      </c>
      <c r="G816" s="1">
        <v>43769</v>
      </c>
      <c r="H816">
        <v>1063</v>
      </c>
      <c r="I816" t="s">
        <v>893</v>
      </c>
      <c r="J816">
        <v>3039</v>
      </c>
      <c r="K816">
        <v>18</v>
      </c>
      <c r="L816">
        <v>0</v>
      </c>
      <c r="M816">
        <v>0</v>
      </c>
      <c r="N816" t="s">
        <v>17</v>
      </c>
      <c r="O816">
        <v>2019</v>
      </c>
      <c r="P816" t="s">
        <v>18</v>
      </c>
    </row>
    <row r="817" spans="1:16" x14ac:dyDescent="0.3">
      <c r="A817">
        <v>399</v>
      </c>
      <c r="B817" t="s">
        <v>520</v>
      </c>
      <c r="C817" t="s">
        <v>894</v>
      </c>
      <c r="D817" t="str">
        <f>VLOOKUP(YouTube_University_Data_Final[[#This Row],[Title]],[1]!YouTube_University_Data_Final[[Title]:[Title_language]],2,FALSE)</f>
        <v>English</v>
      </c>
      <c r="E817" t="s">
        <v>895</v>
      </c>
      <c r="F817">
        <v>27</v>
      </c>
      <c r="G817" s="1">
        <v>43769</v>
      </c>
      <c r="H817">
        <v>311</v>
      </c>
      <c r="I817" t="s">
        <v>896</v>
      </c>
      <c r="J817">
        <v>825</v>
      </c>
      <c r="K817">
        <v>4</v>
      </c>
      <c r="L817">
        <v>0</v>
      </c>
      <c r="M817">
        <v>0</v>
      </c>
      <c r="N817" t="s">
        <v>17</v>
      </c>
      <c r="O817">
        <v>2019</v>
      </c>
      <c r="P817" t="s">
        <v>18</v>
      </c>
    </row>
    <row r="818" spans="1:16" x14ac:dyDescent="0.3">
      <c r="A818">
        <v>400</v>
      </c>
      <c r="B818" t="s">
        <v>520</v>
      </c>
      <c r="C818" t="s">
        <v>897</v>
      </c>
      <c r="D818" t="str">
        <f>VLOOKUP(YouTube_University_Data_Final[[#This Row],[Title]],[1]!YouTube_University_Data_Final[[Title]:[Title_language]],2,FALSE)</f>
        <v>English</v>
      </c>
      <c r="E818" t="s">
        <v>898</v>
      </c>
      <c r="F818">
        <v>27</v>
      </c>
      <c r="G818" s="1">
        <v>43769</v>
      </c>
      <c r="H818">
        <v>276</v>
      </c>
      <c r="I818" t="s">
        <v>899</v>
      </c>
      <c r="J818">
        <v>1094</v>
      </c>
      <c r="K818">
        <v>20</v>
      </c>
      <c r="L818">
        <v>0</v>
      </c>
      <c r="M818">
        <v>0</v>
      </c>
      <c r="N818" t="s">
        <v>17</v>
      </c>
      <c r="O818">
        <v>2019</v>
      </c>
      <c r="P818" t="s">
        <v>18</v>
      </c>
    </row>
    <row r="819" spans="1:16" x14ac:dyDescent="0.3">
      <c r="A819">
        <v>401</v>
      </c>
      <c r="B819" t="s">
        <v>520</v>
      </c>
      <c r="C819" t="s">
        <v>900</v>
      </c>
      <c r="D819" t="str">
        <f>VLOOKUP(YouTube_University_Data_Final[[#This Row],[Title]],[1]!YouTube_University_Data_Final[[Title]:[Title_language]],2,FALSE)</f>
        <v>English</v>
      </c>
      <c r="E819" t="s">
        <v>901</v>
      </c>
      <c r="F819">
        <v>27</v>
      </c>
      <c r="G819" s="1">
        <v>43769</v>
      </c>
      <c r="H819">
        <v>348</v>
      </c>
      <c r="I819" t="s">
        <v>902</v>
      </c>
      <c r="J819">
        <v>1984</v>
      </c>
      <c r="K819">
        <v>25</v>
      </c>
      <c r="L819">
        <v>0</v>
      </c>
      <c r="M819">
        <v>0</v>
      </c>
      <c r="N819" t="s">
        <v>17</v>
      </c>
      <c r="O819">
        <v>2019</v>
      </c>
      <c r="P819" t="s">
        <v>18</v>
      </c>
    </row>
    <row r="820" spans="1:16" x14ac:dyDescent="0.3">
      <c r="A820">
        <v>402</v>
      </c>
      <c r="B820" t="s">
        <v>520</v>
      </c>
      <c r="C820" t="s">
        <v>903</v>
      </c>
      <c r="D820" t="str">
        <f>VLOOKUP(YouTube_University_Data_Final[[#This Row],[Title]],[1]!YouTube_University_Data_Final[[Title]:[Title_language]],2,FALSE)</f>
        <v>English</v>
      </c>
      <c r="E820" t="s">
        <v>2944</v>
      </c>
      <c r="F820">
        <v>27</v>
      </c>
      <c r="G820" s="1">
        <v>43769</v>
      </c>
      <c r="H820">
        <v>32</v>
      </c>
      <c r="I820" t="s">
        <v>522</v>
      </c>
      <c r="J820">
        <v>704</v>
      </c>
      <c r="K820">
        <v>1</v>
      </c>
      <c r="L820">
        <v>0</v>
      </c>
      <c r="M820">
        <v>0</v>
      </c>
      <c r="N820" t="s">
        <v>17</v>
      </c>
      <c r="O820">
        <v>2019</v>
      </c>
      <c r="P820" t="s">
        <v>18</v>
      </c>
    </row>
    <row r="821" spans="1:16" x14ac:dyDescent="0.3">
      <c r="A821">
        <v>403</v>
      </c>
      <c r="B821" t="s">
        <v>520</v>
      </c>
      <c r="C821" t="s">
        <v>904</v>
      </c>
      <c r="D821" t="str">
        <f>VLOOKUP(YouTube_University_Data_Final[[#This Row],[Title]],[1]!YouTube_University_Data_Final[[Title]:[Title_language]],2,FALSE)</f>
        <v>English</v>
      </c>
      <c r="E821" t="s">
        <v>3323</v>
      </c>
      <c r="F821">
        <v>27</v>
      </c>
      <c r="G821" s="1">
        <v>43768</v>
      </c>
      <c r="H821">
        <v>919</v>
      </c>
      <c r="I821" t="s">
        <v>522</v>
      </c>
      <c r="J821">
        <v>1090</v>
      </c>
      <c r="K821">
        <v>4</v>
      </c>
      <c r="L821">
        <v>0</v>
      </c>
      <c r="M821">
        <v>0</v>
      </c>
      <c r="N821" t="s">
        <v>17</v>
      </c>
      <c r="O821">
        <v>2019</v>
      </c>
      <c r="P821" t="s">
        <v>18</v>
      </c>
    </row>
    <row r="822" spans="1:16" x14ac:dyDescent="0.3">
      <c r="A822">
        <v>404</v>
      </c>
      <c r="B822" t="s">
        <v>520</v>
      </c>
      <c r="C822" t="s">
        <v>905</v>
      </c>
      <c r="D822" t="str">
        <f>VLOOKUP(YouTube_University_Data_Final[[#This Row],[Title]],[1]!YouTube_University_Data_Final[[Title]:[Title_language]],2,FALSE)</f>
        <v>English</v>
      </c>
      <c r="E822" t="s">
        <v>906</v>
      </c>
      <c r="F822">
        <v>27</v>
      </c>
      <c r="G822" s="1">
        <v>43768</v>
      </c>
      <c r="H822">
        <v>461</v>
      </c>
      <c r="I822" t="s">
        <v>522</v>
      </c>
      <c r="J822">
        <v>2001</v>
      </c>
      <c r="K822">
        <v>22</v>
      </c>
      <c r="L822">
        <v>0</v>
      </c>
      <c r="M822">
        <v>0</v>
      </c>
      <c r="N822" t="s">
        <v>17</v>
      </c>
      <c r="O822">
        <v>2019</v>
      </c>
      <c r="P822" t="s">
        <v>18</v>
      </c>
    </row>
    <row r="823" spans="1:16" x14ac:dyDescent="0.3">
      <c r="A823">
        <v>405</v>
      </c>
      <c r="B823" t="s">
        <v>520</v>
      </c>
      <c r="C823" t="s">
        <v>907</v>
      </c>
      <c r="D823" t="str">
        <f>VLOOKUP(YouTube_University_Data_Final[[#This Row],[Title]],[1]!YouTube_University_Data_Final[[Title]:[Title_language]],2,FALSE)</f>
        <v>English</v>
      </c>
      <c r="E823" t="s">
        <v>908</v>
      </c>
      <c r="F823">
        <v>27</v>
      </c>
      <c r="G823" s="1">
        <v>43768</v>
      </c>
      <c r="H823">
        <v>319</v>
      </c>
      <c r="I823" t="s">
        <v>522</v>
      </c>
      <c r="J823">
        <v>248</v>
      </c>
      <c r="K823">
        <v>5</v>
      </c>
      <c r="L823">
        <v>0</v>
      </c>
      <c r="M823">
        <v>0</v>
      </c>
      <c r="N823" t="s">
        <v>17</v>
      </c>
      <c r="O823">
        <v>2019</v>
      </c>
      <c r="P823" t="s">
        <v>18</v>
      </c>
    </row>
    <row r="824" spans="1:16" x14ac:dyDescent="0.3">
      <c r="A824">
        <v>406</v>
      </c>
      <c r="B824" t="s">
        <v>520</v>
      </c>
      <c r="C824" t="s">
        <v>909</v>
      </c>
      <c r="D824" t="str">
        <f>VLOOKUP(YouTube_University_Data_Final[[#This Row],[Title]],[1]!YouTube_University_Data_Final[[Title]:[Title_language]],2,FALSE)</f>
        <v>English</v>
      </c>
      <c r="E824" t="s">
        <v>2944</v>
      </c>
      <c r="F824">
        <v>27</v>
      </c>
      <c r="G824" s="1">
        <v>43767</v>
      </c>
      <c r="H824">
        <v>192</v>
      </c>
      <c r="I824" t="s">
        <v>522</v>
      </c>
      <c r="J824">
        <v>120</v>
      </c>
      <c r="K824">
        <v>1</v>
      </c>
      <c r="L824">
        <v>0</v>
      </c>
      <c r="M824">
        <v>0</v>
      </c>
      <c r="N824" t="s">
        <v>17</v>
      </c>
      <c r="O824">
        <v>2019</v>
      </c>
      <c r="P824" t="s">
        <v>18</v>
      </c>
    </row>
    <row r="825" spans="1:16" x14ac:dyDescent="0.3">
      <c r="A825">
        <v>407</v>
      </c>
      <c r="B825" t="s">
        <v>520</v>
      </c>
      <c r="C825" t="s">
        <v>910</v>
      </c>
      <c r="D825" t="str">
        <f>VLOOKUP(YouTube_University_Data_Final[[#This Row],[Title]],[1]!YouTube_University_Data_Final[[Title]:[Title_language]],2,FALSE)</f>
        <v>English</v>
      </c>
      <c r="E825" t="s">
        <v>2944</v>
      </c>
      <c r="F825">
        <v>27</v>
      </c>
      <c r="G825" s="1">
        <v>43767</v>
      </c>
      <c r="H825">
        <v>229</v>
      </c>
      <c r="I825" t="s">
        <v>522</v>
      </c>
      <c r="J825">
        <v>190</v>
      </c>
      <c r="K825">
        <v>1</v>
      </c>
      <c r="L825">
        <v>0</v>
      </c>
      <c r="M825">
        <v>0</v>
      </c>
      <c r="N825" t="s">
        <v>17</v>
      </c>
      <c r="O825">
        <v>2019</v>
      </c>
      <c r="P825" t="s">
        <v>18</v>
      </c>
    </row>
    <row r="826" spans="1:16" x14ac:dyDescent="0.3">
      <c r="A826">
        <v>408</v>
      </c>
      <c r="B826" t="s">
        <v>520</v>
      </c>
      <c r="C826" t="s">
        <v>911</v>
      </c>
      <c r="D826" t="str">
        <f>VLOOKUP(YouTube_University_Data_Final[[#This Row],[Title]],[1]!YouTube_University_Data_Final[[Title]:[Title_language]],2,FALSE)</f>
        <v>English</v>
      </c>
      <c r="E826" t="s">
        <v>912</v>
      </c>
      <c r="F826">
        <v>27</v>
      </c>
      <c r="G826" s="1">
        <v>43767</v>
      </c>
      <c r="H826">
        <v>215</v>
      </c>
      <c r="I826" t="s">
        <v>522</v>
      </c>
      <c r="J826">
        <v>175</v>
      </c>
      <c r="K826">
        <v>0</v>
      </c>
      <c r="L826">
        <v>0</v>
      </c>
      <c r="M826">
        <v>0</v>
      </c>
      <c r="N826" t="s">
        <v>17</v>
      </c>
      <c r="O826">
        <v>2019</v>
      </c>
      <c r="P826" t="s">
        <v>18</v>
      </c>
    </row>
    <row r="827" spans="1:16" x14ac:dyDescent="0.3">
      <c r="A827">
        <v>409</v>
      </c>
      <c r="B827" t="s">
        <v>520</v>
      </c>
      <c r="C827" t="s">
        <v>913</v>
      </c>
      <c r="D827" t="str">
        <f>VLOOKUP(YouTube_University_Data_Final[[#This Row],[Title]],[1]!YouTube_University_Data_Final[[Title]:[Title_language]],2,FALSE)</f>
        <v>English</v>
      </c>
      <c r="E827" t="s">
        <v>2944</v>
      </c>
      <c r="F827">
        <v>27</v>
      </c>
      <c r="G827" s="1">
        <v>43767</v>
      </c>
      <c r="H827">
        <v>105</v>
      </c>
      <c r="I827" t="s">
        <v>522</v>
      </c>
      <c r="J827">
        <v>257</v>
      </c>
      <c r="K827">
        <v>1</v>
      </c>
      <c r="L827">
        <v>0</v>
      </c>
      <c r="M827">
        <v>0</v>
      </c>
      <c r="N827" t="s">
        <v>17</v>
      </c>
      <c r="O827">
        <v>2019</v>
      </c>
      <c r="P827" t="s">
        <v>18</v>
      </c>
    </row>
    <row r="828" spans="1:16" x14ac:dyDescent="0.3">
      <c r="A828">
        <v>410</v>
      </c>
      <c r="B828" t="s">
        <v>520</v>
      </c>
      <c r="C828" t="s">
        <v>914</v>
      </c>
      <c r="D828" t="str">
        <f>VLOOKUP(YouTube_University_Data_Final[[#This Row],[Title]],[1]!YouTube_University_Data_Final[[Title]:[Title_language]],2,FALSE)</f>
        <v>English</v>
      </c>
      <c r="E828" t="s">
        <v>2944</v>
      </c>
      <c r="F828">
        <v>27</v>
      </c>
      <c r="G828" s="1">
        <v>43767</v>
      </c>
      <c r="H828">
        <v>223</v>
      </c>
      <c r="I828" t="s">
        <v>522</v>
      </c>
      <c r="J828">
        <v>45</v>
      </c>
      <c r="K828">
        <v>0</v>
      </c>
      <c r="L828">
        <v>0</v>
      </c>
      <c r="M828">
        <v>0</v>
      </c>
      <c r="N828" t="s">
        <v>17</v>
      </c>
      <c r="O828">
        <v>2019</v>
      </c>
      <c r="P828" t="s">
        <v>18</v>
      </c>
    </row>
    <row r="829" spans="1:16" x14ac:dyDescent="0.3">
      <c r="A829">
        <v>411</v>
      </c>
      <c r="B829" t="s">
        <v>520</v>
      </c>
      <c r="C829" t="s">
        <v>3324</v>
      </c>
      <c r="D829" t="str">
        <f>VLOOKUP(YouTube_University_Data_Final[[#This Row],[Title]],[1]!YouTube_University_Data_Final[[Title]:[Title_language]],2,FALSE)</f>
        <v>English</v>
      </c>
      <c r="E829" t="s">
        <v>2944</v>
      </c>
      <c r="F829">
        <v>27</v>
      </c>
      <c r="G829" s="1">
        <v>43767</v>
      </c>
      <c r="H829">
        <v>369</v>
      </c>
      <c r="I829" t="s">
        <v>522</v>
      </c>
      <c r="J829">
        <v>620</v>
      </c>
      <c r="K829">
        <v>10</v>
      </c>
      <c r="L829">
        <v>0</v>
      </c>
      <c r="M829">
        <v>0</v>
      </c>
      <c r="N829" t="s">
        <v>17</v>
      </c>
      <c r="O829">
        <v>2019</v>
      </c>
      <c r="P829" t="s">
        <v>18</v>
      </c>
    </row>
    <row r="830" spans="1:16" x14ac:dyDescent="0.3">
      <c r="A830">
        <v>412</v>
      </c>
      <c r="B830" t="s">
        <v>520</v>
      </c>
      <c r="C830" t="s">
        <v>915</v>
      </c>
      <c r="D830" t="str">
        <f>VLOOKUP(YouTube_University_Data_Final[[#This Row],[Title]],[1]!YouTube_University_Data_Final[[Title]:[Title_language]],2,FALSE)</f>
        <v>English</v>
      </c>
      <c r="E830" t="s">
        <v>2944</v>
      </c>
      <c r="F830">
        <v>27</v>
      </c>
      <c r="G830" s="1">
        <v>43767</v>
      </c>
      <c r="H830">
        <v>125</v>
      </c>
      <c r="I830" t="s">
        <v>522</v>
      </c>
      <c r="J830">
        <v>131</v>
      </c>
      <c r="K830">
        <v>1</v>
      </c>
      <c r="L830">
        <v>0</v>
      </c>
      <c r="M830">
        <v>0</v>
      </c>
      <c r="N830" t="s">
        <v>17</v>
      </c>
      <c r="O830">
        <v>2019</v>
      </c>
      <c r="P830" t="s">
        <v>18</v>
      </c>
    </row>
    <row r="831" spans="1:16" x14ac:dyDescent="0.3">
      <c r="A831">
        <v>413</v>
      </c>
      <c r="B831" t="s">
        <v>520</v>
      </c>
      <c r="C831" t="s">
        <v>916</v>
      </c>
      <c r="D831" t="str">
        <f>VLOOKUP(YouTube_University_Data_Final[[#This Row],[Title]],[1]!YouTube_University_Data_Final[[Title]:[Title_language]],2,FALSE)</f>
        <v>English</v>
      </c>
      <c r="E831" t="s">
        <v>2944</v>
      </c>
      <c r="F831">
        <v>27</v>
      </c>
      <c r="G831" s="1">
        <v>43767</v>
      </c>
      <c r="H831">
        <v>265</v>
      </c>
      <c r="I831" t="s">
        <v>522</v>
      </c>
      <c r="J831">
        <v>247</v>
      </c>
      <c r="K831">
        <v>1</v>
      </c>
      <c r="L831">
        <v>0</v>
      </c>
      <c r="M831">
        <v>0</v>
      </c>
      <c r="N831" t="s">
        <v>17</v>
      </c>
      <c r="O831">
        <v>2019</v>
      </c>
      <c r="P831" t="s">
        <v>18</v>
      </c>
    </row>
    <row r="832" spans="1:16" x14ac:dyDescent="0.3">
      <c r="A832">
        <v>414</v>
      </c>
      <c r="B832" t="s">
        <v>520</v>
      </c>
      <c r="C832" t="s">
        <v>917</v>
      </c>
      <c r="D832" t="str">
        <f>VLOOKUP(YouTube_University_Data_Final[[#This Row],[Title]],[1]!YouTube_University_Data_Final[[Title]:[Title_language]],2,FALSE)</f>
        <v>English</v>
      </c>
      <c r="E832" t="s">
        <v>2944</v>
      </c>
      <c r="F832">
        <v>27</v>
      </c>
      <c r="G832" s="1">
        <v>43767</v>
      </c>
      <c r="H832">
        <v>214</v>
      </c>
      <c r="I832" t="s">
        <v>522</v>
      </c>
      <c r="J832">
        <v>1850</v>
      </c>
      <c r="K832">
        <v>5</v>
      </c>
      <c r="L832">
        <v>0</v>
      </c>
      <c r="M832">
        <v>0</v>
      </c>
      <c r="N832" t="s">
        <v>17</v>
      </c>
      <c r="O832">
        <v>2019</v>
      </c>
      <c r="P832" t="s">
        <v>18</v>
      </c>
    </row>
    <row r="833" spans="1:16" x14ac:dyDescent="0.3">
      <c r="A833">
        <v>415</v>
      </c>
      <c r="B833" t="s">
        <v>520</v>
      </c>
      <c r="C833" t="s">
        <v>918</v>
      </c>
      <c r="D833" t="str">
        <f>VLOOKUP(YouTube_University_Data_Final[[#This Row],[Title]],[1]!YouTube_University_Data_Final[[Title]:[Title_language]],2,FALSE)</f>
        <v>English</v>
      </c>
      <c r="E833" t="s">
        <v>2944</v>
      </c>
      <c r="F833">
        <v>27</v>
      </c>
      <c r="G833" s="1">
        <v>43767</v>
      </c>
      <c r="H833">
        <v>30</v>
      </c>
      <c r="I833" t="s">
        <v>522</v>
      </c>
      <c r="J833">
        <v>716</v>
      </c>
      <c r="K833">
        <v>3</v>
      </c>
      <c r="L833">
        <v>0</v>
      </c>
      <c r="M833">
        <v>0</v>
      </c>
      <c r="N833" t="s">
        <v>17</v>
      </c>
      <c r="O833">
        <v>2019</v>
      </c>
      <c r="P833" t="s">
        <v>18</v>
      </c>
    </row>
    <row r="834" spans="1:16" x14ac:dyDescent="0.3">
      <c r="A834">
        <v>416</v>
      </c>
      <c r="B834" t="s">
        <v>520</v>
      </c>
      <c r="C834" t="s">
        <v>919</v>
      </c>
      <c r="D834" t="str">
        <f>VLOOKUP(YouTube_University_Data_Final[[#This Row],[Title]],[1]!YouTube_University_Data_Final[[Title]:[Title_language]],2,FALSE)</f>
        <v>English</v>
      </c>
      <c r="E834" t="s">
        <v>2944</v>
      </c>
      <c r="F834">
        <v>27</v>
      </c>
      <c r="G834" s="1">
        <v>43767</v>
      </c>
      <c r="H834">
        <v>60</v>
      </c>
      <c r="I834" t="s">
        <v>522</v>
      </c>
      <c r="J834">
        <v>1257</v>
      </c>
      <c r="K834">
        <v>9</v>
      </c>
      <c r="L834">
        <v>0</v>
      </c>
      <c r="M834">
        <v>0</v>
      </c>
      <c r="N834" t="s">
        <v>17</v>
      </c>
      <c r="O834">
        <v>2019</v>
      </c>
      <c r="P834" t="s">
        <v>18</v>
      </c>
    </row>
    <row r="835" spans="1:16" x14ac:dyDescent="0.3">
      <c r="A835">
        <v>417</v>
      </c>
      <c r="B835" t="s">
        <v>520</v>
      </c>
      <c r="C835" t="s">
        <v>920</v>
      </c>
      <c r="D835" t="str">
        <f>VLOOKUP(YouTube_University_Data_Final[[#This Row],[Title]],[1]!YouTube_University_Data_Final[[Title]:[Title_language]],2,FALSE)</f>
        <v>English</v>
      </c>
      <c r="E835" t="s">
        <v>921</v>
      </c>
      <c r="F835">
        <v>27</v>
      </c>
      <c r="G835" s="1">
        <v>43767</v>
      </c>
      <c r="H835">
        <v>199</v>
      </c>
      <c r="I835" t="s">
        <v>922</v>
      </c>
      <c r="J835">
        <v>330</v>
      </c>
      <c r="K835">
        <v>0</v>
      </c>
      <c r="L835">
        <v>0</v>
      </c>
      <c r="M835">
        <v>0</v>
      </c>
      <c r="N835" t="s">
        <v>17</v>
      </c>
      <c r="O835">
        <v>2019</v>
      </c>
      <c r="P835" t="s">
        <v>18</v>
      </c>
    </row>
    <row r="836" spans="1:16" x14ac:dyDescent="0.3">
      <c r="A836">
        <v>418</v>
      </c>
      <c r="B836" t="s">
        <v>520</v>
      </c>
      <c r="C836" t="s">
        <v>923</v>
      </c>
      <c r="D836" t="str">
        <f>VLOOKUP(YouTube_University_Data_Final[[#This Row],[Title]],[1]!YouTube_University_Data_Final[[Title]:[Title_language]],2,FALSE)</f>
        <v>English</v>
      </c>
      <c r="E836" t="s">
        <v>924</v>
      </c>
      <c r="F836">
        <v>27</v>
      </c>
      <c r="G836" s="1">
        <v>43767</v>
      </c>
      <c r="H836">
        <v>837</v>
      </c>
      <c r="I836" t="s">
        <v>925</v>
      </c>
      <c r="J836">
        <v>2265</v>
      </c>
      <c r="K836">
        <v>19</v>
      </c>
      <c r="L836">
        <v>0</v>
      </c>
      <c r="M836">
        <v>0</v>
      </c>
      <c r="N836" t="s">
        <v>17</v>
      </c>
      <c r="O836">
        <v>2019</v>
      </c>
      <c r="P836" t="s">
        <v>18</v>
      </c>
    </row>
    <row r="837" spans="1:16" x14ac:dyDescent="0.3">
      <c r="A837">
        <v>419</v>
      </c>
      <c r="B837" t="s">
        <v>520</v>
      </c>
      <c r="C837" t="s">
        <v>926</v>
      </c>
      <c r="D837" t="str">
        <f>VLOOKUP(YouTube_University_Data_Final[[#This Row],[Title]],[1]!YouTube_University_Data_Final[[Title]:[Title_language]],2,FALSE)</f>
        <v>English</v>
      </c>
      <c r="E837" t="s">
        <v>927</v>
      </c>
      <c r="F837">
        <v>27</v>
      </c>
      <c r="G837" s="1">
        <v>43767</v>
      </c>
      <c r="H837">
        <v>1301</v>
      </c>
      <c r="I837" t="s">
        <v>928</v>
      </c>
      <c r="J837">
        <v>1952</v>
      </c>
      <c r="K837">
        <v>17</v>
      </c>
      <c r="L837">
        <v>0</v>
      </c>
      <c r="M837">
        <v>0</v>
      </c>
      <c r="N837" t="s">
        <v>17</v>
      </c>
      <c r="O837">
        <v>2019</v>
      </c>
      <c r="P837" t="s">
        <v>18</v>
      </c>
    </row>
    <row r="838" spans="1:16" x14ac:dyDescent="0.3">
      <c r="A838">
        <v>420</v>
      </c>
      <c r="B838" t="s">
        <v>520</v>
      </c>
      <c r="C838" t="s">
        <v>929</v>
      </c>
      <c r="D838" t="str">
        <f>VLOOKUP(YouTube_University_Data_Final[[#This Row],[Title]],[1]!YouTube_University_Data_Final[[Title]:[Title_language]],2,FALSE)</f>
        <v>English</v>
      </c>
      <c r="E838" t="s">
        <v>930</v>
      </c>
      <c r="F838">
        <v>27</v>
      </c>
      <c r="G838" s="1">
        <v>43767</v>
      </c>
      <c r="H838">
        <v>300</v>
      </c>
      <c r="I838" t="s">
        <v>931</v>
      </c>
      <c r="J838">
        <v>698</v>
      </c>
      <c r="K838">
        <v>3</v>
      </c>
      <c r="L838">
        <v>0</v>
      </c>
      <c r="M838">
        <v>0</v>
      </c>
      <c r="N838" t="s">
        <v>17</v>
      </c>
      <c r="O838">
        <v>2019</v>
      </c>
      <c r="P838" t="s">
        <v>18</v>
      </c>
    </row>
    <row r="839" spans="1:16" x14ac:dyDescent="0.3">
      <c r="A839">
        <v>421</v>
      </c>
      <c r="B839" t="s">
        <v>520</v>
      </c>
      <c r="C839" t="s">
        <v>932</v>
      </c>
      <c r="D839" t="str">
        <f>VLOOKUP(YouTube_University_Data_Final[[#This Row],[Title]],[1]!YouTube_University_Data_Final[[Title]:[Title_language]],2,FALSE)</f>
        <v>English</v>
      </c>
      <c r="E839" t="s">
        <v>933</v>
      </c>
      <c r="F839">
        <v>27</v>
      </c>
      <c r="G839" s="1">
        <v>43766</v>
      </c>
      <c r="H839">
        <v>544</v>
      </c>
      <c r="I839" t="s">
        <v>934</v>
      </c>
      <c r="J839">
        <v>1974</v>
      </c>
      <c r="K839">
        <v>10</v>
      </c>
      <c r="L839">
        <v>0</v>
      </c>
      <c r="M839">
        <v>0</v>
      </c>
      <c r="N839" t="s">
        <v>17</v>
      </c>
      <c r="O839">
        <v>2019</v>
      </c>
      <c r="P839" t="s">
        <v>18</v>
      </c>
    </row>
    <row r="840" spans="1:16" x14ac:dyDescent="0.3">
      <c r="A840">
        <v>422</v>
      </c>
      <c r="B840" t="s">
        <v>520</v>
      </c>
      <c r="C840" t="s">
        <v>935</v>
      </c>
      <c r="D840" t="str">
        <f>VLOOKUP(YouTube_University_Data_Final[[#This Row],[Title]],[1]!YouTube_University_Data_Final[[Title]:[Title_language]],2,FALSE)</f>
        <v>English</v>
      </c>
      <c r="E840" t="s">
        <v>3325</v>
      </c>
      <c r="F840">
        <v>27</v>
      </c>
      <c r="G840" s="1">
        <v>43766</v>
      </c>
      <c r="H840">
        <v>157</v>
      </c>
      <c r="I840" t="s">
        <v>936</v>
      </c>
      <c r="J840">
        <v>1067</v>
      </c>
      <c r="K840">
        <v>7</v>
      </c>
      <c r="L840">
        <v>0</v>
      </c>
      <c r="M840">
        <v>0</v>
      </c>
      <c r="N840" t="s">
        <v>17</v>
      </c>
      <c r="O840">
        <v>2019</v>
      </c>
      <c r="P840" t="s">
        <v>18</v>
      </c>
    </row>
    <row r="841" spans="1:16" x14ac:dyDescent="0.3">
      <c r="A841">
        <v>423</v>
      </c>
      <c r="B841" t="s">
        <v>520</v>
      </c>
      <c r="C841" t="s">
        <v>937</v>
      </c>
      <c r="D841" t="str">
        <f>VLOOKUP(YouTube_University_Data_Final[[#This Row],[Title]],[1]!YouTube_University_Data_Final[[Title]:[Title_language]],2,FALSE)</f>
        <v>English</v>
      </c>
      <c r="E841" t="s">
        <v>938</v>
      </c>
      <c r="F841">
        <v>27</v>
      </c>
      <c r="G841" s="1">
        <v>43766</v>
      </c>
      <c r="H841">
        <v>753</v>
      </c>
      <c r="I841" t="s">
        <v>522</v>
      </c>
      <c r="J841">
        <v>567</v>
      </c>
      <c r="K841">
        <v>3</v>
      </c>
      <c r="L841">
        <v>0</v>
      </c>
      <c r="M841">
        <v>0</v>
      </c>
      <c r="N841" t="s">
        <v>17</v>
      </c>
      <c r="O841">
        <v>2019</v>
      </c>
      <c r="P841" t="s">
        <v>18</v>
      </c>
    </row>
    <row r="842" spans="1:16" x14ac:dyDescent="0.3">
      <c r="A842">
        <v>424</v>
      </c>
      <c r="B842" t="s">
        <v>520</v>
      </c>
      <c r="C842" t="s">
        <v>939</v>
      </c>
      <c r="D842" t="str">
        <f>VLOOKUP(YouTube_University_Data_Final[[#This Row],[Title]],[1]!YouTube_University_Data_Final[[Title]:[Title_language]],2,FALSE)</f>
        <v>English</v>
      </c>
      <c r="E842" t="s">
        <v>940</v>
      </c>
      <c r="F842">
        <v>27</v>
      </c>
      <c r="G842" s="1">
        <v>43766</v>
      </c>
      <c r="H842">
        <v>1237</v>
      </c>
      <c r="I842" t="s">
        <v>522</v>
      </c>
      <c r="J842">
        <v>510</v>
      </c>
      <c r="K842">
        <v>2</v>
      </c>
      <c r="L842">
        <v>0</v>
      </c>
      <c r="M842">
        <v>0</v>
      </c>
      <c r="N842" t="s">
        <v>17</v>
      </c>
      <c r="O842">
        <v>2019</v>
      </c>
      <c r="P842" t="s">
        <v>18</v>
      </c>
    </row>
    <row r="843" spans="1:16" x14ac:dyDescent="0.3">
      <c r="A843">
        <v>425</v>
      </c>
      <c r="B843" t="s">
        <v>520</v>
      </c>
      <c r="C843" t="s">
        <v>941</v>
      </c>
      <c r="D843" t="str">
        <f>VLOOKUP(YouTube_University_Data_Final[[#This Row],[Title]],[1]!YouTube_University_Data_Final[[Title]:[Title_language]],2,FALSE)</f>
        <v>English</v>
      </c>
      <c r="E843" t="s">
        <v>942</v>
      </c>
      <c r="F843">
        <v>27</v>
      </c>
      <c r="G843" s="1">
        <v>43766</v>
      </c>
      <c r="H843">
        <v>309</v>
      </c>
      <c r="I843" t="s">
        <v>522</v>
      </c>
      <c r="J843">
        <v>1116</v>
      </c>
      <c r="K843">
        <v>9</v>
      </c>
      <c r="L843">
        <v>0</v>
      </c>
      <c r="M843">
        <v>0</v>
      </c>
      <c r="N843" t="s">
        <v>17</v>
      </c>
      <c r="O843">
        <v>2019</v>
      </c>
      <c r="P843" t="s">
        <v>18</v>
      </c>
    </row>
    <row r="844" spans="1:16" x14ac:dyDescent="0.3">
      <c r="A844">
        <v>426</v>
      </c>
      <c r="B844" t="s">
        <v>520</v>
      </c>
      <c r="C844" t="s">
        <v>943</v>
      </c>
      <c r="D844" t="str">
        <f>VLOOKUP(YouTube_University_Data_Final[[#This Row],[Title]],[1]!YouTube_University_Data_Final[[Title]:[Title_language]],2,FALSE)</f>
        <v>English</v>
      </c>
      <c r="E844" t="s">
        <v>944</v>
      </c>
      <c r="F844">
        <v>27</v>
      </c>
      <c r="G844" s="1">
        <v>43766</v>
      </c>
      <c r="H844">
        <v>194</v>
      </c>
      <c r="I844" t="s">
        <v>522</v>
      </c>
      <c r="J844">
        <v>3800</v>
      </c>
      <c r="K844">
        <v>33</v>
      </c>
      <c r="L844">
        <v>0</v>
      </c>
      <c r="M844">
        <v>0</v>
      </c>
      <c r="N844" t="s">
        <v>17</v>
      </c>
      <c r="O844">
        <v>2019</v>
      </c>
      <c r="P844" t="s">
        <v>18</v>
      </c>
    </row>
    <row r="845" spans="1:16" x14ac:dyDescent="0.3">
      <c r="A845">
        <v>427</v>
      </c>
      <c r="B845" t="s">
        <v>520</v>
      </c>
      <c r="C845" t="s">
        <v>945</v>
      </c>
      <c r="D845" t="str">
        <f>VLOOKUP(YouTube_University_Data_Final[[#This Row],[Title]],[1]!YouTube_University_Data_Final[[Title]:[Title_language]],2,FALSE)</f>
        <v>English</v>
      </c>
      <c r="E845" t="s">
        <v>3326</v>
      </c>
      <c r="F845">
        <v>27</v>
      </c>
      <c r="G845" s="1">
        <v>43766</v>
      </c>
      <c r="H845">
        <v>641</v>
      </c>
      <c r="I845" t="s">
        <v>522</v>
      </c>
      <c r="J845">
        <v>833</v>
      </c>
      <c r="K845">
        <v>3</v>
      </c>
      <c r="L845">
        <v>0</v>
      </c>
      <c r="M845">
        <v>0</v>
      </c>
      <c r="N845" t="s">
        <v>17</v>
      </c>
      <c r="O845">
        <v>2019</v>
      </c>
      <c r="P845" t="s">
        <v>18</v>
      </c>
    </row>
    <row r="846" spans="1:16" x14ac:dyDescent="0.3">
      <c r="A846">
        <v>428</v>
      </c>
      <c r="B846" t="s">
        <v>520</v>
      </c>
      <c r="C846" t="s">
        <v>946</v>
      </c>
      <c r="D846" t="str">
        <f>VLOOKUP(YouTube_University_Data_Final[[#This Row],[Title]],[1]!YouTube_University_Data_Final[[Title]:[Title_language]],2,FALSE)</f>
        <v>English</v>
      </c>
      <c r="E846" t="s">
        <v>947</v>
      </c>
      <c r="F846">
        <v>27</v>
      </c>
      <c r="G846" s="1">
        <v>43766</v>
      </c>
      <c r="H846">
        <v>434</v>
      </c>
      <c r="I846" t="s">
        <v>948</v>
      </c>
      <c r="J846">
        <v>1553</v>
      </c>
      <c r="K846">
        <v>8</v>
      </c>
      <c r="L846">
        <v>0</v>
      </c>
      <c r="M846">
        <v>0</v>
      </c>
      <c r="N846" t="s">
        <v>17</v>
      </c>
      <c r="O846">
        <v>2019</v>
      </c>
      <c r="P846" t="s">
        <v>18</v>
      </c>
    </row>
    <row r="847" spans="1:16" x14ac:dyDescent="0.3">
      <c r="A847">
        <v>429</v>
      </c>
      <c r="B847" t="s">
        <v>520</v>
      </c>
      <c r="C847" t="s">
        <v>949</v>
      </c>
      <c r="D847" t="str">
        <f>VLOOKUP(YouTube_University_Data_Final[[#This Row],[Title]],[1]!YouTube_University_Data_Final[[Title]:[Title_language]],2,FALSE)</f>
        <v>English</v>
      </c>
      <c r="E847" t="s">
        <v>950</v>
      </c>
      <c r="F847">
        <v>27</v>
      </c>
      <c r="G847" s="1">
        <v>43766</v>
      </c>
      <c r="H847">
        <v>534</v>
      </c>
      <c r="I847" t="s">
        <v>522</v>
      </c>
      <c r="J847">
        <v>600</v>
      </c>
      <c r="K847">
        <v>3</v>
      </c>
      <c r="L847">
        <v>0</v>
      </c>
      <c r="M847">
        <v>0</v>
      </c>
      <c r="N847" t="s">
        <v>17</v>
      </c>
      <c r="O847">
        <v>2019</v>
      </c>
      <c r="P847" t="s">
        <v>18</v>
      </c>
    </row>
    <row r="848" spans="1:16" x14ac:dyDescent="0.3">
      <c r="A848">
        <v>430</v>
      </c>
      <c r="B848" t="s">
        <v>520</v>
      </c>
      <c r="C848" t="s">
        <v>885</v>
      </c>
      <c r="D848" t="str">
        <f>VLOOKUP(YouTube_University_Data_Final[[#This Row],[Title]],[1]!YouTube_University_Data_Final[[Title]:[Title_language]],2,FALSE)</f>
        <v>English</v>
      </c>
      <c r="E848" t="s">
        <v>3327</v>
      </c>
      <c r="F848">
        <v>27</v>
      </c>
      <c r="G848" s="1">
        <v>43766</v>
      </c>
      <c r="H848">
        <v>909</v>
      </c>
      <c r="I848" t="s">
        <v>522</v>
      </c>
      <c r="J848">
        <v>136</v>
      </c>
      <c r="K848">
        <v>0</v>
      </c>
      <c r="L848">
        <v>0</v>
      </c>
      <c r="M848">
        <v>0</v>
      </c>
      <c r="N848" t="s">
        <v>17</v>
      </c>
      <c r="O848">
        <v>2019</v>
      </c>
      <c r="P848" t="s">
        <v>18</v>
      </c>
    </row>
    <row r="849" spans="1:16" x14ac:dyDescent="0.3">
      <c r="A849">
        <v>431</v>
      </c>
      <c r="B849" t="s">
        <v>520</v>
      </c>
      <c r="C849" t="s">
        <v>951</v>
      </c>
      <c r="D849" t="str">
        <f>VLOOKUP(YouTube_University_Data_Final[[#This Row],[Title]],[1]!YouTube_University_Data_Final[[Title]:[Title_language]],2,FALSE)</f>
        <v>English</v>
      </c>
      <c r="E849" t="s">
        <v>3328</v>
      </c>
      <c r="F849">
        <v>27</v>
      </c>
      <c r="G849" s="1">
        <v>43766</v>
      </c>
      <c r="H849">
        <v>1240</v>
      </c>
      <c r="I849" t="s">
        <v>522</v>
      </c>
      <c r="J849">
        <v>698</v>
      </c>
      <c r="K849">
        <v>3</v>
      </c>
      <c r="L849">
        <v>0</v>
      </c>
      <c r="M849">
        <v>0</v>
      </c>
      <c r="N849" t="s">
        <v>17</v>
      </c>
      <c r="O849">
        <v>2019</v>
      </c>
      <c r="P849" t="s">
        <v>18</v>
      </c>
    </row>
    <row r="850" spans="1:16" x14ac:dyDescent="0.3">
      <c r="A850">
        <v>432</v>
      </c>
      <c r="B850" t="s">
        <v>520</v>
      </c>
      <c r="C850" t="s">
        <v>952</v>
      </c>
      <c r="D850" t="str">
        <f>VLOOKUP(YouTube_University_Data_Final[[#This Row],[Title]],[1]!YouTube_University_Data_Final[[Title]:[Title_language]],2,FALSE)</f>
        <v>English</v>
      </c>
      <c r="E850" t="s">
        <v>953</v>
      </c>
      <c r="F850">
        <v>27</v>
      </c>
      <c r="G850" s="1">
        <v>43766</v>
      </c>
      <c r="H850">
        <v>399</v>
      </c>
      <c r="I850" t="s">
        <v>522</v>
      </c>
      <c r="J850">
        <v>1512</v>
      </c>
      <c r="K850">
        <v>10</v>
      </c>
      <c r="L850">
        <v>0</v>
      </c>
      <c r="M850">
        <v>0</v>
      </c>
      <c r="N850" t="s">
        <v>17</v>
      </c>
      <c r="O850">
        <v>2019</v>
      </c>
      <c r="P850" t="s">
        <v>18</v>
      </c>
    </row>
    <row r="851" spans="1:16" x14ac:dyDescent="0.3">
      <c r="A851">
        <v>433</v>
      </c>
      <c r="B851" t="s">
        <v>520</v>
      </c>
      <c r="C851" t="s">
        <v>954</v>
      </c>
      <c r="D851" t="str">
        <f>VLOOKUP(YouTube_University_Data_Final[[#This Row],[Title]],[1]!YouTube_University_Data_Final[[Title]:[Title_language]],2,FALSE)</f>
        <v>English</v>
      </c>
      <c r="E851" t="s">
        <v>955</v>
      </c>
      <c r="F851">
        <v>27</v>
      </c>
      <c r="G851" s="1">
        <v>43766</v>
      </c>
      <c r="H851">
        <v>822</v>
      </c>
      <c r="I851" t="s">
        <v>522</v>
      </c>
      <c r="J851">
        <v>478</v>
      </c>
      <c r="K851">
        <v>1</v>
      </c>
      <c r="L851">
        <v>0</v>
      </c>
      <c r="M851">
        <v>0</v>
      </c>
      <c r="N851" t="s">
        <v>17</v>
      </c>
      <c r="O851">
        <v>2019</v>
      </c>
      <c r="P851" t="s">
        <v>18</v>
      </c>
    </row>
    <row r="852" spans="1:16" x14ac:dyDescent="0.3">
      <c r="A852">
        <v>434</v>
      </c>
      <c r="B852" t="s">
        <v>520</v>
      </c>
      <c r="C852" t="s">
        <v>956</v>
      </c>
      <c r="D852" t="str">
        <f>VLOOKUP(YouTube_University_Data_Final[[#This Row],[Title]],[1]!YouTube_University_Data_Final[[Title]:[Title_language]],2,FALSE)</f>
        <v>English</v>
      </c>
      <c r="E852" t="s">
        <v>957</v>
      </c>
      <c r="F852">
        <v>27</v>
      </c>
      <c r="G852" s="1">
        <v>43766</v>
      </c>
      <c r="H852">
        <v>232</v>
      </c>
      <c r="I852" t="s">
        <v>522</v>
      </c>
      <c r="J852">
        <v>1590</v>
      </c>
      <c r="K852">
        <v>13</v>
      </c>
      <c r="L852">
        <v>0</v>
      </c>
      <c r="M852">
        <v>0</v>
      </c>
      <c r="N852" t="s">
        <v>17</v>
      </c>
      <c r="O852">
        <v>2019</v>
      </c>
      <c r="P852" t="s">
        <v>18</v>
      </c>
    </row>
    <row r="853" spans="1:16" x14ac:dyDescent="0.3">
      <c r="A853">
        <v>435</v>
      </c>
      <c r="B853" t="s">
        <v>520</v>
      </c>
      <c r="C853" t="s">
        <v>958</v>
      </c>
      <c r="D853" t="str">
        <f>VLOOKUP(YouTube_University_Data_Final[[#This Row],[Title]],[1]!YouTube_University_Data_Final[[Title]:[Title_language]],2,FALSE)</f>
        <v>English</v>
      </c>
      <c r="E853" t="s">
        <v>959</v>
      </c>
      <c r="F853">
        <v>27</v>
      </c>
      <c r="G853" s="1">
        <v>43766</v>
      </c>
      <c r="H853">
        <v>186</v>
      </c>
      <c r="I853" t="s">
        <v>522</v>
      </c>
      <c r="J853">
        <v>561</v>
      </c>
      <c r="K853">
        <v>2</v>
      </c>
      <c r="L853">
        <v>0</v>
      </c>
      <c r="M853">
        <v>0</v>
      </c>
      <c r="N853" t="s">
        <v>17</v>
      </c>
      <c r="O853">
        <v>2019</v>
      </c>
      <c r="P853" t="s">
        <v>18</v>
      </c>
    </row>
    <row r="854" spans="1:16" x14ac:dyDescent="0.3">
      <c r="A854">
        <v>436</v>
      </c>
      <c r="B854" t="s">
        <v>520</v>
      </c>
      <c r="C854" t="s">
        <v>960</v>
      </c>
      <c r="D854" t="str">
        <f>VLOOKUP(YouTube_University_Data_Final[[#This Row],[Title]],[1]!YouTube_University_Data_Final[[Title]:[Title_language]],2,FALSE)</f>
        <v>English</v>
      </c>
      <c r="E854" t="s">
        <v>961</v>
      </c>
      <c r="F854">
        <v>27</v>
      </c>
      <c r="G854" s="1">
        <v>43766</v>
      </c>
      <c r="H854">
        <v>450</v>
      </c>
      <c r="I854" t="s">
        <v>522</v>
      </c>
      <c r="J854">
        <v>660</v>
      </c>
      <c r="K854">
        <v>8</v>
      </c>
      <c r="L854">
        <v>0</v>
      </c>
      <c r="M854">
        <v>0</v>
      </c>
      <c r="N854" t="s">
        <v>17</v>
      </c>
      <c r="O854">
        <v>2019</v>
      </c>
      <c r="P854" t="s">
        <v>18</v>
      </c>
    </row>
    <row r="855" spans="1:16" x14ac:dyDescent="0.3">
      <c r="A855">
        <v>437</v>
      </c>
      <c r="B855" t="s">
        <v>520</v>
      </c>
      <c r="C855" t="s">
        <v>962</v>
      </c>
      <c r="D855" t="str">
        <f>VLOOKUP(YouTube_University_Data_Final[[#This Row],[Title]],[1]!YouTube_University_Data_Final[[Title]:[Title_language]],2,FALSE)</f>
        <v>English</v>
      </c>
      <c r="E855" t="s">
        <v>963</v>
      </c>
      <c r="F855">
        <v>27</v>
      </c>
      <c r="G855" s="1">
        <v>43766</v>
      </c>
      <c r="H855">
        <v>810</v>
      </c>
      <c r="I855" t="s">
        <v>522</v>
      </c>
      <c r="J855">
        <v>16892</v>
      </c>
      <c r="K855">
        <v>259</v>
      </c>
      <c r="L855">
        <v>0</v>
      </c>
      <c r="M855">
        <v>0</v>
      </c>
      <c r="N855" t="s">
        <v>17</v>
      </c>
      <c r="O855">
        <v>2019</v>
      </c>
      <c r="P855" t="s">
        <v>18</v>
      </c>
    </row>
    <row r="856" spans="1:16" x14ac:dyDescent="0.3">
      <c r="A856">
        <v>438</v>
      </c>
      <c r="B856" t="s">
        <v>520</v>
      </c>
      <c r="C856" t="s">
        <v>964</v>
      </c>
      <c r="D856" t="str">
        <f>VLOOKUP(YouTube_University_Data_Final[[#This Row],[Title]],[1]!YouTube_University_Data_Final[[Title]:[Title_language]],2,FALSE)</f>
        <v>English</v>
      </c>
      <c r="E856" t="s">
        <v>965</v>
      </c>
      <c r="F856">
        <v>27</v>
      </c>
      <c r="G856" s="1">
        <v>43766</v>
      </c>
      <c r="H856">
        <v>532</v>
      </c>
      <c r="I856" t="s">
        <v>522</v>
      </c>
      <c r="J856">
        <v>2269</v>
      </c>
      <c r="K856">
        <v>37</v>
      </c>
      <c r="L856">
        <v>0</v>
      </c>
      <c r="M856">
        <v>0</v>
      </c>
      <c r="N856" t="s">
        <v>17</v>
      </c>
      <c r="O856">
        <v>2019</v>
      </c>
      <c r="P856" t="s">
        <v>18</v>
      </c>
    </row>
    <row r="857" spans="1:16" x14ac:dyDescent="0.3">
      <c r="A857">
        <v>439</v>
      </c>
      <c r="B857" t="s">
        <v>520</v>
      </c>
      <c r="C857" t="s">
        <v>966</v>
      </c>
      <c r="D857" t="str">
        <f>VLOOKUP(YouTube_University_Data_Final[[#This Row],[Title]],[1]!YouTube_University_Data_Final[[Title]:[Title_language]],2,FALSE)</f>
        <v>English</v>
      </c>
      <c r="E857" t="s">
        <v>967</v>
      </c>
      <c r="F857">
        <v>27</v>
      </c>
      <c r="G857" s="1">
        <v>43766</v>
      </c>
      <c r="H857">
        <v>397</v>
      </c>
      <c r="I857" t="s">
        <v>968</v>
      </c>
      <c r="J857">
        <v>274</v>
      </c>
      <c r="K857">
        <v>0</v>
      </c>
      <c r="L857">
        <v>0</v>
      </c>
      <c r="M857">
        <v>0</v>
      </c>
      <c r="N857" t="s">
        <v>17</v>
      </c>
      <c r="O857">
        <v>2019</v>
      </c>
      <c r="P857" t="s">
        <v>18</v>
      </c>
    </row>
    <row r="858" spans="1:16" x14ac:dyDescent="0.3">
      <c r="A858">
        <v>440</v>
      </c>
      <c r="B858" t="s">
        <v>520</v>
      </c>
      <c r="C858" t="s">
        <v>969</v>
      </c>
      <c r="D858" t="str">
        <f>VLOOKUP(YouTube_University_Data_Final[[#This Row],[Title]],[1]!YouTube_University_Data_Final[[Title]:[Title_language]],2,FALSE)</f>
        <v>English</v>
      </c>
      <c r="E858" t="s">
        <v>970</v>
      </c>
      <c r="F858">
        <v>27</v>
      </c>
      <c r="G858" s="1">
        <v>43766</v>
      </c>
      <c r="H858">
        <v>765</v>
      </c>
      <c r="I858" t="s">
        <v>971</v>
      </c>
      <c r="J858">
        <v>2204</v>
      </c>
      <c r="K858">
        <v>23</v>
      </c>
      <c r="L858">
        <v>0</v>
      </c>
      <c r="M858">
        <v>0</v>
      </c>
      <c r="N858" t="s">
        <v>17</v>
      </c>
      <c r="O858">
        <v>2019</v>
      </c>
      <c r="P858" t="s">
        <v>18</v>
      </c>
    </row>
    <row r="859" spans="1:16" x14ac:dyDescent="0.3">
      <c r="A859">
        <v>441</v>
      </c>
      <c r="B859" t="s">
        <v>520</v>
      </c>
      <c r="C859" t="s">
        <v>972</v>
      </c>
      <c r="D859" t="str">
        <f>VLOOKUP(YouTube_University_Data_Final[[#This Row],[Title]],[1]!YouTube_University_Data_Final[[Title]:[Title_language]],2,FALSE)</f>
        <v>English</v>
      </c>
      <c r="E859" t="s">
        <v>973</v>
      </c>
      <c r="F859">
        <v>27</v>
      </c>
      <c r="G859" s="1">
        <v>43766</v>
      </c>
      <c r="H859">
        <v>770</v>
      </c>
      <c r="I859" t="s">
        <v>974</v>
      </c>
      <c r="J859">
        <v>237</v>
      </c>
      <c r="K859">
        <v>0</v>
      </c>
      <c r="L859">
        <v>0</v>
      </c>
      <c r="M859">
        <v>0</v>
      </c>
      <c r="N859" t="s">
        <v>17</v>
      </c>
      <c r="O859">
        <v>2019</v>
      </c>
      <c r="P859" t="s">
        <v>18</v>
      </c>
    </row>
    <row r="860" spans="1:16" x14ac:dyDescent="0.3">
      <c r="A860">
        <v>442</v>
      </c>
      <c r="B860" t="s">
        <v>520</v>
      </c>
      <c r="C860" t="s">
        <v>975</v>
      </c>
      <c r="D860" t="str">
        <f>VLOOKUP(YouTube_University_Data_Final[[#This Row],[Title]],[1]!YouTube_University_Data_Final[[Title]:[Title_language]],2,FALSE)</f>
        <v>English</v>
      </c>
      <c r="E860" t="s">
        <v>976</v>
      </c>
      <c r="F860">
        <v>27</v>
      </c>
      <c r="G860" s="1">
        <v>43766</v>
      </c>
      <c r="H860">
        <v>925</v>
      </c>
      <c r="I860" t="s">
        <v>522</v>
      </c>
      <c r="J860">
        <v>2043</v>
      </c>
      <c r="K860">
        <v>21</v>
      </c>
      <c r="L860">
        <v>0</v>
      </c>
      <c r="M860">
        <v>0</v>
      </c>
      <c r="N860" t="s">
        <v>17</v>
      </c>
      <c r="O860">
        <v>2019</v>
      </c>
      <c r="P860" t="s">
        <v>18</v>
      </c>
    </row>
    <row r="861" spans="1:16" x14ac:dyDescent="0.3">
      <c r="A861">
        <v>443</v>
      </c>
      <c r="B861" t="s">
        <v>520</v>
      </c>
      <c r="C861" t="s">
        <v>977</v>
      </c>
      <c r="D861" t="str">
        <f>VLOOKUP(YouTube_University_Data_Final[[#This Row],[Title]],[1]!YouTube_University_Data_Final[[Title]:[Title_language]],2,FALSE)</f>
        <v>English</v>
      </c>
      <c r="E861" t="s">
        <v>978</v>
      </c>
      <c r="F861">
        <v>27</v>
      </c>
      <c r="G861" s="1">
        <v>43766</v>
      </c>
      <c r="H861">
        <v>126</v>
      </c>
      <c r="I861" t="s">
        <v>979</v>
      </c>
      <c r="J861">
        <v>527</v>
      </c>
      <c r="K861">
        <v>1</v>
      </c>
      <c r="L861">
        <v>0</v>
      </c>
      <c r="M861">
        <v>0</v>
      </c>
      <c r="N861" t="s">
        <v>17</v>
      </c>
      <c r="O861">
        <v>2019</v>
      </c>
      <c r="P861" t="s">
        <v>18</v>
      </c>
    </row>
    <row r="862" spans="1:16" x14ac:dyDescent="0.3">
      <c r="A862">
        <v>444</v>
      </c>
      <c r="B862" t="s">
        <v>520</v>
      </c>
      <c r="C862" t="s">
        <v>980</v>
      </c>
      <c r="D862" t="str">
        <f>VLOOKUP(YouTube_University_Data_Final[[#This Row],[Title]],[1]!YouTube_University_Data_Final[[Title]:[Title_language]],2,FALSE)</f>
        <v>English</v>
      </c>
      <c r="E862" t="s">
        <v>981</v>
      </c>
      <c r="F862">
        <v>27</v>
      </c>
      <c r="G862" s="1">
        <v>43766</v>
      </c>
      <c r="H862">
        <v>168</v>
      </c>
      <c r="I862" t="s">
        <v>982</v>
      </c>
      <c r="J862">
        <v>746</v>
      </c>
      <c r="K862">
        <v>3</v>
      </c>
      <c r="L862">
        <v>0</v>
      </c>
      <c r="M862">
        <v>0</v>
      </c>
      <c r="N862" t="s">
        <v>17</v>
      </c>
      <c r="O862">
        <v>2019</v>
      </c>
      <c r="P862" t="s">
        <v>18</v>
      </c>
    </row>
    <row r="863" spans="1:16" x14ac:dyDescent="0.3">
      <c r="A863">
        <v>445</v>
      </c>
      <c r="B863" t="s">
        <v>520</v>
      </c>
      <c r="C863" t="s">
        <v>983</v>
      </c>
      <c r="D863" t="str">
        <f>VLOOKUP(YouTube_University_Data_Final[[#This Row],[Title]],[1]!YouTube_University_Data_Final[[Title]:[Title_language]],2,FALSE)</f>
        <v>English</v>
      </c>
      <c r="E863" t="s">
        <v>944</v>
      </c>
      <c r="F863">
        <v>27</v>
      </c>
      <c r="G863" s="1">
        <v>43766</v>
      </c>
      <c r="H863">
        <v>182</v>
      </c>
      <c r="I863" t="s">
        <v>984</v>
      </c>
      <c r="J863">
        <v>4871</v>
      </c>
      <c r="K863">
        <v>40</v>
      </c>
      <c r="L863">
        <v>0</v>
      </c>
      <c r="M863">
        <v>0</v>
      </c>
      <c r="N863" t="s">
        <v>17</v>
      </c>
      <c r="O863">
        <v>2019</v>
      </c>
      <c r="P863" t="s">
        <v>18</v>
      </c>
    </row>
    <row r="864" spans="1:16" x14ac:dyDescent="0.3">
      <c r="A864">
        <v>446</v>
      </c>
      <c r="B864" t="s">
        <v>520</v>
      </c>
      <c r="C864" t="s">
        <v>985</v>
      </c>
      <c r="D864" t="str">
        <f>VLOOKUP(YouTube_University_Data_Final[[#This Row],[Title]],[1]!YouTube_University_Data_Final[[Title]:[Title_language]],2,FALSE)</f>
        <v>English</v>
      </c>
      <c r="E864" t="s">
        <v>986</v>
      </c>
      <c r="F864">
        <v>27</v>
      </c>
      <c r="G864" s="1">
        <v>43658</v>
      </c>
      <c r="H864">
        <v>556</v>
      </c>
      <c r="I864" t="s">
        <v>3329</v>
      </c>
      <c r="J864">
        <v>2528</v>
      </c>
      <c r="K864">
        <v>20</v>
      </c>
      <c r="L864">
        <v>0</v>
      </c>
      <c r="M864">
        <v>0</v>
      </c>
      <c r="N864" t="s">
        <v>56</v>
      </c>
      <c r="O864">
        <v>2019</v>
      </c>
      <c r="P864" t="s">
        <v>18</v>
      </c>
    </row>
    <row r="865" spans="1:16" x14ac:dyDescent="0.3">
      <c r="A865">
        <v>447</v>
      </c>
      <c r="B865" t="s">
        <v>520</v>
      </c>
      <c r="C865" t="s">
        <v>3330</v>
      </c>
      <c r="D865" t="str">
        <f>VLOOKUP(YouTube_University_Data_Final[[#This Row],[Title]],[1]!YouTube_University_Data_Final[[Title]:[Title_language]],2,FALSE)</f>
        <v>Bilingual</v>
      </c>
      <c r="E865" t="s">
        <v>3331</v>
      </c>
      <c r="F865">
        <v>27</v>
      </c>
      <c r="G865" s="1">
        <v>43651</v>
      </c>
      <c r="H865">
        <v>35</v>
      </c>
      <c r="I865" t="s">
        <v>522</v>
      </c>
      <c r="J865">
        <v>1019</v>
      </c>
      <c r="K865">
        <v>4</v>
      </c>
      <c r="L865">
        <v>0</v>
      </c>
      <c r="M865">
        <v>0</v>
      </c>
      <c r="N865" t="s">
        <v>56</v>
      </c>
      <c r="O865">
        <v>2019</v>
      </c>
      <c r="P865" t="s">
        <v>18</v>
      </c>
    </row>
    <row r="866" spans="1:16" x14ac:dyDescent="0.3">
      <c r="A866">
        <v>448</v>
      </c>
      <c r="B866" t="s">
        <v>520</v>
      </c>
      <c r="C866" t="s">
        <v>3332</v>
      </c>
      <c r="D866" t="str">
        <f>VLOOKUP(YouTube_University_Data_Final[[#This Row],[Title]],[1]!YouTube_University_Data_Final[[Title]:[Title_language]],2,FALSE)</f>
        <v>Chinese</v>
      </c>
      <c r="E866" t="s">
        <v>3333</v>
      </c>
      <c r="F866">
        <v>27</v>
      </c>
      <c r="G866" s="1">
        <v>43649</v>
      </c>
      <c r="H866">
        <v>916</v>
      </c>
      <c r="I866" t="s">
        <v>522</v>
      </c>
      <c r="J866">
        <v>8612</v>
      </c>
      <c r="K866">
        <v>52</v>
      </c>
      <c r="L866">
        <v>0</v>
      </c>
      <c r="M866">
        <v>0</v>
      </c>
      <c r="N866" t="s">
        <v>56</v>
      </c>
      <c r="O866">
        <v>2019</v>
      </c>
      <c r="P866" t="s">
        <v>18</v>
      </c>
    </row>
    <row r="867" spans="1:16" x14ac:dyDescent="0.3">
      <c r="A867">
        <v>449</v>
      </c>
      <c r="B867" t="s">
        <v>520</v>
      </c>
      <c r="C867" t="s">
        <v>987</v>
      </c>
      <c r="D867" t="str">
        <f>VLOOKUP(YouTube_University_Data_Final[[#This Row],[Title]],[1]!YouTube_University_Data_Final[[Title]:[Title_language]],2,FALSE)</f>
        <v>English</v>
      </c>
      <c r="E867" t="s">
        <v>3334</v>
      </c>
      <c r="F867">
        <v>27</v>
      </c>
      <c r="G867" s="1">
        <v>43642</v>
      </c>
      <c r="H867">
        <v>14</v>
      </c>
      <c r="I867" t="s">
        <v>522</v>
      </c>
      <c r="J867">
        <v>2200</v>
      </c>
      <c r="K867">
        <v>6</v>
      </c>
      <c r="L867">
        <v>0</v>
      </c>
      <c r="M867">
        <v>0</v>
      </c>
      <c r="N867" t="s">
        <v>78</v>
      </c>
      <c r="O867">
        <v>2019</v>
      </c>
      <c r="P867" t="s">
        <v>18</v>
      </c>
    </row>
    <row r="868" spans="1:16" x14ac:dyDescent="0.3">
      <c r="A868">
        <v>450</v>
      </c>
      <c r="B868" t="s">
        <v>520</v>
      </c>
      <c r="C868" t="s">
        <v>988</v>
      </c>
      <c r="D868" t="str">
        <f>VLOOKUP(YouTube_University_Data_Final[[#This Row],[Title]],[1]!YouTube_University_Data_Final[[Title]:[Title_language]],2,FALSE)</f>
        <v>English</v>
      </c>
      <c r="E868" t="s">
        <v>989</v>
      </c>
      <c r="F868">
        <v>27</v>
      </c>
      <c r="G868" s="1">
        <v>43593</v>
      </c>
      <c r="H868">
        <v>152</v>
      </c>
      <c r="I868" t="s">
        <v>990</v>
      </c>
      <c r="J868">
        <v>79072</v>
      </c>
      <c r="K868">
        <v>995</v>
      </c>
      <c r="L868">
        <v>0</v>
      </c>
      <c r="M868">
        <v>37</v>
      </c>
      <c r="N868" t="s">
        <v>81</v>
      </c>
      <c r="O868">
        <v>2019</v>
      </c>
      <c r="P868" t="s">
        <v>18</v>
      </c>
    </row>
    <row r="869" spans="1:16" x14ac:dyDescent="0.3">
      <c r="A869">
        <v>451</v>
      </c>
      <c r="B869" t="s">
        <v>520</v>
      </c>
      <c r="C869" t="s">
        <v>991</v>
      </c>
      <c r="D869" t="str">
        <f>VLOOKUP(YouTube_University_Data_Final[[#This Row],[Title]],[1]!YouTube_University_Data_Final[[Title]:[Title_language]],2,FALSE)</f>
        <v>English</v>
      </c>
      <c r="E869" t="s">
        <v>992</v>
      </c>
      <c r="F869">
        <v>27</v>
      </c>
      <c r="G869" s="1">
        <v>43593</v>
      </c>
      <c r="H869">
        <v>97</v>
      </c>
      <c r="I869" t="s">
        <v>522</v>
      </c>
      <c r="J869">
        <v>543</v>
      </c>
      <c r="K869">
        <v>2</v>
      </c>
      <c r="L869">
        <v>0</v>
      </c>
      <c r="M869">
        <v>0</v>
      </c>
      <c r="N869" t="s">
        <v>81</v>
      </c>
      <c r="O869">
        <v>2019</v>
      </c>
      <c r="P869" t="s">
        <v>18</v>
      </c>
    </row>
    <row r="870" spans="1:16" x14ac:dyDescent="0.3">
      <c r="A870">
        <v>452</v>
      </c>
      <c r="B870" t="s">
        <v>520</v>
      </c>
      <c r="C870" t="s">
        <v>993</v>
      </c>
      <c r="D870" t="str">
        <f>VLOOKUP(YouTube_University_Data_Final[[#This Row],[Title]],[1]!YouTube_University_Data_Final[[Title]:[Title_language]],2,FALSE)</f>
        <v>English</v>
      </c>
      <c r="E870" t="s">
        <v>3335</v>
      </c>
      <c r="F870">
        <v>27</v>
      </c>
      <c r="G870" s="1">
        <v>43593</v>
      </c>
      <c r="H870">
        <v>88</v>
      </c>
      <c r="I870" t="s">
        <v>522</v>
      </c>
      <c r="J870">
        <v>575</v>
      </c>
      <c r="K870">
        <v>2</v>
      </c>
      <c r="L870">
        <v>0</v>
      </c>
      <c r="M870">
        <v>0</v>
      </c>
      <c r="N870" t="s">
        <v>81</v>
      </c>
      <c r="O870">
        <v>2019</v>
      </c>
      <c r="P870" t="s">
        <v>18</v>
      </c>
    </row>
    <row r="871" spans="1:16" x14ac:dyDescent="0.3">
      <c r="A871">
        <v>453</v>
      </c>
      <c r="B871" t="s">
        <v>520</v>
      </c>
      <c r="C871" t="s">
        <v>775</v>
      </c>
      <c r="D871" t="str">
        <f>VLOOKUP(YouTube_University_Data_Final[[#This Row],[Title]],[1]!YouTube_University_Data_Final[[Title]:[Title_language]],2,FALSE)</f>
        <v>English</v>
      </c>
      <c r="E871" t="s">
        <v>994</v>
      </c>
      <c r="F871">
        <v>27</v>
      </c>
      <c r="G871" s="1">
        <v>43593</v>
      </c>
      <c r="H871">
        <v>2</v>
      </c>
      <c r="I871" t="s">
        <v>522</v>
      </c>
      <c r="J871">
        <v>889</v>
      </c>
      <c r="K871">
        <v>3</v>
      </c>
      <c r="L871">
        <v>0</v>
      </c>
      <c r="M871">
        <v>0</v>
      </c>
      <c r="N871" t="s">
        <v>81</v>
      </c>
      <c r="O871">
        <v>2019</v>
      </c>
      <c r="P871" t="s">
        <v>18</v>
      </c>
    </row>
    <row r="872" spans="1:16" x14ac:dyDescent="0.3">
      <c r="A872">
        <v>454</v>
      </c>
      <c r="B872" t="s">
        <v>520</v>
      </c>
      <c r="C872" t="s">
        <v>995</v>
      </c>
      <c r="D872" t="str">
        <f>VLOOKUP(YouTube_University_Data_Final[[#This Row],[Title]],[1]!YouTube_University_Data_Final[[Title]:[Title_language]],2,FALSE)</f>
        <v>English</v>
      </c>
      <c r="E872" t="s">
        <v>996</v>
      </c>
      <c r="F872">
        <v>27</v>
      </c>
      <c r="G872" s="1">
        <v>43409</v>
      </c>
      <c r="H872">
        <v>133</v>
      </c>
      <c r="I872" t="s">
        <v>522</v>
      </c>
      <c r="J872">
        <v>4139</v>
      </c>
      <c r="K872">
        <v>32</v>
      </c>
      <c r="L872">
        <v>0</v>
      </c>
      <c r="M872">
        <v>0</v>
      </c>
      <c r="N872" t="s">
        <v>101</v>
      </c>
      <c r="O872">
        <v>2018</v>
      </c>
      <c r="P872" t="s">
        <v>18</v>
      </c>
    </row>
    <row r="873" spans="1:16" x14ac:dyDescent="0.3">
      <c r="A873">
        <v>455</v>
      </c>
      <c r="B873" t="s">
        <v>520</v>
      </c>
      <c r="C873" t="s">
        <v>997</v>
      </c>
      <c r="D873" t="str">
        <f>VLOOKUP(YouTube_University_Data_Final[[#This Row],[Title]],[1]!YouTube_University_Data_Final[[Title]:[Title_language]],2,FALSE)</f>
        <v>English</v>
      </c>
      <c r="E873" t="s">
        <v>2944</v>
      </c>
      <c r="F873">
        <v>27</v>
      </c>
      <c r="G873" s="1">
        <v>43409</v>
      </c>
      <c r="H873">
        <v>73</v>
      </c>
      <c r="I873" t="s">
        <v>522</v>
      </c>
      <c r="J873">
        <v>1879</v>
      </c>
      <c r="K873">
        <v>15</v>
      </c>
      <c r="L873">
        <v>0</v>
      </c>
      <c r="M873">
        <v>0</v>
      </c>
      <c r="N873" t="s">
        <v>101</v>
      </c>
      <c r="O873">
        <v>2018</v>
      </c>
      <c r="P873" t="s">
        <v>18</v>
      </c>
    </row>
    <row r="874" spans="1:16" x14ac:dyDescent="0.3">
      <c r="A874">
        <v>456</v>
      </c>
      <c r="B874" t="s">
        <v>520</v>
      </c>
      <c r="C874" t="s">
        <v>998</v>
      </c>
      <c r="D874" t="str">
        <f>VLOOKUP(YouTube_University_Data_Final[[#This Row],[Title]],[1]!YouTube_University_Data_Final[[Title]:[Title_language]],2,FALSE)</f>
        <v>English</v>
      </c>
      <c r="E874" t="s">
        <v>2944</v>
      </c>
      <c r="F874">
        <v>27</v>
      </c>
      <c r="G874" s="1">
        <v>43409</v>
      </c>
      <c r="H874">
        <v>70</v>
      </c>
      <c r="I874" t="s">
        <v>522</v>
      </c>
      <c r="J874">
        <v>354</v>
      </c>
      <c r="K874">
        <v>5</v>
      </c>
      <c r="L874">
        <v>0</v>
      </c>
      <c r="M874">
        <v>0</v>
      </c>
      <c r="N874" t="s">
        <v>101</v>
      </c>
      <c r="O874">
        <v>2018</v>
      </c>
      <c r="P874" t="s">
        <v>18</v>
      </c>
    </row>
    <row r="875" spans="1:16" x14ac:dyDescent="0.3">
      <c r="A875">
        <v>457</v>
      </c>
      <c r="B875" t="s">
        <v>520</v>
      </c>
      <c r="C875" t="s">
        <v>999</v>
      </c>
      <c r="D875" t="str">
        <f>VLOOKUP(YouTube_University_Data_Final[[#This Row],[Title]],[1]!YouTube_University_Data_Final[[Title]:[Title_language]],2,FALSE)</f>
        <v>English</v>
      </c>
      <c r="E875" t="s">
        <v>2944</v>
      </c>
      <c r="F875">
        <v>27</v>
      </c>
      <c r="G875" s="1">
        <v>43409</v>
      </c>
      <c r="H875">
        <v>79</v>
      </c>
      <c r="I875" t="s">
        <v>522</v>
      </c>
      <c r="J875">
        <v>332</v>
      </c>
      <c r="K875">
        <v>2</v>
      </c>
      <c r="L875">
        <v>0</v>
      </c>
      <c r="M875">
        <v>0</v>
      </c>
      <c r="N875" t="s">
        <v>101</v>
      </c>
      <c r="O875">
        <v>2018</v>
      </c>
      <c r="P875" t="s">
        <v>18</v>
      </c>
    </row>
    <row r="876" spans="1:16" x14ac:dyDescent="0.3">
      <c r="A876">
        <v>458</v>
      </c>
      <c r="B876" t="s">
        <v>520</v>
      </c>
      <c r="C876" t="s">
        <v>3336</v>
      </c>
      <c r="D876" t="str">
        <f>VLOOKUP(YouTube_University_Data_Final[[#This Row],[Title]],[1]!YouTube_University_Data_Final[[Title]:[Title_language]],2,FALSE)</f>
        <v>English</v>
      </c>
      <c r="E876" t="s">
        <v>1000</v>
      </c>
      <c r="F876">
        <v>27</v>
      </c>
      <c r="G876" s="1">
        <v>43398</v>
      </c>
      <c r="H876">
        <v>741</v>
      </c>
      <c r="I876" t="s">
        <v>522</v>
      </c>
      <c r="J876">
        <v>7592</v>
      </c>
      <c r="K876">
        <v>111</v>
      </c>
      <c r="L876">
        <v>0</v>
      </c>
      <c r="M876">
        <v>0</v>
      </c>
      <c r="N876" t="s">
        <v>17</v>
      </c>
      <c r="O876">
        <v>2018</v>
      </c>
      <c r="P876" t="s">
        <v>18</v>
      </c>
    </row>
    <row r="877" spans="1:16" x14ac:dyDescent="0.3">
      <c r="A877">
        <v>459</v>
      </c>
      <c r="B877" t="s">
        <v>520</v>
      </c>
      <c r="C877" t="s">
        <v>1001</v>
      </c>
      <c r="D877" t="str">
        <f>VLOOKUP(YouTube_University_Data_Final[[#This Row],[Title]],[1]!YouTube_University_Data_Final[[Title]:[Title_language]],2,FALSE)</f>
        <v>English</v>
      </c>
      <c r="E877" t="s">
        <v>1002</v>
      </c>
      <c r="F877">
        <v>27</v>
      </c>
      <c r="G877" s="1">
        <v>43357</v>
      </c>
      <c r="H877">
        <v>95</v>
      </c>
      <c r="I877" t="s">
        <v>522</v>
      </c>
      <c r="J877">
        <v>1078</v>
      </c>
      <c r="K877">
        <v>4</v>
      </c>
      <c r="L877">
        <v>0</v>
      </c>
      <c r="M877">
        <v>0</v>
      </c>
      <c r="N877" t="s">
        <v>21</v>
      </c>
      <c r="O877">
        <v>2018</v>
      </c>
      <c r="P877" t="s">
        <v>18</v>
      </c>
    </row>
    <row r="878" spans="1:16" x14ac:dyDescent="0.3">
      <c r="A878">
        <v>460</v>
      </c>
      <c r="B878" t="s">
        <v>520</v>
      </c>
      <c r="C878" t="s">
        <v>1003</v>
      </c>
      <c r="D878" t="str">
        <f>VLOOKUP(YouTube_University_Data_Final[[#This Row],[Title]],[1]!YouTube_University_Data_Final[[Title]:[Title_language]],2,FALSE)</f>
        <v>English</v>
      </c>
      <c r="E878" t="s">
        <v>1004</v>
      </c>
      <c r="F878">
        <v>27</v>
      </c>
      <c r="G878" s="1">
        <v>43357</v>
      </c>
      <c r="H878">
        <v>71</v>
      </c>
      <c r="I878" t="s">
        <v>522</v>
      </c>
      <c r="J878">
        <v>1937</v>
      </c>
      <c r="K878">
        <v>4</v>
      </c>
      <c r="L878">
        <v>0</v>
      </c>
      <c r="M878">
        <v>0</v>
      </c>
      <c r="N878" t="s">
        <v>21</v>
      </c>
      <c r="O878">
        <v>2018</v>
      </c>
      <c r="P878" t="s">
        <v>18</v>
      </c>
    </row>
    <row r="879" spans="1:16" x14ac:dyDescent="0.3">
      <c r="A879">
        <v>461</v>
      </c>
      <c r="B879" t="s">
        <v>520</v>
      </c>
      <c r="C879" t="s">
        <v>1005</v>
      </c>
      <c r="D879" t="str">
        <f>VLOOKUP(YouTube_University_Data_Final[[#This Row],[Title]],[1]!YouTube_University_Data_Final[[Title]:[Title_language]],2,FALSE)</f>
        <v>English</v>
      </c>
      <c r="E879" t="s">
        <v>1006</v>
      </c>
      <c r="F879">
        <v>27</v>
      </c>
      <c r="G879" s="1">
        <v>43357</v>
      </c>
      <c r="H879">
        <v>83</v>
      </c>
      <c r="I879" t="s">
        <v>522</v>
      </c>
      <c r="J879">
        <v>1638</v>
      </c>
      <c r="K879">
        <v>7</v>
      </c>
      <c r="L879">
        <v>0</v>
      </c>
      <c r="M879">
        <v>0</v>
      </c>
      <c r="N879" t="s">
        <v>21</v>
      </c>
      <c r="O879">
        <v>2018</v>
      </c>
      <c r="P879" t="s">
        <v>18</v>
      </c>
    </row>
    <row r="880" spans="1:16" x14ac:dyDescent="0.3">
      <c r="A880">
        <v>462</v>
      </c>
      <c r="B880" t="s">
        <v>520</v>
      </c>
      <c r="C880" t="s">
        <v>1007</v>
      </c>
      <c r="D880" t="str">
        <f>VLOOKUP(YouTube_University_Data_Final[[#This Row],[Title]],[1]!YouTube_University_Data_Final[[Title]:[Title_language]],2,FALSE)</f>
        <v>English</v>
      </c>
      <c r="E880" t="s">
        <v>1008</v>
      </c>
      <c r="F880">
        <v>27</v>
      </c>
      <c r="G880" s="1">
        <v>43357</v>
      </c>
      <c r="H880">
        <v>97</v>
      </c>
      <c r="I880" t="s">
        <v>522</v>
      </c>
      <c r="J880">
        <v>3224</v>
      </c>
      <c r="K880">
        <v>13</v>
      </c>
      <c r="L880">
        <v>0</v>
      </c>
      <c r="M880">
        <v>0</v>
      </c>
      <c r="N880" t="s">
        <v>21</v>
      </c>
      <c r="O880">
        <v>2018</v>
      </c>
      <c r="P880" t="s">
        <v>18</v>
      </c>
    </row>
    <row r="881" spans="1:16" x14ac:dyDescent="0.3">
      <c r="A881">
        <v>463</v>
      </c>
      <c r="B881" t="s">
        <v>520</v>
      </c>
      <c r="C881" t="s">
        <v>995</v>
      </c>
      <c r="D881" t="str">
        <f>VLOOKUP(YouTube_University_Data_Final[[#This Row],[Title]],[1]!YouTube_University_Data_Final[[Title]:[Title_language]],2,FALSE)</f>
        <v>English</v>
      </c>
      <c r="E881" t="s">
        <v>996</v>
      </c>
      <c r="F881">
        <v>27</v>
      </c>
      <c r="G881" s="1">
        <v>43357</v>
      </c>
      <c r="H881">
        <v>53</v>
      </c>
      <c r="I881" t="s">
        <v>522</v>
      </c>
      <c r="J881">
        <v>1265</v>
      </c>
      <c r="K881">
        <v>8</v>
      </c>
      <c r="L881">
        <v>0</v>
      </c>
      <c r="M881">
        <v>0</v>
      </c>
      <c r="N881" t="s">
        <v>21</v>
      </c>
      <c r="O881">
        <v>2018</v>
      </c>
      <c r="P881" t="s">
        <v>18</v>
      </c>
    </row>
    <row r="882" spans="1:16" x14ac:dyDescent="0.3">
      <c r="A882">
        <v>464</v>
      </c>
      <c r="B882" t="s">
        <v>520</v>
      </c>
      <c r="C882" t="s">
        <v>1009</v>
      </c>
      <c r="D882" t="str">
        <f>VLOOKUP(YouTube_University_Data_Final[[#This Row],[Title]],[1]!YouTube_University_Data_Final[[Title]:[Title_language]],2,FALSE)</f>
        <v>English</v>
      </c>
      <c r="E882" t="s">
        <v>3312</v>
      </c>
      <c r="F882">
        <v>27</v>
      </c>
      <c r="G882" s="1">
        <v>43357</v>
      </c>
      <c r="H882">
        <v>99</v>
      </c>
      <c r="I882" t="s">
        <v>522</v>
      </c>
      <c r="J882">
        <v>1581</v>
      </c>
      <c r="K882">
        <v>11</v>
      </c>
      <c r="L882">
        <v>0</v>
      </c>
      <c r="M882">
        <v>0</v>
      </c>
      <c r="N882" t="s">
        <v>21</v>
      </c>
      <c r="O882">
        <v>2018</v>
      </c>
      <c r="P882" t="s">
        <v>18</v>
      </c>
    </row>
    <row r="883" spans="1:16" x14ac:dyDescent="0.3">
      <c r="A883">
        <v>465</v>
      </c>
      <c r="B883" t="s">
        <v>520</v>
      </c>
      <c r="C883" t="s">
        <v>1010</v>
      </c>
      <c r="D883" t="str">
        <f>VLOOKUP(YouTube_University_Data_Final[[#This Row],[Title]],[1]!YouTube_University_Data_Final[[Title]:[Title_language]],2,FALSE)</f>
        <v>English</v>
      </c>
      <c r="E883" t="s">
        <v>1011</v>
      </c>
      <c r="F883">
        <v>27</v>
      </c>
      <c r="G883" s="1">
        <v>43357</v>
      </c>
      <c r="H883">
        <v>92</v>
      </c>
      <c r="I883" t="s">
        <v>522</v>
      </c>
      <c r="J883">
        <v>2723</v>
      </c>
      <c r="K883">
        <v>10</v>
      </c>
      <c r="L883">
        <v>0</v>
      </c>
      <c r="M883">
        <v>0</v>
      </c>
      <c r="N883" t="s">
        <v>21</v>
      </c>
      <c r="O883">
        <v>2018</v>
      </c>
      <c r="P883" t="s">
        <v>18</v>
      </c>
    </row>
    <row r="884" spans="1:16" x14ac:dyDescent="0.3">
      <c r="A884">
        <v>466</v>
      </c>
      <c r="B884" t="s">
        <v>520</v>
      </c>
      <c r="C884" t="s">
        <v>1012</v>
      </c>
      <c r="D884" t="str">
        <f>VLOOKUP(YouTube_University_Data_Final[[#This Row],[Title]],[1]!YouTube_University_Data_Final[[Title]:[Title_language]],2,FALSE)</f>
        <v>English</v>
      </c>
      <c r="E884" t="s">
        <v>3337</v>
      </c>
      <c r="F884">
        <v>27</v>
      </c>
      <c r="G884" s="1">
        <v>43129</v>
      </c>
      <c r="H884">
        <v>123</v>
      </c>
      <c r="I884" t="s">
        <v>1013</v>
      </c>
      <c r="J884">
        <v>800</v>
      </c>
      <c r="K884">
        <v>4</v>
      </c>
      <c r="L884">
        <v>0</v>
      </c>
      <c r="M884">
        <v>0</v>
      </c>
      <c r="N884" t="s">
        <v>93</v>
      </c>
      <c r="O884">
        <v>2018</v>
      </c>
      <c r="P884" t="s">
        <v>18</v>
      </c>
    </row>
    <row r="885" spans="1:16" x14ac:dyDescent="0.3">
      <c r="A885">
        <v>467</v>
      </c>
      <c r="B885" t="s">
        <v>520</v>
      </c>
      <c r="C885" t="s">
        <v>1014</v>
      </c>
      <c r="D885" t="str">
        <f>VLOOKUP(YouTube_University_Data_Final[[#This Row],[Title]],[1]!YouTube_University_Data_Final[[Title]:[Title_language]],2,FALSE)</f>
        <v>English</v>
      </c>
      <c r="E885" t="s">
        <v>1000</v>
      </c>
      <c r="F885">
        <v>27</v>
      </c>
      <c r="G885" s="1">
        <v>43091</v>
      </c>
      <c r="H885">
        <v>335</v>
      </c>
      <c r="I885" t="s">
        <v>1015</v>
      </c>
      <c r="J885">
        <v>5063</v>
      </c>
      <c r="K885">
        <v>16</v>
      </c>
      <c r="L885">
        <v>0</v>
      </c>
      <c r="M885">
        <v>0</v>
      </c>
      <c r="N885" t="s">
        <v>98</v>
      </c>
      <c r="O885">
        <v>2017</v>
      </c>
      <c r="P885" t="s">
        <v>18</v>
      </c>
    </row>
    <row r="886" spans="1:16" x14ac:dyDescent="0.3">
      <c r="A886">
        <v>468</v>
      </c>
      <c r="B886" t="s">
        <v>520</v>
      </c>
      <c r="C886" t="s">
        <v>1016</v>
      </c>
      <c r="D886" t="str">
        <f>VLOOKUP(YouTube_University_Data_Final[[#This Row],[Title]],[1]!YouTube_University_Data_Final[[Title]:[Title_language]],2,FALSE)</f>
        <v>English</v>
      </c>
      <c r="E886" t="s">
        <v>1017</v>
      </c>
      <c r="F886">
        <v>27</v>
      </c>
      <c r="G886" s="1">
        <v>43063</v>
      </c>
      <c r="H886">
        <v>10</v>
      </c>
      <c r="I886" t="s">
        <v>1018</v>
      </c>
      <c r="J886">
        <v>5386</v>
      </c>
      <c r="K886">
        <v>60</v>
      </c>
      <c r="L886">
        <v>0</v>
      </c>
      <c r="M886">
        <v>1</v>
      </c>
      <c r="N886" t="s">
        <v>101</v>
      </c>
      <c r="O886">
        <v>2017</v>
      </c>
      <c r="P886" t="s">
        <v>18</v>
      </c>
    </row>
    <row r="887" spans="1:16" x14ac:dyDescent="0.3">
      <c r="A887">
        <v>469</v>
      </c>
      <c r="B887" t="s">
        <v>520</v>
      </c>
      <c r="C887" t="s">
        <v>1019</v>
      </c>
      <c r="D887" t="str">
        <f>VLOOKUP(YouTube_University_Data_Final[[#This Row],[Title]],[1]!YouTube_University_Data_Final[[Title]:[Title_language]],2,FALSE)</f>
        <v>English</v>
      </c>
      <c r="E887" t="s">
        <v>1020</v>
      </c>
      <c r="F887">
        <v>27</v>
      </c>
      <c r="G887" s="1">
        <v>42956</v>
      </c>
      <c r="H887">
        <v>115</v>
      </c>
      <c r="I887" t="s">
        <v>522</v>
      </c>
      <c r="J887">
        <v>530</v>
      </c>
      <c r="K887">
        <v>5</v>
      </c>
      <c r="L887">
        <v>0</v>
      </c>
      <c r="M887">
        <v>0</v>
      </c>
      <c r="N887" t="s">
        <v>48</v>
      </c>
      <c r="O887">
        <v>2017</v>
      </c>
      <c r="P887" t="s">
        <v>18</v>
      </c>
    </row>
    <row r="888" spans="1:16" x14ac:dyDescent="0.3">
      <c r="A888">
        <v>470</v>
      </c>
      <c r="B888" t="s">
        <v>520</v>
      </c>
      <c r="C888" t="s">
        <v>1021</v>
      </c>
      <c r="D888" t="str">
        <f>VLOOKUP(YouTube_University_Data_Final[[#This Row],[Title]],[1]!YouTube_University_Data_Final[[Title]:[Title_language]],2,FALSE)</f>
        <v>English</v>
      </c>
      <c r="E888" t="s">
        <v>2944</v>
      </c>
      <c r="F888">
        <v>27</v>
      </c>
      <c r="G888" s="1">
        <v>42947</v>
      </c>
      <c r="H888">
        <v>1972</v>
      </c>
      <c r="I888" t="s">
        <v>522</v>
      </c>
      <c r="J888">
        <v>120</v>
      </c>
      <c r="K888">
        <v>1</v>
      </c>
      <c r="L888">
        <v>0</v>
      </c>
      <c r="M888">
        <v>0</v>
      </c>
      <c r="N888" t="s">
        <v>56</v>
      </c>
      <c r="O888">
        <v>2017</v>
      </c>
      <c r="P888" t="s">
        <v>18</v>
      </c>
    </row>
    <row r="889" spans="1:16" x14ac:dyDescent="0.3">
      <c r="A889">
        <v>471</v>
      </c>
      <c r="B889" t="s">
        <v>520</v>
      </c>
      <c r="C889" t="s">
        <v>1022</v>
      </c>
      <c r="D889" t="str">
        <f>VLOOKUP(YouTube_University_Data_Final[[#This Row],[Title]],[1]!YouTube_University_Data_Final[[Title]:[Title_language]],2,FALSE)</f>
        <v>English</v>
      </c>
      <c r="E889" t="s">
        <v>1023</v>
      </c>
      <c r="F889">
        <v>27</v>
      </c>
      <c r="G889" s="1">
        <v>42928</v>
      </c>
      <c r="H889">
        <v>324</v>
      </c>
      <c r="I889" t="s">
        <v>522</v>
      </c>
      <c r="J889">
        <v>485</v>
      </c>
      <c r="K889">
        <v>1</v>
      </c>
      <c r="L889">
        <v>0</v>
      </c>
      <c r="M889">
        <v>0</v>
      </c>
      <c r="N889" t="s">
        <v>56</v>
      </c>
      <c r="O889">
        <v>2017</v>
      </c>
      <c r="P889" t="s">
        <v>18</v>
      </c>
    </row>
    <row r="890" spans="1:16" x14ac:dyDescent="0.3">
      <c r="A890">
        <v>472</v>
      </c>
      <c r="B890" t="s">
        <v>520</v>
      </c>
      <c r="C890" t="s">
        <v>1024</v>
      </c>
      <c r="D890" t="str">
        <f>VLOOKUP(YouTube_University_Data_Final[[#This Row],[Title]],[1]!YouTube_University_Data_Final[[Title]:[Title_language]],2,FALSE)</f>
        <v>English</v>
      </c>
      <c r="E890" t="s">
        <v>1025</v>
      </c>
      <c r="F890">
        <v>27</v>
      </c>
      <c r="G890" s="1">
        <v>42923</v>
      </c>
      <c r="H890">
        <v>44</v>
      </c>
      <c r="I890" t="s">
        <v>522</v>
      </c>
      <c r="J890">
        <v>3739</v>
      </c>
      <c r="K890">
        <v>27</v>
      </c>
      <c r="L890">
        <v>0</v>
      </c>
      <c r="M890">
        <v>1</v>
      </c>
      <c r="N890" t="s">
        <v>56</v>
      </c>
      <c r="O890">
        <v>2017</v>
      </c>
      <c r="P890" t="s">
        <v>18</v>
      </c>
    </row>
    <row r="891" spans="1:16" x14ac:dyDescent="0.3">
      <c r="A891">
        <v>473</v>
      </c>
      <c r="B891" t="s">
        <v>520</v>
      </c>
      <c r="C891" t="s">
        <v>1026</v>
      </c>
      <c r="D891" t="str">
        <f>VLOOKUP(YouTube_University_Data_Final[[#This Row],[Title]],[1]!YouTube_University_Data_Final[[Title]:[Title_language]],2,FALSE)</f>
        <v>English</v>
      </c>
      <c r="E891" t="s">
        <v>2944</v>
      </c>
      <c r="F891">
        <v>27</v>
      </c>
      <c r="G891" s="1">
        <v>42891</v>
      </c>
      <c r="H891">
        <v>2685</v>
      </c>
      <c r="I891" t="s">
        <v>522</v>
      </c>
      <c r="J891">
        <v>305</v>
      </c>
      <c r="K891">
        <v>5</v>
      </c>
      <c r="L891">
        <v>0</v>
      </c>
      <c r="M891">
        <v>0</v>
      </c>
      <c r="N891" t="s">
        <v>78</v>
      </c>
      <c r="O891">
        <v>2017</v>
      </c>
      <c r="P891" t="s">
        <v>18</v>
      </c>
    </row>
    <row r="892" spans="1:16" x14ac:dyDescent="0.3">
      <c r="A892">
        <v>474</v>
      </c>
      <c r="B892" t="s">
        <v>520</v>
      </c>
      <c r="C892" t="s">
        <v>1027</v>
      </c>
      <c r="D892" t="str">
        <f>VLOOKUP(YouTube_University_Data_Final[[#This Row],[Title]],[1]!YouTube_University_Data_Final[[Title]:[Title_language]],2,FALSE)</f>
        <v>English</v>
      </c>
      <c r="E892" t="s">
        <v>1023</v>
      </c>
      <c r="F892">
        <v>27</v>
      </c>
      <c r="G892" s="1">
        <v>42884</v>
      </c>
      <c r="H892">
        <v>60</v>
      </c>
      <c r="I892" t="s">
        <v>1028</v>
      </c>
      <c r="J892">
        <v>1208</v>
      </c>
      <c r="K892">
        <v>11</v>
      </c>
      <c r="L892">
        <v>0</v>
      </c>
      <c r="M892">
        <v>0</v>
      </c>
      <c r="N892" t="s">
        <v>81</v>
      </c>
      <c r="O892">
        <v>2017</v>
      </c>
      <c r="P892" t="s">
        <v>18</v>
      </c>
    </row>
    <row r="893" spans="1:16" x14ac:dyDescent="0.3">
      <c r="A893">
        <v>475</v>
      </c>
      <c r="B893" t="s">
        <v>520</v>
      </c>
      <c r="C893" t="s">
        <v>1029</v>
      </c>
      <c r="D893" t="str">
        <f>VLOOKUP(YouTube_University_Data_Final[[#This Row],[Title]],[1]!YouTube_University_Data_Final[[Title]:[Title_language]],2,FALSE)</f>
        <v>English</v>
      </c>
      <c r="E893" t="s">
        <v>1030</v>
      </c>
      <c r="F893">
        <v>27</v>
      </c>
      <c r="G893" s="1">
        <v>42852</v>
      </c>
      <c r="H893">
        <v>56</v>
      </c>
      <c r="I893" t="s">
        <v>1031</v>
      </c>
      <c r="J893">
        <v>732</v>
      </c>
      <c r="K893">
        <v>10</v>
      </c>
      <c r="L893">
        <v>0</v>
      </c>
      <c r="M893">
        <v>0</v>
      </c>
      <c r="N893" t="s">
        <v>87</v>
      </c>
      <c r="O893">
        <v>2017</v>
      </c>
      <c r="P893" t="s">
        <v>18</v>
      </c>
    </row>
    <row r="894" spans="1:16" x14ac:dyDescent="0.3">
      <c r="A894">
        <v>476</v>
      </c>
      <c r="B894" t="s">
        <v>520</v>
      </c>
      <c r="C894" t="s">
        <v>1032</v>
      </c>
      <c r="D894" t="str">
        <f>VLOOKUP(YouTube_University_Data_Final[[#This Row],[Title]],[1]!YouTube_University_Data_Final[[Title]:[Title_language]],2,FALSE)</f>
        <v>English</v>
      </c>
      <c r="E894" t="s">
        <v>1033</v>
      </c>
      <c r="F894">
        <v>27</v>
      </c>
      <c r="G894" s="1">
        <v>42838</v>
      </c>
      <c r="H894">
        <v>47</v>
      </c>
      <c r="I894" t="s">
        <v>522</v>
      </c>
      <c r="J894">
        <v>154</v>
      </c>
      <c r="K894">
        <v>2</v>
      </c>
      <c r="L894">
        <v>0</v>
      </c>
      <c r="M894">
        <v>0</v>
      </c>
      <c r="N894" t="s">
        <v>87</v>
      </c>
      <c r="O894">
        <v>2017</v>
      </c>
      <c r="P894" t="s">
        <v>18</v>
      </c>
    </row>
    <row r="895" spans="1:16" x14ac:dyDescent="0.3">
      <c r="A895">
        <v>477</v>
      </c>
      <c r="B895" t="s">
        <v>520</v>
      </c>
      <c r="C895" t="s">
        <v>1034</v>
      </c>
      <c r="D895" t="str">
        <f>VLOOKUP(YouTube_University_Data_Final[[#This Row],[Title]],[1]!YouTube_University_Data_Final[[Title]:[Title_language]],2,FALSE)</f>
        <v>English</v>
      </c>
      <c r="E895" t="s">
        <v>1035</v>
      </c>
      <c r="F895">
        <v>27</v>
      </c>
      <c r="G895" s="1">
        <v>42837</v>
      </c>
      <c r="H895">
        <v>253</v>
      </c>
      <c r="I895" t="s">
        <v>522</v>
      </c>
      <c r="J895">
        <v>457</v>
      </c>
      <c r="K895">
        <v>0</v>
      </c>
      <c r="L895">
        <v>0</v>
      </c>
      <c r="M895">
        <v>0</v>
      </c>
      <c r="N895" t="s">
        <v>87</v>
      </c>
      <c r="O895">
        <v>2017</v>
      </c>
      <c r="P895" t="s">
        <v>18</v>
      </c>
    </row>
    <row r="896" spans="1:16" x14ac:dyDescent="0.3">
      <c r="A896">
        <v>478</v>
      </c>
      <c r="B896" t="s">
        <v>520</v>
      </c>
      <c r="C896" t="s">
        <v>3338</v>
      </c>
      <c r="D896" t="str">
        <f>VLOOKUP(YouTube_University_Data_Final[[#This Row],[Title]],[1]!YouTube_University_Data_Final[[Title]:[Title_language]],2,FALSE)</f>
        <v>Chinese</v>
      </c>
      <c r="E896" t="s">
        <v>3339</v>
      </c>
      <c r="F896">
        <v>27</v>
      </c>
      <c r="G896" s="1">
        <v>42837</v>
      </c>
      <c r="H896">
        <v>4115</v>
      </c>
      <c r="I896" t="s">
        <v>522</v>
      </c>
      <c r="J896">
        <v>480</v>
      </c>
      <c r="K896">
        <v>2</v>
      </c>
      <c r="L896">
        <v>0</v>
      </c>
      <c r="M896">
        <v>0</v>
      </c>
      <c r="N896" t="s">
        <v>87</v>
      </c>
      <c r="O896">
        <v>2017</v>
      </c>
      <c r="P896" t="s">
        <v>18</v>
      </c>
    </row>
    <row r="897" spans="1:16" x14ac:dyDescent="0.3">
      <c r="A897">
        <v>479</v>
      </c>
      <c r="B897" t="s">
        <v>520</v>
      </c>
      <c r="C897" t="s">
        <v>1036</v>
      </c>
      <c r="D897" t="str">
        <f>VLOOKUP(YouTube_University_Data_Final[[#This Row],[Title]],[1]!YouTube_University_Data_Final[[Title]:[Title_language]],2,FALSE)</f>
        <v>English</v>
      </c>
      <c r="E897" t="s">
        <v>1037</v>
      </c>
      <c r="F897">
        <v>27</v>
      </c>
      <c r="G897" s="1">
        <v>42825</v>
      </c>
      <c r="H897">
        <v>2510</v>
      </c>
      <c r="I897" t="s">
        <v>1038</v>
      </c>
      <c r="J897">
        <v>946</v>
      </c>
      <c r="K897">
        <v>9</v>
      </c>
      <c r="L897">
        <v>0</v>
      </c>
      <c r="M897">
        <v>0</v>
      </c>
      <c r="N897" t="s">
        <v>90</v>
      </c>
      <c r="O897">
        <v>2017</v>
      </c>
      <c r="P897" t="s">
        <v>18</v>
      </c>
    </row>
    <row r="898" spans="1:16" x14ac:dyDescent="0.3">
      <c r="A898">
        <v>480</v>
      </c>
      <c r="B898" t="s">
        <v>520</v>
      </c>
      <c r="C898" t="s">
        <v>3340</v>
      </c>
      <c r="D898" t="str">
        <f>VLOOKUP(YouTube_University_Data_Final[[#This Row],[Title]],[1]!YouTube_University_Data_Final[[Title]:[Title_language]],2,FALSE)</f>
        <v>English</v>
      </c>
      <c r="E898" t="s">
        <v>3341</v>
      </c>
      <c r="F898">
        <v>27</v>
      </c>
      <c r="G898" s="1">
        <v>42782</v>
      </c>
      <c r="H898">
        <v>124</v>
      </c>
      <c r="I898" t="s">
        <v>1039</v>
      </c>
      <c r="J898">
        <v>9543</v>
      </c>
      <c r="K898">
        <v>63</v>
      </c>
      <c r="L898">
        <v>0</v>
      </c>
      <c r="M898">
        <v>1</v>
      </c>
      <c r="N898" t="s">
        <v>162</v>
      </c>
      <c r="O898">
        <v>2017</v>
      </c>
      <c r="P898" t="s">
        <v>18</v>
      </c>
    </row>
    <row r="899" spans="1:16" x14ac:dyDescent="0.3">
      <c r="A899">
        <v>481</v>
      </c>
      <c r="B899" t="s">
        <v>520</v>
      </c>
      <c r="C899" t="s">
        <v>1040</v>
      </c>
      <c r="D899" t="str">
        <f>VLOOKUP(YouTube_University_Data_Final[[#This Row],[Title]],[1]!YouTube_University_Data_Final[[Title]:[Title_language]],2,FALSE)</f>
        <v>English</v>
      </c>
      <c r="E899" t="s">
        <v>1041</v>
      </c>
      <c r="F899">
        <v>27</v>
      </c>
      <c r="G899" s="1">
        <v>42780</v>
      </c>
      <c r="H899">
        <v>10</v>
      </c>
      <c r="I899" t="s">
        <v>1042</v>
      </c>
      <c r="J899">
        <v>122</v>
      </c>
      <c r="K899">
        <v>0</v>
      </c>
      <c r="L899">
        <v>0</v>
      </c>
      <c r="M899">
        <v>0</v>
      </c>
      <c r="N899" t="s">
        <v>162</v>
      </c>
      <c r="O899">
        <v>2017</v>
      </c>
      <c r="P899" t="s">
        <v>18</v>
      </c>
    </row>
    <row r="900" spans="1:16" x14ac:dyDescent="0.3">
      <c r="A900">
        <v>482</v>
      </c>
      <c r="B900" t="s">
        <v>520</v>
      </c>
      <c r="C900" t="s">
        <v>1043</v>
      </c>
      <c r="D900" t="str">
        <f>VLOOKUP(YouTube_University_Data_Final[[#This Row],[Title]],[1]!YouTube_University_Data_Final[[Title]:[Title_language]],2,FALSE)</f>
        <v>English</v>
      </c>
      <c r="E900" t="s">
        <v>3342</v>
      </c>
      <c r="F900">
        <v>27</v>
      </c>
      <c r="G900" s="1">
        <v>42772</v>
      </c>
      <c r="H900">
        <v>94</v>
      </c>
      <c r="I900" t="s">
        <v>1044</v>
      </c>
      <c r="J900">
        <v>950</v>
      </c>
      <c r="K900">
        <v>2</v>
      </c>
      <c r="L900">
        <v>0</v>
      </c>
      <c r="M900">
        <v>0</v>
      </c>
      <c r="N900" t="s">
        <v>162</v>
      </c>
      <c r="O900">
        <v>2017</v>
      </c>
      <c r="P900" t="s">
        <v>18</v>
      </c>
    </row>
    <row r="901" spans="1:16" x14ac:dyDescent="0.3">
      <c r="A901">
        <v>483</v>
      </c>
      <c r="B901" t="s">
        <v>520</v>
      </c>
      <c r="C901" t="s">
        <v>1045</v>
      </c>
      <c r="D901" t="str">
        <f>VLOOKUP(YouTube_University_Data_Final[[#This Row],[Title]],[1]!YouTube_University_Data_Final[[Title]:[Title_language]],2,FALSE)</f>
        <v>English</v>
      </c>
      <c r="E901" t="s">
        <v>1046</v>
      </c>
      <c r="F901">
        <v>27</v>
      </c>
      <c r="G901" s="1">
        <v>42759</v>
      </c>
      <c r="H901">
        <v>76</v>
      </c>
      <c r="I901" t="s">
        <v>1047</v>
      </c>
      <c r="J901">
        <v>1562</v>
      </c>
      <c r="K901">
        <v>5</v>
      </c>
      <c r="L901">
        <v>0</v>
      </c>
      <c r="M901">
        <v>0</v>
      </c>
      <c r="N901" t="s">
        <v>93</v>
      </c>
      <c r="O901">
        <v>2017</v>
      </c>
      <c r="P901" t="s">
        <v>18</v>
      </c>
    </row>
    <row r="902" spans="1:16" x14ac:dyDescent="0.3">
      <c r="A902">
        <v>484</v>
      </c>
      <c r="B902" t="s">
        <v>520</v>
      </c>
      <c r="C902" t="s">
        <v>1048</v>
      </c>
      <c r="D902" t="str">
        <f>VLOOKUP(YouTube_University_Data_Final[[#This Row],[Title]],[1]!YouTube_University_Data_Final[[Title]:[Title_language]],2,FALSE)</f>
        <v>English</v>
      </c>
      <c r="E902" t="s">
        <v>1049</v>
      </c>
      <c r="F902">
        <v>27</v>
      </c>
      <c r="G902" s="1">
        <v>42740</v>
      </c>
      <c r="H902">
        <v>8</v>
      </c>
      <c r="I902" t="s">
        <v>1050</v>
      </c>
      <c r="J902">
        <v>1385</v>
      </c>
      <c r="K902">
        <v>10</v>
      </c>
      <c r="L902">
        <v>0</v>
      </c>
      <c r="M902">
        <v>0</v>
      </c>
      <c r="N902" t="s">
        <v>93</v>
      </c>
      <c r="O902">
        <v>2017</v>
      </c>
      <c r="P902" t="s">
        <v>18</v>
      </c>
    </row>
    <row r="903" spans="1:16" x14ac:dyDescent="0.3">
      <c r="A903">
        <v>485</v>
      </c>
      <c r="B903" t="s">
        <v>520</v>
      </c>
      <c r="C903" t="s">
        <v>1051</v>
      </c>
      <c r="D903" t="str">
        <f>VLOOKUP(YouTube_University_Data_Final[[#This Row],[Title]],[1]!YouTube_University_Data_Final[[Title]:[Title_language]],2,FALSE)</f>
        <v>English</v>
      </c>
      <c r="E903" t="s">
        <v>1052</v>
      </c>
      <c r="F903">
        <v>27</v>
      </c>
      <c r="G903" s="1">
        <v>42720</v>
      </c>
      <c r="H903">
        <v>63</v>
      </c>
      <c r="I903" t="s">
        <v>1053</v>
      </c>
      <c r="J903">
        <v>176</v>
      </c>
      <c r="K903">
        <v>5</v>
      </c>
      <c r="L903">
        <v>0</v>
      </c>
      <c r="M903">
        <v>0</v>
      </c>
      <c r="N903" t="s">
        <v>98</v>
      </c>
      <c r="O903">
        <v>2016</v>
      </c>
      <c r="P903" t="s">
        <v>18</v>
      </c>
    </row>
    <row r="904" spans="1:16" x14ac:dyDescent="0.3">
      <c r="A904">
        <v>486</v>
      </c>
      <c r="B904" t="s">
        <v>520</v>
      </c>
      <c r="C904" t="s">
        <v>1054</v>
      </c>
      <c r="D904" t="str">
        <f>VLOOKUP(YouTube_University_Data_Final[[#This Row],[Title]],[1]!YouTube_University_Data_Final[[Title]:[Title_language]],2,FALSE)</f>
        <v>English</v>
      </c>
      <c r="E904" t="s">
        <v>1055</v>
      </c>
      <c r="F904">
        <v>27</v>
      </c>
      <c r="G904" s="1">
        <v>42719</v>
      </c>
      <c r="H904">
        <v>168</v>
      </c>
      <c r="I904" t="s">
        <v>522</v>
      </c>
      <c r="J904">
        <v>162</v>
      </c>
      <c r="K904">
        <v>0</v>
      </c>
      <c r="L904">
        <v>0</v>
      </c>
      <c r="M904">
        <v>0</v>
      </c>
      <c r="N904" t="s">
        <v>98</v>
      </c>
      <c r="O904">
        <v>2016</v>
      </c>
      <c r="P904" t="s">
        <v>18</v>
      </c>
    </row>
    <row r="905" spans="1:16" x14ac:dyDescent="0.3">
      <c r="A905">
        <v>487</v>
      </c>
      <c r="B905" t="s">
        <v>520</v>
      </c>
      <c r="C905" t="s">
        <v>1056</v>
      </c>
      <c r="D905" t="str">
        <f>VLOOKUP(YouTube_University_Data_Final[[#This Row],[Title]],[1]!YouTube_University_Data_Final[[Title]:[Title_language]],2,FALSE)</f>
        <v>English</v>
      </c>
      <c r="E905" t="s">
        <v>1057</v>
      </c>
      <c r="F905">
        <v>27</v>
      </c>
      <c r="G905" s="1">
        <v>42685</v>
      </c>
      <c r="H905">
        <v>2</v>
      </c>
      <c r="I905" t="s">
        <v>522</v>
      </c>
      <c r="J905">
        <v>569</v>
      </c>
      <c r="K905">
        <v>3</v>
      </c>
      <c r="L905">
        <v>0</v>
      </c>
      <c r="M905">
        <v>0</v>
      </c>
      <c r="N905" t="s">
        <v>101</v>
      </c>
      <c r="O905">
        <v>2016</v>
      </c>
      <c r="P905" t="s">
        <v>18</v>
      </c>
    </row>
    <row r="906" spans="1:16" x14ac:dyDescent="0.3">
      <c r="A906">
        <v>488</v>
      </c>
      <c r="B906" t="s">
        <v>520</v>
      </c>
      <c r="C906" t="s">
        <v>1058</v>
      </c>
      <c r="D906" t="str">
        <f>VLOOKUP(YouTube_University_Data_Final[[#This Row],[Title]],[1]!YouTube_University_Data_Final[[Title]:[Title_language]],2,FALSE)</f>
        <v>English</v>
      </c>
      <c r="E906" t="s">
        <v>1059</v>
      </c>
      <c r="F906">
        <v>27</v>
      </c>
      <c r="G906" s="1">
        <v>42685</v>
      </c>
      <c r="H906">
        <v>4</v>
      </c>
      <c r="I906" t="s">
        <v>1060</v>
      </c>
      <c r="J906">
        <v>915</v>
      </c>
      <c r="K906">
        <v>0</v>
      </c>
      <c r="L906">
        <v>0</v>
      </c>
      <c r="M906">
        <v>0</v>
      </c>
      <c r="N906" t="s">
        <v>101</v>
      </c>
      <c r="O906">
        <v>2016</v>
      </c>
      <c r="P906" t="s">
        <v>18</v>
      </c>
    </row>
    <row r="907" spans="1:16" x14ac:dyDescent="0.3">
      <c r="A907">
        <v>489</v>
      </c>
      <c r="B907" t="s">
        <v>520</v>
      </c>
      <c r="C907" t="s">
        <v>1061</v>
      </c>
      <c r="D907" t="str">
        <f>VLOOKUP(YouTube_University_Data_Final[[#This Row],[Title]],[1]!YouTube_University_Data_Final[[Title]:[Title_language]],2,FALSE)</f>
        <v>English</v>
      </c>
      <c r="E907" t="s">
        <v>1062</v>
      </c>
      <c r="F907">
        <v>27</v>
      </c>
      <c r="G907" s="1">
        <v>42646</v>
      </c>
      <c r="H907">
        <v>19</v>
      </c>
      <c r="I907" t="s">
        <v>522</v>
      </c>
      <c r="J907">
        <v>374</v>
      </c>
      <c r="K907">
        <v>1</v>
      </c>
      <c r="L907">
        <v>0</v>
      </c>
      <c r="M907">
        <v>0</v>
      </c>
      <c r="N907" t="s">
        <v>17</v>
      </c>
      <c r="O907">
        <v>2016</v>
      </c>
      <c r="P907" t="s">
        <v>18</v>
      </c>
    </row>
    <row r="908" spans="1:16" x14ac:dyDescent="0.3">
      <c r="A908">
        <v>490</v>
      </c>
      <c r="B908" t="s">
        <v>520</v>
      </c>
      <c r="C908" t="s">
        <v>1063</v>
      </c>
      <c r="D908" t="str">
        <f>VLOOKUP(YouTube_University_Data_Final[[#This Row],[Title]],[1]!YouTube_University_Data_Final[[Title]:[Title_language]],2,FALSE)</f>
        <v>English</v>
      </c>
      <c r="E908" t="s">
        <v>1064</v>
      </c>
      <c r="F908">
        <v>27</v>
      </c>
      <c r="G908" s="1">
        <v>42626</v>
      </c>
      <c r="H908">
        <v>25</v>
      </c>
      <c r="I908" t="s">
        <v>1065</v>
      </c>
      <c r="J908">
        <v>189</v>
      </c>
      <c r="K908">
        <v>0</v>
      </c>
      <c r="L908">
        <v>0</v>
      </c>
      <c r="M908">
        <v>0</v>
      </c>
      <c r="N908" t="s">
        <v>21</v>
      </c>
      <c r="O908">
        <v>2016</v>
      </c>
      <c r="P908" t="s">
        <v>18</v>
      </c>
    </row>
    <row r="909" spans="1:16" x14ac:dyDescent="0.3">
      <c r="A909">
        <v>491</v>
      </c>
      <c r="B909" t="s">
        <v>520</v>
      </c>
      <c r="C909" t="s">
        <v>1066</v>
      </c>
      <c r="D909" t="str">
        <f>VLOOKUP(YouTube_University_Data_Final[[#This Row],[Title]],[1]!YouTube_University_Data_Final[[Title]:[Title_language]],2,FALSE)</f>
        <v>English</v>
      </c>
      <c r="E909" t="s">
        <v>1067</v>
      </c>
      <c r="F909">
        <v>27</v>
      </c>
      <c r="G909" s="1">
        <v>42620</v>
      </c>
      <c r="H909">
        <v>30</v>
      </c>
      <c r="I909" t="s">
        <v>1068</v>
      </c>
      <c r="J909">
        <v>160</v>
      </c>
      <c r="K909">
        <v>0</v>
      </c>
      <c r="L909">
        <v>0</v>
      </c>
      <c r="M909">
        <v>0</v>
      </c>
      <c r="N909" t="s">
        <v>21</v>
      </c>
      <c r="O909">
        <v>2016</v>
      </c>
      <c r="P909" t="s">
        <v>18</v>
      </c>
    </row>
    <row r="910" spans="1:16" x14ac:dyDescent="0.3">
      <c r="A910">
        <v>492</v>
      </c>
      <c r="B910" t="s">
        <v>520</v>
      </c>
      <c r="C910" t="s">
        <v>1069</v>
      </c>
      <c r="D910" t="str">
        <f>VLOOKUP(YouTube_University_Data_Final[[#This Row],[Title]],[1]!YouTube_University_Data_Final[[Title]:[Title_language]],2,FALSE)</f>
        <v>English</v>
      </c>
      <c r="E910" t="s">
        <v>1023</v>
      </c>
      <c r="F910">
        <v>27</v>
      </c>
      <c r="G910" s="1">
        <v>42614</v>
      </c>
      <c r="H910">
        <v>99</v>
      </c>
      <c r="I910" t="s">
        <v>522</v>
      </c>
      <c r="J910">
        <v>1812</v>
      </c>
      <c r="K910">
        <v>6</v>
      </c>
      <c r="L910">
        <v>0</v>
      </c>
      <c r="M910">
        <v>0</v>
      </c>
      <c r="N910" t="s">
        <v>21</v>
      </c>
      <c r="O910">
        <v>2016</v>
      </c>
      <c r="P910" t="s">
        <v>18</v>
      </c>
    </row>
    <row r="911" spans="1:16" x14ac:dyDescent="0.3">
      <c r="A911">
        <v>493</v>
      </c>
      <c r="B911" t="s">
        <v>520</v>
      </c>
      <c r="C911" t="s">
        <v>1070</v>
      </c>
      <c r="D911" t="str">
        <f>VLOOKUP(YouTube_University_Data_Final[[#This Row],[Title]],[1]!YouTube_University_Data_Final[[Title]:[Title_language]],2,FALSE)</f>
        <v>English</v>
      </c>
      <c r="E911" t="s">
        <v>3343</v>
      </c>
      <c r="F911">
        <v>27</v>
      </c>
      <c r="G911" s="1">
        <v>42565</v>
      </c>
      <c r="H911">
        <v>293</v>
      </c>
      <c r="I911" t="s">
        <v>1071</v>
      </c>
      <c r="J911">
        <v>4026</v>
      </c>
      <c r="K911">
        <v>24</v>
      </c>
      <c r="L911">
        <v>0</v>
      </c>
      <c r="M911">
        <v>0</v>
      </c>
      <c r="N911" t="s">
        <v>56</v>
      </c>
      <c r="O911">
        <v>2016</v>
      </c>
      <c r="P911" t="s">
        <v>18</v>
      </c>
    </row>
    <row r="912" spans="1:16" x14ac:dyDescent="0.3">
      <c r="A912">
        <v>494</v>
      </c>
      <c r="B912" t="s">
        <v>520</v>
      </c>
      <c r="C912" t="s">
        <v>1072</v>
      </c>
      <c r="D912" t="str">
        <f>VLOOKUP(YouTube_University_Data_Final[[#This Row],[Title]],[1]!YouTube_University_Data_Final[[Title]:[Title_language]],2,FALSE)</f>
        <v>English</v>
      </c>
      <c r="E912" t="s">
        <v>1023</v>
      </c>
      <c r="F912">
        <v>27</v>
      </c>
      <c r="G912" s="1">
        <v>42562</v>
      </c>
      <c r="H912">
        <v>31</v>
      </c>
      <c r="I912" t="s">
        <v>522</v>
      </c>
      <c r="J912">
        <v>4084</v>
      </c>
      <c r="K912">
        <v>26</v>
      </c>
      <c r="L912">
        <v>0</v>
      </c>
      <c r="M912">
        <v>0</v>
      </c>
      <c r="N912" t="s">
        <v>56</v>
      </c>
      <c r="O912">
        <v>2016</v>
      </c>
      <c r="P912" t="s">
        <v>18</v>
      </c>
    </row>
    <row r="913" spans="1:16" x14ac:dyDescent="0.3">
      <c r="A913">
        <v>495</v>
      </c>
      <c r="B913" t="s">
        <v>520</v>
      </c>
      <c r="C913" t="s">
        <v>1073</v>
      </c>
      <c r="D913" t="str">
        <f>VLOOKUP(YouTube_University_Data_Final[[#This Row],[Title]],[1]!YouTube_University_Data_Final[[Title]:[Title_language]],2,FALSE)</f>
        <v>English</v>
      </c>
      <c r="E913" t="s">
        <v>1074</v>
      </c>
      <c r="F913">
        <v>27</v>
      </c>
      <c r="G913" s="1">
        <v>42544</v>
      </c>
      <c r="H913">
        <v>31</v>
      </c>
      <c r="I913" t="s">
        <v>522</v>
      </c>
      <c r="J913">
        <v>226</v>
      </c>
      <c r="K913">
        <v>1</v>
      </c>
      <c r="L913">
        <v>0</v>
      </c>
      <c r="M913">
        <v>0</v>
      </c>
      <c r="N913" t="s">
        <v>78</v>
      </c>
      <c r="O913">
        <v>2016</v>
      </c>
      <c r="P913" t="s">
        <v>18</v>
      </c>
    </row>
    <row r="914" spans="1:16" x14ac:dyDescent="0.3">
      <c r="A914">
        <v>496</v>
      </c>
      <c r="B914" t="s">
        <v>520</v>
      </c>
      <c r="C914" t="s">
        <v>3344</v>
      </c>
      <c r="D914" t="str">
        <f>VLOOKUP(YouTube_University_Data_Final[[#This Row],[Title]],[1]!YouTube_University_Data_Final[[Title]:[Title_language]],2,FALSE)</f>
        <v>Bilingual</v>
      </c>
      <c r="E914" t="s">
        <v>1075</v>
      </c>
      <c r="F914">
        <v>27</v>
      </c>
      <c r="G914" s="1">
        <v>42544</v>
      </c>
      <c r="H914">
        <v>52</v>
      </c>
      <c r="I914" t="s">
        <v>522</v>
      </c>
      <c r="J914">
        <v>1586</v>
      </c>
      <c r="K914">
        <v>5</v>
      </c>
      <c r="L914">
        <v>0</v>
      </c>
      <c r="M914">
        <v>1</v>
      </c>
      <c r="N914" t="s">
        <v>78</v>
      </c>
      <c r="O914">
        <v>2016</v>
      </c>
      <c r="P914" t="s">
        <v>18</v>
      </c>
    </row>
    <row r="915" spans="1:16" x14ac:dyDescent="0.3">
      <c r="A915">
        <v>497</v>
      </c>
      <c r="B915" t="s">
        <v>520</v>
      </c>
      <c r="C915" t="s">
        <v>1076</v>
      </c>
      <c r="D915" t="str">
        <f>VLOOKUP(YouTube_University_Data_Final[[#This Row],[Title]],[1]!YouTube_University_Data_Final[[Title]:[Title_language]],2,FALSE)</f>
        <v>English</v>
      </c>
      <c r="E915" t="s">
        <v>1023</v>
      </c>
      <c r="F915">
        <v>27</v>
      </c>
      <c r="G915" s="1">
        <v>42496</v>
      </c>
      <c r="H915">
        <v>187</v>
      </c>
      <c r="I915" t="s">
        <v>522</v>
      </c>
      <c r="J915">
        <v>143</v>
      </c>
      <c r="K915">
        <v>0</v>
      </c>
      <c r="L915">
        <v>0</v>
      </c>
      <c r="M915">
        <v>0</v>
      </c>
      <c r="N915" t="s">
        <v>81</v>
      </c>
      <c r="O915">
        <v>2016</v>
      </c>
      <c r="P915" t="s">
        <v>18</v>
      </c>
    </row>
    <row r="916" spans="1:16" x14ac:dyDescent="0.3">
      <c r="A916">
        <v>498</v>
      </c>
      <c r="B916" t="s">
        <v>520</v>
      </c>
      <c r="C916" t="s">
        <v>1077</v>
      </c>
      <c r="D916" t="str">
        <f>VLOOKUP(YouTube_University_Data_Final[[#This Row],[Title]],[1]!YouTube_University_Data_Final[[Title]:[Title_language]],2,FALSE)</f>
        <v>English</v>
      </c>
      <c r="E916" t="s">
        <v>1023</v>
      </c>
      <c r="F916">
        <v>27</v>
      </c>
      <c r="G916" s="1">
        <v>42489</v>
      </c>
      <c r="H916">
        <v>63</v>
      </c>
      <c r="I916" t="s">
        <v>522</v>
      </c>
      <c r="J916">
        <v>170</v>
      </c>
      <c r="K916">
        <v>0</v>
      </c>
      <c r="L916">
        <v>0</v>
      </c>
      <c r="M916">
        <v>0</v>
      </c>
      <c r="N916" t="s">
        <v>87</v>
      </c>
      <c r="O916">
        <v>2016</v>
      </c>
      <c r="P916" t="s">
        <v>18</v>
      </c>
    </row>
    <row r="917" spans="1:16" x14ac:dyDescent="0.3">
      <c r="A917">
        <v>499</v>
      </c>
      <c r="B917" t="s">
        <v>520</v>
      </c>
      <c r="C917" t="s">
        <v>1078</v>
      </c>
      <c r="D917" t="str">
        <f>VLOOKUP(YouTube_University_Data_Final[[#This Row],[Title]],[1]!YouTube_University_Data_Final[[Title]:[Title_language]],2,FALSE)</f>
        <v>English</v>
      </c>
      <c r="E917" t="s">
        <v>1023</v>
      </c>
      <c r="F917">
        <v>27</v>
      </c>
      <c r="G917" s="1">
        <v>42453</v>
      </c>
      <c r="H917">
        <v>11</v>
      </c>
      <c r="I917" t="s">
        <v>522</v>
      </c>
      <c r="J917">
        <v>2598</v>
      </c>
      <c r="K917">
        <v>3</v>
      </c>
      <c r="L917">
        <v>0</v>
      </c>
      <c r="M917">
        <v>0</v>
      </c>
      <c r="N917" t="s">
        <v>90</v>
      </c>
      <c r="O917">
        <v>2016</v>
      </c>
      <c r="P917" t="s">
        <v>18</v>
      </c>
    </row>
    <row r="918" spans="1:16" x14ac:dyDescent="0.3">
      <c r="A918">
        <v>500</v>
      </c>
      <c r="B918" t="s">
        <v>520</v>
      </c>
      <c r="C918" t="s">
        <v>1079</v>
      </c>
      <c r="D918" t="str">
        <f>VLOOKUP(YouTube_University_Data_Final[[#This Row],[Title]],[1]!YouTube_University_Data_Final[[Title]:[Title_language]],2,FALSE)</f>
        <v>English</v>
      </c>
      <c r="E918" t="s">
        <v>1080</v>
      </c>
      <c r="F918">
        <v>27</v>
      </c>
      <c r="G918" s="1">
        <v>42451</v>
      </c>
      <c r="H918">
        <v>21</v>
      </c>
      <c r="I918" t="s">
        <v>522</v>
      </c>
      <c r="J918">
        <v>321</v>
      </c>
      <c r="K918">
        <v>0</v>
      </c>
      <c r="L918">
        <v>0</v>
      </c>
      <c r="M918">
        <v>0</v>
      </c>
      <c r="N918" t="s">
        <v>90</v>
      </c>
      <c r="O918">
        <v>2016</v>
      </c>
      <c r="P918" t="s">
        <v>18</v>
      </c>
    </row>
    <row r="919" spans="1:16" x14ac:dyDescent="0.3">
      <c r="A919">
        <v>501</v>
      </c>
      <c r="B919" t="s">
        <v>520</v>
      </c>
      <c r="C919" t="s">
        <v>1081</v>
      </c>
      <c r="D919" t="str">
        <f>VLOOKUP(YouTube_University_Data_Final[[#This Row],[Title]],[1]!YouTube_University_Data_Final[[Title]:[Title_language]],2,FALSE)</f>
        <v>English</v>
      </c>
      <c r="E919" t="s">
        <v>3345</v>
      </c>
      <c r="F919">
        <v>27</v>
      </c>
      <c r="G919" s="1">
        <v>42416</v>
      </c>
      <c r="H919">
        <v>891</v>
      </c>
      <c r="I919" t="s">
        <v>1082</v>
      </c>
      <c r="J919">
        <v>5914</v>
      </c>
      <c r="K919">
        <v>7</v>
      </c>
      <c r="L919">
        <v>0</v>
      </c>
      <c r="M919">
        <v>0</v>
      </c>
      <c r="N919" t="s">
        <v>162</v>
      </c>
      <c r="O919">
        <v>2016</v>
      </c>
      <c r="P919" t="s">
        <v>18</v>
      </c>
    </row>
    <row r="920" spans="1:16" x14ac:dyDescent="0.3">
      <c r="A920">
        <v>502</v>
      </c>
      <c r="B920" t="s">
        <v>520</v>
      </c>
      <c r="C920" t="s">
        <v>1083</v>
      </c>
      <c r="D920" t="str">
        <f>VLOOKUP(YouTube_University_Data_Final[[#This Row],[Title]],[1]!YouTube_University_Data_Final[[Title]:[Title_language]],2,FALSE)</f>
        <v>English</v>
      </c>
      <c r="E920" t="s">
        <v>1084</v>
      </c>
      <c r="F920">
        <v>27</v>
      </c>
      <c r="G920" s="1">
        <v>42361</v>
      </c>
      <c r="H920">
        <v>19</v>
      </c>
      <c r="I920" t="s">
        <v>522</v>
      </c>
      <c r="J920">
        <v>90</v>
      </c>
      <c r="K920">
        <v>0</v>
      </c>
      <c r="L920">
        <v>0</v>
      </c>
      <c r="M920">
        <v>0</v>
      </c>
      <c r="N920" t="s">
        <v>98</v>
      </c>
      <c r="O920">
        <v>2015</v>
      </c>
      <c r="P920" t="s">
        <v>18</v>
      </c>
    </row>
    <row r="921" spans="1:16" x14ac:dyDescent="0.3">
      <c r="A921">
        <v>503</v>
      </c>
      <c r="B921" t="s">
        <v>520</v>
      </c>
      <c r="C921" t="s">
        <v>1085</v>
      </c>
      <c r="D921" t="str">
        <f>VLOOKUP(YouTube_University_Data_Final[[#This Row],[Title]],[1]!YouTube_University_Data_Final[[Title]:[Title_language]],2,FALSE)</f>
        <v>English</v>
      </c>
      <c r="E921" t="s">
        <v>1086</v>
      </c>
      <c r="F921">
        <v>27</v>
      </c>
      <c r="G921" s="1">
        <v>42355</v>
      </c>
      <c r="H921">
        <v>2</v>
      </c>
      <c r="I921" t="s">
        <v>522</v>
      </c>
      <c r="J921">
        <v>155</v>
      </c>
      <c r="K921">
        <v>1</v>
      </c>
      <c r="L921">
        <v>0</v>
      </c>
      <c r="M921">
        <v>0</v>
      </c>
      <c r="N921" t="s">
        <v>98</v>
      </c>
      <c r="O921">
        <v>2015</v>
      </c>
      <c r="P921" t="s">
        <v>18</v>
      </c>
    </row>
    <row r="922" spans="1:16" x14ac:dyDescent="0.3">
      <c r="A922">
        <v>504</v>
      </c>
      <c r="B922" t="s">
        <v>520</v>
      </c>
      <c r="C922" t="s">
        <v>1087</v>
      </c>
      <c r="D922" t="str">
        <f>VLOOKUP(YouTube_University_Data_Final[[#This Row],[Title]],[1]!YouTube_University_Data_Final[[Title]:[Title_language]],2,FALSE)</f>
        <v>English</v>
      </c>
      <c r="E922" t="s">
        <v>1088</v>
      </c>
      <c r="F922">
        <v>27</v>
      </c>
      <c r="G922" s="1">
        <v>42354</v>
      </c>
      <c r="H922">
        <v>19</v>
      </c>
      <c r="I922" t="s">
        <v>522</v>
      </c>
      <c r="J922">
        <v>138</v>
      </c>
      <c r="K922">
        <v>1</v>
      </c>
      <c r="L922">
        <v>0</v>
      </c>
      <c r="M922">
        <v>0</v>
      </c>
      <c r="N922" t="s">
        <v>98</v>
      </c>
      <c r="O922">
        <v>2015</v>
      </c>
      <c r="P922" t="s">
        <v>18</v>
      </c>
    </row>
    <row r="923" spans="1:16" x14ac:dyDescent="0.3">
      <c r="A923">
        <v>505</v>
      </c>
      <c r="B923" t="s">
        <v>520</v>
      </c>
      <c r="C923" t="s">
        <v>1089</v>
      </c>
      <c r="D923" t="str">
        <f>VLOOKUP(YouTube_University_Data_Final[[#This Row],[Title]],[1]!YouTube_University_Data_Final[[Title]:[Title_language]],2,FALSE)</f>
        <v>English</v>
      </c>
      <c r="E923" t="s">
        <v>3346</v>
      </c>
      <c r="F923">
        <v>27</v>
      </c>
      <c r="G923" s="1">
        <v>42314</v>
      </c>
      <c r="H923">
        <v>73</v>
      </c>
      <c r="I923" t="s">
        <v>522</v>
      </c>
      <c r="J923">
        <v>187</v>
      </c>
      <c r="K923">
        <v>0</v>
      </c>
      <c r="L923">
        <v>0</v>
      </c>
      <c r="M923">
        <v>0</v>
      </c>
      <c r="N923" t="s">
        <v>101</v>
      </c>
      <c r="O923">
        <v>2015</v>
      </c>
      <c r="P923" t="s">
        <v>18</v>
      </c>
    </row>
    <row r="924" spans="1:16" x14ac:dyDescent="0.3">
      <c r="A924">
        <v>506</v>
      </c>
      <c r="B924" t="s">
        <v>520</v>
      </c>
      <c r="C924" t="s">
        <v>3347</v>
      </c>
      <c r="D924" t="str">
        <f>VLOOKUP(YouTube_University_Data_Final[[#This Row],[Title]],[1]!YouTube_University_Data_Final[[Title]:[Title_language]],2,FALSE)</f>
        <v>Bilingual</v>
      </c>
      <c r="E924" t="s">
        <v>3346</v>
      </c>
      <c r="F924">
        <v>27</v>
      </c>
      <c r="G924" s="1">
        <v>42313</v>
      </c>
      <c r="H924">
        <v>72</v>
      </c>
      <c r="I924" t="s">
        <v>522</v>
      </c>
      <c r="J924">
        <v>281</v>
      </c>
      <c r="K924">
        <v>2</v>
      </c>
      <c r="L924">
        <v>0</v>
      </c>
      <c r="M924">
        <v>0</v>
      </c>
      <c r="N924" t="s">
        <v>101</v>
      </c>
      <c r="O924">
        <v>2015</v>
      </c>
      <c r="P924" t="s">
        <v>18</v>
      </c>
    </row>
    <row r="925" spans="1:16" x14ac:dyDescent="0.3">
      <c r="A925">
        <v>507</v>
      </c>
      <c r="B925" t="s">
        <v>520</v>
      </c>
      <c r="C925" t="s">
        <v>1090</v>
      </c>
      <c r="D925" t="str">
        <f>VLOOKUP(YouTube_University_Data_Final[[#This Row],[Title]],[1]!YouTube_University_Data_Final[[Title]:[Title_language]],2,FALSE)</f>
        <v>English</v>
      </c>
      <c r="E925" t="s">
        <v>1023</v>
      </c>
      <c r="F925">
        <v>27</v>
      </c>
      <c r="G925" s="1">
        <v>42305</v>
      </c>
      <c r="H925">
        <v>19</v>
      </c>
      <c r="I925" t="s">
        <v>522</v>
      </c>
      <c r="J925">
        <v>108</v>
      </c>
      <c r="K925">
        <v>2</v>
      </c>
      <c r="L925">
        <v>0</v>
      </c>
      <c r="M925">
        <v>0</v>
      </c>
      <c r="N925" t="s">
        <v>17</v>
      </c>
      <c r="O925">
        <v>2015</v>
      </c>
      <c r="P925" t="s">
        <v>18</v>
      </c>
    </row>
    <row r="926" spans="1:16" x14ac:dyDescent="0.3">
      <c r="A926">
        <v>508</v>
      </c>
      <c r="B926" t="s">
        <v>520</v>
      </c>
      <c r="C926" t="s">
        <v>1091</v>
      </c>
      <c r="D926" t="str">
        <f>VLOOKUP(YouTube_University_Data_Final[[#This Row],[Title]],[1]!YouTube_University_Data_Final[[Title]:[Title_language]],2,FALSE)</f>
        <v>English</v>
      </c>
      <c r="E926" t="s">
        <v>1023</v>
      </c>
      <c r="F926">
        <v>27</v>
      </c>
      <c r="G926" s="1">
        <v>42299</v>
      </c>
      <c r="H926">
        <v>37</v>
      </c>
      <c r="I926" t="s">
        <v>522</v>
      </c>
      <c r="J926">
        <v>132</v>
      </c>
      <c r="K926">
        <v>6</v>
      </c>
      <c r="L926">
        <v>0</v>
      </c>
      <c r="M926">
        <v>0</v>
      </c>
      <c r="N926" t="s">
        <v>17</v>
      </c>
      <c r="O926">
        <v>2015</v>
      </c>
      <c r="P926" t="s">
        <v>18</v>
      </c>
    </row>
    <row r="927" spans="1:16" x14ac:dyDescent="0.3">
      <c r="A927">
        <v>509</v>
      </c>
      <c r="B927" t="s">
        <v>520</v>
      </c>
      <c r="C927" t="s">
        <v>1092</v>
      </c>
      <c r="D927" t="str">
        <f>VLOOKUP(YouTube_University_Data_Final[[#This Row],[Title]],[1]!YouTube_University_Data_Final[[Title]:[Title_language]],2,FALSE)</f>
        <v>English</v>
      </c>
      <c r="E927" t="s">
        <v>1023</v>
      </c>
      <c r="F927">
        <v>27</v>
      </c>
      <c r="G927" s="1">
        <v>42297</v>
      </c>
      <c r="H927">
        <v>170</v>
      </c>
      <c r="I927" t="s">
        <v>522</v>
      </c>
      <c r="J927">
        <v>143</v>
      </c>
      <c r="K927">
        <v>1</v>
      </c>
      <c r="L927">
        <v>0</v>
      </c>
      <c r="M927">
        <v>0</v>
      </c>
      <c r="N927" t="s">
        <v>17</v>
      </c>
      <c r="O927">
        <v>2015</v>
      </c>
      <c r="P927" t="s">
        <v>18</v>
      </c>
    </row>
    <row r="928" spans="1:16" x14ac:dyDescent="0.3">
      <c r="A928">
        <v>510</v>
      </c>
      <c r="B928" t="s">
        <v>520</v>
      </c>
      <c r="C928" t="s">
        <v>1093</v>
      </c>
      <c r="D928" t="str">
        <f>VLOOKUP(YouTube_University_Data_Final[[#This Row],[Title]],[1]!YouTube_University_Data_Final[[Title]:[Title_language]],2,FALSE)</f>
        <v>English</v>
      </c>
      <c r="E928" t="s">
        <v>1023</v>
      </c>
      <c r="F928">
        <v>27</v>
      </c>
      <c r="G928" s="1">
        <v>42297</v>
      </c>
      <c r="H928">
        <v>250</v>
      </c>
      <c r="I928" t="s">
        <v>522</v>
      </c>
      <c r="J928">
        <v>168</v>
      </c>
      <c r="K928">
        <v>0</v>
      </c>
      <c r="L928">
        <v>0</v>
      </c>
      <c r="M928">
        <v>0</v>
      </c>
      <c r="N928" t="s">
        <v>17</v>
      </c>
      <c r="O928">
        <v>2015</v>
      </c>
      <c r="P928" t="s">
        <v>18</v>
      </c>
    </row>
    <row r="929" spans="1:16" x14ac:dyDescent="0.3">
      <c r="A929">
        <v>511</v>
      </c>
      <c r="B929" t="s">
        <v>520</v>
      </c>
      <c r="C929" t="s">
        <v>1094</v>
      </c>
      <c r="D929" t="str">
        <f>VLOOKUP(YouTube_University_Data_Final[[#This Row],[Title]],[1]!YouTube_University_Data_Final[[Title]:[Title_language]],2,FALSE)</f>
        <v>English</v>
      </c>
      <c r="E929" t="s">
        <v>1023</v>
      </c>
      <c r="F929">
        <v>27</v>
      </c>
      <c r="G929" s="1">
        <v>42297</v>
      </c>
      <c r="H929">
        <v>331</v>
      </c>
      <c r="I929" t="s">
        <v>522</v>
      </c>
      <c r="J929">
        <v>473</v>
      </c>
      <c r="K929">
        <v>3</v>
      </c>
      <c r="L929">
        <v>0</v>
      </c>
      <c r="M929">
        <v>0</v>
      </c>
      <c r="N929" t="s">
        <v>17</v>
      </c>
      <c r="O929">
        <v>2015</v>
      </c>
      <c r="P929" t="s">
        <v>18</v>
      </c>
    </row>
    <row r="930" spans="1:16" x14ac:dyDescent="0.3">
      <c r="A930">
        <v>512</v>
      </c>
      <c r="B930" t="s">
        <v>520</v>
      </c>
      <c r="C930" t="s">
        <v>1095</v>
      </c>
      <c r="D930" t="str">
        <f>VLOOKUP(YouTube_University_Data_Final[[#This Row],[Title]],[1]!YouTube_University_Data_Final[[Title]:[Title_language]],2,FALSE)</f>
        <v>English</v>
      </c>
      <c r="E930" t="s">
        <v>1023</v>
      </c>
      <c r="F930">
        <v>27</v>
      </c>
      <c r="G930" s="1">
        <v>42297</v>
      </c>
      <c r="H930">
        <v>250</v>
      </c>
      <c r="I930" t="s">
        <v>522</v>
      </c>
      <c r="J930">
        <v>300</v>
      </c>
      <c r="K930">
        <v>1</v>
      </c>
      <c r="L930">
        <v>0</v>
      </c>
      <c r="M930">
        <v>0</v>
      </c>
      <c r="N930" t="s">
        <v>17</v>
      </c>
      <c r="O930">
        <v>2015</v>
      </c>
      <c r="P930" t="s">
        <v>18</v>
      </c>
    </row>
    <row r="931" spans="1:16" x14ac:dyDescent="0.3">
      <c r="A931">
        <v>513</v>
      </c>
      <c r="B931" t="s">
        <v>520</v>
      </c>
      <c r="C931" t="s">
        <v>1096</v>
      </c>
      <c r="D931" t="str">
        <f>VLOOKUP(YouTube_University_Data_Final[[#This Row],[Title]],[1]!YouTube_University_Data_Final[[Title]:[Title_language]],2,FALSE)</f>
        <v>English</v>
      </c>
      <c r="E931" t="s">
        <v>1023</v>
      </c>
      <c r="F931">
        <v>27</v>
      </c>
      <c r="G931" s="1">
        <v>42297</v>
      </c>
      <c r="H931">
        <v>327</v>
      </c>
      <c r="I931" t="s">
        <v>522</v>
      </c>
      <c r="J931">
        <v>2764</v>
      </c>
      <c r="K931">
        <v>15</v>
      </c>
      <c r="L931">
        <v>0</v>
      </c>
      <c r="M931">
        <v>1</v>
      </c>
      <c r="N931" t="s">
        <v>17</v>
      </c>
      <c r="O931">
        <v>2015</v>
      </c>
      <c r="P931" t="s">
        <v>18</v>
      </c>
    </row>
    <row r="932" spans="1:16" x14ac:dyDescent="0.3">
      <c r="A932">
        <v>514</v>
      </c>
      <c r="B932" t="s">
        <v>520</v>
      </c>
      <c r="C932" t="s">
        <v>1097</v>
      </c>
      <c r="D932" t="str">
        <f>VLOOKUP(YouTube_University_Data_Final[[#This Row],[Title]],[1]!YouTube_University_Data_Final[[Title]:[Title_language]],2,FALSE)</f>
        <v>English</v>
      </c>
      <c r="E932" t="s">
        <v>1023</v>
      </c>
      <c r="F932">
        <v>27</v>
      </c>
      <c r="G932" s="1">
        <v>42297</v>
      </c>
      <c r="H932">
        <v>170</v>
      </c>
      <c r="I932" t="s">
        <v>522</v>
      </c>
      <c r="J932">
        <v>165</v>
      </c>
      <c r="K932">
        <v>1</v>
      </c>
      <c r="L932">
        <v>0</v>
      </c>
      <c r="M932">
        <v>0</v>
      </c>
      <c r="N932" t="s">
        <v>17</v>
      </c>
      <c r="O932">
        <v>2015</v>
      </c>
      <c r="P932" t="s">
        <v>18</v>
      </c>
    </row>
    <row r="933" spans="1:16" x14ac:dyDescent="0.3">
      <c r="A933">
        <v>515</v>
      </c>
      <c r="B933" t="s">
        <v>520</v>
      </c>
      <c r="C933" t="s">
        <v>1098</v>
      </c>
      <c r="D933" t="str">
        <f>VLOOKUP(YouTube_University_Data_Final[[#This Row],[Title]],[1]!YouTube_University_Data_Final[[Title]:[Title_language]],2,FALSE)</f>
        <v>English</v>
      </c>
      <c r="E933" t="s">
        <v>1023</v>
      </c>
      <c r="F933">
        <v>27</v>
      </c>
      <c r="G933" s="1">
        <v>42297</v>
      </c>
      <c r="H933">
        <v>170</v>
      </c>
      <c r="I933" t="s">
        <v>522</v>
      </c>
      <c r="J933">
        <v>196</v>
      </c>
      <c r="K933">
        <v>0</v>
      </c>
      <c r="L933">
        <v>0</v>
      </c>
      <c r="M933">
        <v>0</v>
      </c>
      <c r="N933" t="s">
        <v>17</v>
      </c>
      <c r="O933">
        <v>2015</v>
      </c>
      <c r="P933" t="s">
        <v>18</v>
      </c>
    </row>
    <row r="934" spans="1:16" x14ac:dyDescent="0.3">
      <c r="A934">
        <v>516</v>
      </c>
      <c r="B934" t="s">
        <v>520</v>
      </c>
      <c r="C934" t="s">
        <v>1099</v>
      </c>
      <c r="D934" t="str">
        <f>VLOOKUP(YouTube_University_Data_Final[[#This Row],[Title]],[1]!YouTube_University_Data_Final[[Title]:[Title_language]],2,FALSE)</f>
        <v>English</v>
      </c>
      <c r="E934" t="s">
        <v>1023</v>
      </c>
      <c r="F934">
        <v>27</v>
      </c>
      <c r="G934" s="1">
        <v>42297</v>
      </c>
      <c r="H934">
        <v>331</v>
      </c>
      <c r="I934" t="s">
        <v>522</v>
      </c>
      <c r="J934">
        <v>372</v>
      </c>
      <c r="K934">
        <v>1</v>
      </c>
      <c r="L934">
        <v>0</v>
      </c>
      <c r="M934">
        <v>0</v>
      </c>
      <c r="N934" t="s">
        <v>17</v>
      </c>
      <c r="O934">
        <v>2015</v>
      </c>
      <c r="P934" t="s">
        <v>18</v>
      </c>
    </row>
    <row r="935" spans="1:16" x14ac:dyDescent="0.3">
      <c r="A935">
        <v>517</v>
      </c>
      <c r="B935" t="s">
        <v>520</v>
      </c>
      <c r="C935" t="s">
        <v>1100</v>
      </c>
      <c r="D935" t="str">
        <f>VLOOKUP(YouTube_University_Data_Final[[#This Row],[Title]],[1]!YouTube_University_Data_Final[[Title]:[Title_language]],2,FALSE)</f>
        <v>English</v>
      </c>
      <c r="E935" t="s">
        <v>1023</v>
      </c>
      <c r="F935">
        <v>27</v>
      </c>
      <c r="G935" s="1">
        <v>42297</v>
      </c>
      <c r="H935">
        <v>171</v>
      </c>
      <c r="I935" t="s">
        <v>522</v>
      </c>
      <c r="J935">
        <v>220</v>
      </c>
      <c r="K935">
        <v>1</v>
      </c>
      <c r="L935">
        <v>0</v>
      </c>
      <c r="M935">
        <v>0</v>
      </c>
      <c r="N935" t="s">
        <v>17</v>
      </c>
      <c r="O935">
        <v>2015</v>
      </c>
      <c r="P935" t="s">
        <v>18</v>
      </c>
    </row>
    <row r="936" spans="1:16" x14ac:dyDescent="0.3">
      <c r="A936">
        <v>518</v>
      </c>
      <c r="B936" t="s">
        <v>520</v>
      </c>
      <c r="C936" t="s">
        <v>1101</v>
      </c>
      <c r="D936" t="str">
        <f>VLOOKUP(YouTube_University_Data_Final[[#This Row],[Title]],[1]!YouTube_University_Data_Final[[Title]:[Title_language]],2,FALSE)</f>
        <v>English</v>
      </c>
      <c r="E936" t="s">
        <v>1023</v>
      </c>
      <c r="F936">
        <v>27</v>
      </c>
      <c r="G936" s="1">
        <v>42297</v>
      </c>
      <c r="H936">
        <v>171</v>
      </c>
      <c r="I936" t="s">
        <v>522</v>
      </c>
      <c r="J936">
        <v>116</v>
      </c>
      <c r="K936">
        <v>0</v>
      </c>
      <c r="L936">
        <v>0</v>
      </c>
      <c r="M936">
        <v>0</v>
      </c>
      <c r="N936" t="s">
        <v>17</v>
      </c>
      <c r="O936">
        <v>2015</v>
      </c>
      <c r="P936" t="s">
        <v>18</v>
      </c>
    </row>
    <row r="937" spans="1:16" x14ac:dyDescent="0.3">
      <c r="A937">
        <v>519</v>
      </c>
      <c r="B937" t="s">
        <v>520</v>
      </c>
      <c r="C937" t="s">
        <v>1102</v>
      </c>
      <c r="D937" t="str">
        <f>VLOOKUP(YouTube_University_Data_Final[[#This Row],[Title]],[1]!YouTube_University_Data_Final[[Title]:[Title_language]],2,FALSE)</f>
        <v>English</v>
      </c>
      <c r="E937" t="s">
        <v>1023</v>
      </c>
      <c r="F937">
        <v>27</v>
      </c>
      <c r="G937" s="1">
        <v>42297</v>
      </c>
      <c r="H937">
        <v>250</v>
      </c>
      <c r="I937" t="s">
        <v>522</v>
      </c>
      <c r="J937">
        <v>621</v>
      </c>
      <c r="K937">
        <v>4</v>
      </c>
      <c r="L937">
        <v>0</v>
      </c>
      <c r="M937">
        <v>0</v>
      </c>
      <c r="N937" t="s">
        <v>17</v>
      </c>
      <c r="O937">
        <v>2015</v>
      </c>
      <c r="P937" t="s">
        <v>18</v>
      </c>
    </row>
    <row r="938" spans="1:16" x14ac:dyDescent="0.3">
      <c r="A938">
        <v>520</v>
      </c>
      <c r="B938" t="s">
        <v>520</v>
      </c>
      <c r="C938" t="s">
        <v>1103</v>
      </c>
      <c r="D938" t="str">
        <f>VLOOKUP(YouTube_University_Data_Final[[#This Row],[Title]],[1]!YouTube_University_Data_Final[[Title]:[Title_language]],2,FALSE)</f>
        <v>English</v>
      </c>
      <c r="E938" t="s">
        <v>1023</v>
      </c>
      <c r="F938">
        <v>27</v>
      </c>
      <c r="G938" s="1">
        <v>42297</v>
      </c>
      <c r="H938">
        <v>171</v>
      </c>
      <c r="I938" t="s">
        <v>522</v>
      </c>
      <c r="J938">
        <v>163</v>
      </c>
      <c r="K938">
        <v>0</v>
      </c>
      <c r="L938">
        <v>0</v>
      </c>
      <c r="M938">
        <v>0</v>
      </c>
      <c r="N938" t="s">
        <v>17</v>
      </c>
      <c r="O938">
        <v>2015</v>
      </c>
      <c r="P938" t="s">
        <v>18</v>
      </c>
    </row>
    <row r="939" spans="1:16" x14ac:dyDescent="0.3">
      <c r="A939">
        <v>521</v>
      </c>
      <c r="B939" t="s">
        <v>520</v>
      </c>
      <c r="C939" t="s">
        <v>1104</v>
      </c>
      <c r="D939" t="str">
        <f>VLOOKUP(YouTube_University_Data_Final[[#This Row],[Title]],[1]!YouTube_University_Data_Final[[Title]:[Title_language]],2,FALSE)</f>
        <v>English</v>
      </c>
      <c r="E939" t="s">
        <v>1023</v>
      </c>
      <c r="F939">
        <v>27</v>
      </c>
      <c r="G939" s="1">
        <v>42297</v>
      </c>
      <c r="H939">
        <v>158</v>
      </c>
      <c r="I939" t="s">
        <v>522</v>
      </c>
      <c r="J939">
        <v>270</v>
      </c>
      <c r="K939">
        <v>2</v>
      </c>
      <c r="L939">
        <v>0</v>
      </c>
      <c r="M939">
        <v>0</v>
      </c>
      <c r="N939" t="s">
        <v>17</v>
      </c>
      <c r="O939">
        <v>2015</v>
      </c>
      <c r="P939" t="s">
        <v>18</v>
      </c>
    </row>
    <row r="940" spans="1:16" x14ac:dyDescent="0.3">
      <c r="A940">
        <v>522</v>
      </c>
      <c r="B940" t="s">
        <v>520</v>
      </c>
      <c r="C940" t="s">
        <v>1105</v>
      </c>
      <c r="D940" t="str">
        <f>VLOOKUP(YouTube_University_Data_Final[[#This Row],[Title]],[1]!YouTube_University_Data_Final[[Title]:[Title_language]],2,FALSE)</f>
        <v>English</v>
      </c>
      <c r="E940" t="s">
        <v>1023</v>
      </c>
      <c r="F940">
        <v>27</v>
      </c>
      <c r="G940" s="1">
        <v>42297</v>
      </c>
      <c r="H940">
        <v>161</v>
      </c>
      <c r="I940" t="s">
        <v>522</v>
      </c>
      <c r="J940">
        <v>388</v>
      </c>
      <c r="K940">
        <v>1</v>
      </c>
      <c r="L940">
        <v>0</v>
      </c>
      <c r="M940">
        <v>0</v>
      </c>
      <c r="N940" t="s">
        <v>17</v>
      </c>
      <c r="O940">
        <v>2015</v>
      </c>
      <c r="P940" t="s">
        <v>18</v>
      </c>
    </row>
    <row r="941" spans="1:16" x14ac:dyDescent="0.3">
      <c r="A941">
        <v>523</v>
      </c>
      <c r="B941" t="s">
        <v>520</v>
      </c>
      <c r="C941" t="s">
        <v>1106</v>
      </c>
      <c r="D941" t="str">
        <f>VLOOKUP(YouTube_University_Data_Final[[#This Row],[Title]],[1]!YouTube_University_Data_Final[[Title]:[Title_language]],2,FALSE)</f>
        <v>English</v>
      </c>
      <c r="E941" t="s">
        <v>1023</v>
      </c>
      <c r="F941">
        <v>27</v>
      </c>
      <c r="G941" s="1">
        <v>42297</v>
      </c>
      <c r="H941">
        <v>161</v>
      </c>
      <c r="I941" t="s">
        <v>522</v>
      </c>
      <c r="J941">
        <v>196</v>
      </c>
      <c r="K941">
        <v>1</v>
      </c>
      <c r="L941">
        <v>0</v>
      </c>
      <c r="M941">
        <v>0</v>
      </c>
      <c r="N941" t="s">
        <v>17</v>
      </c>
      <c r="O941">
        <v>2015</v>
      </c>
      <c r="P941" t="s">
        <v>18</v>
      </c>
    </row>
    <row r="942" spans="1:16" x14ac:dyDescent="0.3">
      <c r="A942">
        <v>524</v>
      </c>
      <c r="B942" t="s">
        <v>520</v>
      </c>
      <c r="C942" t="s">
        <v>1107</v>
      </c>
      <c r="D942" t="str">
        <f>VLOOKUP(YouTube_University_Data_Final[[#This Row],[Title]],[1]!YouTube_University_Data_Final[[Title]:[Title_language]],2,FALSE)</f>
        <v>English</v>
      </c>
      <c r="E942" t="s">
        <v>1023</v>
      </c>
      <c r="F942">
        <v>27</v>
      </c>
      <c r="G942" s="1">
        <v>42297</v>
      </c>
      <c r="H942">
        <v>40</v>
      </c>
      <c r="I942" t="s">
        <v>522</v>
      </c>
      <c r="J942">
        <v>210</v>
      </c>
      <c r="K942">
        <v>0</v>
      </c>
      <c r="L942">
        <v>0</v>
      </c>
      <c r="M942">
        <v>0</v>
      </c>
      <c r="N942" t="s">
        <v>17</v>
      </c>
      <c r="O942">
        <v>2015</v>
      </c>
      <c r="P942" t="s">
        <v>18</v>
      </c>
    </row>
    <row r="943" spans="1:16" x14ac:dyDescent="0.3">
      <c r="A943">
        <v>525</v>
      </c>
      <c r="B943" t="s">
        <v>520</v>
      </c>
      <c r="C943" t="s">
        <v>1108</v>
      </c>
      <c r="D943" t="str">
        <f>VLOOKUP(YouTube_University_Data_Final[[#This Row],[Title]],[1]!YouTube_University_Data_Final[[Title]:[Title_language]],2,FALSE)</f>
        <v>English</v>
      </c>
      <c r="E943" t="s">
        <v>1023</v>
      </c>
      <c r="F943">
        <v>27</v>
      </c>
      <c r="G943" s="1">
        <v>42297</v>
      </c>
      <c r="H943">
        <v>40</v>
      </c>
      <c r="I943" t="s">
        <v>522</v>
      </c>
      <c r="J943">
        <v>195</v>
      </c>
      <c r="K943">
        <v>2</v>
      </c>
      <c r="L943">
        <v>0</v>
      </c>
      <c r="M943">
        <v>0</v>
      </c>
      <c r="N943" t="s">
        <v>17</v>
      </c>
      <c r="O943">
        <v>2015</v>
      </c>
      <c r="P943" t="s">
        <v>18</v>
      </c>
    </row>
    <row r="944" spans="1:16" x14ac:dyDescent="0.3">
      <c r="A944">
        <v>526</v>
      </c>
      <c r="B944" t="s">
        <v>520</v>
      </c>
      <c r="C944" t="s">
        <v>685</v>
      </c>
      <c r="D944" t="str">
        <f>VLOOKUP(YouTube_University_Data_Final[[#This Row],[Title]],[1]!YouTube_University_Data_Final[[Title]:[Title_language]],2,FALSE)</f>
        <v>English</v>
      </c>
      <c r="E944" t="s">
        <v>1023</v>
      </c>
      <c r="F944">
        <v>27</v>
      </c>
      <c r="G944" s="1">
        <v>42272</v>
      </c>
      <c r="H944">
        <v>47</v>
      </c>
      <c r="I944" t="s">
        <v>522</v>
      </c>
      <c r="J944">
        <v>340</v>
      </c>
      <c r="K944">
        <v>3</v>
      </c>
      <c r="L944">
        <v>0</v>
      </c>
      <c r="M944">
        <v>0</v>
      </c>
      <c r="N944" t="s">
        <v>21</v>
      </c>
      <c r="O944">
        <v>2015</v>
      </c>
      <c r="P944" t="s">
        <v>18</v>
      </c>
    </row>
    <row r="945" spans="1:16" x14ac:dyDescent="0.3">
      <c r="A945">
        <v>527</v>
      </c>
      <c r="B945" t="s">
        <v>520</v>
      </c>
      <c r="C945" t="s">
        <v>1109</v>
      </c>
      <c r="D945" t="str">
        <f>VLOOKUP(YouTube_University_Data_Final[[#This Row],[Title]],[1]!YouTube_University_Data_Final[[Title]:[Title_language]],2,FALSE)</f>
        <v>English</v>
      </c>
      <c r="E945" t="s">
        <v>1110</v>
      </c>
      <c r="F945">
        <v>27</v>
      </c>
      <c r="G945" s="1">
        <v>42240</v>
      </c>
      <c r="H945">
        <v>37</v>
      </c>
      <c r="I945" t="s">
        <v>522</v>
      </c>
      <c r="J945">
        <v>353</v>
      </c>
      <c r="K945">
        <v>1</v>
      </c>
      <c r="L945">
        <v>0</v>
      </c>
      <c r="M945">
        <v>1</v>
      </c>
      <c r="N945" t="s">
        <v>48</v>
      </c>
      <c r="O945">
        <v>2015</v>
      </c>
      <c r="P945" t="s">
        <v>18</v>
      </c>
    </row>
    <row r="946" spans="1:16" x14ac:dyDescent="0.3">
      <c r="A946">
        <v>528</v>
      </c>
      <c r="B946" t="s">
        <v>520</v>
      </c>
      <c r="C946" t="s">
        <v>1111</v>
      </c>
      <c r="D946" t="str">
        <f>VLOOKUP(YouTube_University_Data_Final[[#This Row],[Title]],[1]!YouTube_University_Data_Final[[Title]:[Title_language]],2,FALSE)</f>
        <v>English</v>
      </c>
      <c r="E946" t="s">
        <v>1112</v>
      </c>
      <c r="F946">
        <v>27</v>
      </c>
      <c r="G946" s="1">
        <v>42193</v>
      </c>
      <c r="H946">
        <v>227</v>
      </c>
      <c r="I946" t="s">
        <v>522</v>
      </c>
      <c r="J946">
        <v>1945</v>
      </c>
      <c r="K946">
        <v>12</v>
      </c>
      <c r="L946">
        <v>0</v>
      </c>
      <c r="M946">
        <v>0</v>
      </c>
      <c r="N946" t="s">
        <v>56</v>
      </c>
      <c r="O946">
        <v>2015</v>
      </c>
      <c r="P946" t="s">
        <v>18</v>
      </c>
    </row>
    <row r="947" spans="1:16" x14ac:dyDescent="0.3">
      <c r="A947">
        <v>529</v>
      </c>
      <c r="B947" t="s">
        <v>520</v>
      </c>
      <c r="C947" t="s">
        <v>1073</v>
      </c>
      <c r="D947" t="str">
        <f>VLOOKUP(YouTube_University_Data_Final[[#This Row],[Title]],[1]!YouTube_University_Data_Final[[Title]:[Title_language]],2,FALSE)</f>
        <v>English</v>
      </c>
      <c r="E947" t="s">
        <v>1023</v>
      </c>
      <c r="F947">
        <v>27</v>
      </c>
      <c r="G947" s="1">
        <v>42172</v>
      </c>
      <c r="H947">
        <v>32</v>
      </c>
      <c r="I947" t="s">
        <v>1113</v>
      </c>
      <c r="J947">
        <v>116</v>
      </c>
      <c r="K947">
        <v>0</v>
      </c>
      <c r="L947">
        <v>0</v>
      </c>
      <c r="M947">
        <v>0</v>
      </c>
      <c r="N947" t="s">
        <v>78</v>
      </c>
      <c r="O947">
        <v>2015</v>
      </c>
      <c r="P947" t="s">
        <v>18</v>
      </c>
    </row>
    <row r="948" spans="1:16" x14ac:dyDescent="0.3">
      <c r="A948">
        <v>530</v>
      </c>
      <c r="B948" t="s">
        <v>520</v>
      </c>
      <c r="C948" t="s">
        <v>1114</v>
      </c>
      <c r="D948" t="str">
        <f>VLOOKUP(YouTube_University_Data_Final[[#This Row],[Title]],[1]!YouTube_University_Data_Final[[Title]:[Title_language]],2,FALSE)</f>
        <v>English</v>
      </c>
      <c r="E948" t="s">
        <v>1115</v>
      </c>
      <c r="F948">
        <v>27</v>
      </c>
      <c r="G948" s="1">
        <v>42137</v>
      </c>
      <c r="H948">
        <v>269</v>
      </c>
      <c r="I948" t="s">
        <v>522</v>
      </c>
      <c r="J948">
        <v>406</v>
      </c>
      <c r="K948">
        <v>2</v>
      </c>
      <c r="L948">
        <v>0</v>
      </c>
      <c r="M948">
        <v>0</v>
      </c>
      <c r="N948" t="s">
        <v>81</v>
      </c>
      <c r="O948">
        <v>2015</v>
      </c>
      <c r="P948" t="s">
        <v>18</v>
      </c>
    </row>
    <row r="949" spans="1:16" x14ac:dyDescent="0.3">
      <c r="A949">
        <v>531</v>
      </c>
      <c r="B949" t="s">
        <v>520</v>
      </c>
      <c r="C949" t="s">
        <v>1116</v>
      </c>
      <c r="D949" t="str">
        <f>VLOOKUP(YouTube_University_Data_Final[[#This Row],[Title]],[1]!YouTube_University_Data_Final[[Title]:[Title_language]],2,FALSE)</f>
        <v>English</v>
      </c>
      <c r="E949" t="s">
        <v>1117</v>
      </c>
      <c r="F949">
        <v>27</v>
      </c>
      <c r="G949" s="1">
        <v>42131</v>
      </c>
      <c r="H949">
        <v>20</v>
      </c>
      <c r="I949" t="s">
        <v>522</v>
      </c>
      <c r="J949">
        <v>100</v>
      </c>
      <c r="K949">
        <v>1</v>
      </c>
      <c r="L949">
        <v>0</v>
      </c>
      <c r="M949">
        <v>0</v>
      </c>
      <c r="N949" t="s">
        <v>81</v>
      </c>
      <c r="O949">
        <v>2015</v>
      </c>
      <c r="P949" t="s">
        <v>18</v>
      </c>
    </row>
    <row r="950" spans="1:16" x14ac:dyDescent="0.3">
      <c r="A950">
        <v>532</v>
      </c>
      <c r="B950" t="s">
        <v>520</v>
      </c>
      <c r="C950" t="s">
        <v>1118</v>
      </c>
      <c r="D950" t="str">
        <f>VLOOKUP(YouTube_University_Data_Final[[#This Row],[Title]],[1]!YouTube_University_Data_Final[[Title]:[Title_language]],2,FALSE)</f>
        <v>English</v>
      </c>
      <c r="E950" t="s">
        <v>1119</v>
      </c>
      <c r="F950">
        <v>27</v>
      </c>
      <c r="G950" s="1">
        <v>42117</v>
      </c>
      <c r="H950">
        <v>295</v>
      </c>
      <c r="I950" t="s">
        <v>1120</v>
      </c>
      <c r="J950">
        <v>1165</v>
      </c>
      <c r="K950">
        <v>12</v>
      </c>
      <c r="L950">
        <v>0</v>
      </c>
      <c r="M950">
        <v>1</v>
      </c>
      <c r="N950" t="s">
        <v>87</v>
      </c>
      <c r="O950">
        <v>2015</v>
      </c>
      <c r="P950" t="s">
        <v>18</v>
      </c>
    </row>
    <row r="951" spans="1:16" x14ac:dyDescent="0.3">
      <c r="A951">
        <v>533</v>
      </c>
      <c r="B951" t="s">
        <v>520</v>
      </c>
      <c r="C951" t="s">
        <v>1121</v>
      </c>
      <c r="D951" t="str">
        <f>VLOOKUP(YouTube_University_Data_Final[[#This Row],[Title]],[1]!YouTube_University_Data_Final[[Title]:[Title_language]],2,FALSE)</f>
        <v>English</v>
      </c>
      <c r="E951" t="s">
        <v>1122</v>
      </c>
      <c r="F951">
        <v>27</v>
      </c>
      <c r="G951" s="1">
        <v>42109</v>
      </c>
      <c r="H951">
        <v>21</v>
      </c>
      <c r="I951" t="s">
        <v>1123</v>
      </c>
      <c r="J951">
        <v>424</v>
      </c>
      <c r="K951">
        <v>1</v>
      </c>
      <c r="L951">
        <v>0</v>
      </c>
      <c r="M951">
        <v>0</v>
      </c>
      <c r="N951" t="s">
        <v>87</v>
      </c>
      <c r="O951">
        <v>2015</v>
      </c>
      <c r="P951" t="s">
        <v>18</v>
      </c>
    </row>
    <row r="952" spans="1:16" x14ac:dyDescent="0.3">
      <c r="A952">
        <v>534</v>
      </c>
      <c r="B952" t="s">
        <v>520</v>
      </c>
      <c r="C952" t="s">
        <v>1124</v>
      </c>
      <c r="D952" t="str">
        <f>VLOOKUP(YouTube_University_Data_Final[[#This Row],[Title]],[1]!YouTube_University_Data_Final[[Title]:[Title_language]],2,FALSE)</f>
        <v>English</v>
      </c>
      <c r="E952" t="s">
        <v>3348</v>
      </c>
      <c r="F952">
        <v>27</v>
      </c>
      <c r="G952" s="1">
        <v>42109</v>
      </c>
      <c r="H952">
        <v>32</v>
      </c>
      <c r="I952" t="s">
        <v>1125</v>
      </c>
      <c r="J952">
        <v>950</v>
      </c>
      <c r="K952">
        <v>2</v>
      </c>
      <c r="L952">
        <v>0</v>
      </c>
      <c r="M952">
        <v>0</v>
      </c>
      <c r="N952" t="s">
        <v>87</v>
      </c>
      <c r="O952">
        <v>2015</v>
      </c>
      <c r="P952" t="s">
        <v>18</v>
      </c>
    </row>
    <row r="953" spans="1:16" x14ac:dyDescent="0.3">
      <c r="A953">
        <v>535</v>
      </c>
      <c r="B953" t="s">
        <v>520</v>
      </c>
      <c r="C953" t="s">
        <v>1126</v>
      </c>
      <c r="D953" t="str">
        <f>VLOOKUP(YouTube_University_Data_Final[[#This Row],[Title]],[1]!YouTube_University_Data_Final[[Title]:[Title_language]],2,FALSE)</f>
        <v>English</v>
      </c>
      <c r="E953" t="s">
        <v>1127</v>
      </c>
      <c r="F953">
        <v>27</v>
      </c>
      <c r="G953" s="1">
        <v>42096</v>
      </c>
      <c r="H953">
        <v>48</v>
      </c>
      <c r="I953" t="s">
        <v>1128</v>
      </c>
      <c r="J953">
        <v>321</v>
      </c>
      <c r="K953">
        <v>8</v>
      </c>
      <c r="L953">
        <v>0</v>
      </c>
      <c r="M953">
        <v>0</v>
      </c>
      <c r="N953" t="s">
        <v>87</v>
      </c>
      <c r="O953">
        <v>2015</v>
      </c>
      <c r="P953" t="s">
        <v>18</v>
      </c>
    </row>
    <row r="954" spans="1:16" x14ac:dyDescent="0.3">
      <c r="A954">
        <v>536</v>
      </c>
      <c r="B954" t="s">
        <v>520</v>
      </c>
      <c r="C954" t="s">
        <v>1078</v>
      </c>
      <c r="D954" t="str">
        <f>VLOOKUP(YouTube_University_Data_Final[[#This Row],[Title]],[1]!YouTube_University_Data_Final[[Title]:[Title_language]],2,FALSE)</f>
        <v>English</v>
      </c>
      <c r="E954" t="s">
        <v>1129</v>
      </c>
      <c r="F954">
        <v>27</v>
      </c>
      <c r="G954" s="1">
        <v>42096</v>
      </c>
      <c r="H954">
        <v>21</v>
      </c>
      <c r="I954" t="s">
        <v>522</v>
      </c>
      <c r="J954">
        <v>67</v>
      </c>
      <c r="K954">
        <v>1</v>
      </c>
      <c r="L954">
        <v>0</v>
      </c>
      <c r="M954">
        <v>0</v>
      </c>
      <c r="N954" t="s">
        <v>87</v>
      </c>
      <c r="O954">
        <v>2015</v>
      </c>
      <c r="P954" t="s">
        <v>18</v>
      </c>
    </row>
    <row r="955" spans="1:16" x14ac:dyDescent="0.3">
      <c r="A955">
        <v>537</v>
      </c>
      <c r="B955" t="s">
        <v>520</v>
      </c>
      <c r="C955" t="s">
        <v>1130</v>
      </c>
      <c r="D955" t="str">
        <f>VLOOKUP(YouTube_University_Data_Final[[#This Row],[Title]],[1]!YouTube_University_Data_Final[[Title]:[Title_language]],2,FALSE)</f>
        <v>English</v>
      </c>
      <c r="E955" t="s">
        <v>1131</v>
      </c>
      <c r="F955">
        <v>27</v>
      </c>
      <c r="G955" s="1">
        <v>42087</v>
      </c>
      <c r="H955">
        <v>21</v>
      </c>
      <c r="I955" t="s">
        <v>1132</v>
      </c>
      <c r="J955">
        <v>614</v>
      </c>
      <c r="K955">
        <v>2</v>
      </c>
      <c r="L955">
        <v>0</v>
      </c>
      <c r="M955">
        <v>0</v>
      </c>
      <c r="N955" t="s">
        <v>90</v>
      </c>
      <c r="O955">
        <v>2015</v>
      </c>
      <c r="P955" t="s">
        <v>18</v>
      </c>
    </row>
    <row r="956" spans="1:16" x14ac:dyDescent="0.3">
      <c r="A956">
        <v>538</v>
      </c>
      <c r="B956" t="s">
        <v>520</v>
      </c>
      <c r="C956" t="s">
        <v>1133</v>
      </c>
      <c r="D956" t="str">
        <f>VLOOKUP(YouTube_University_Data_Final[[#This Row],[Title]],[1]!YouTube_University_Data_Final[[Title]:[Title_language]],2,FALSE)</f>
        <v>English</v>
      </c>
      <c r="E956" t="s">
        <v>1023</v>
      </c>
      <c r="F956">
        <v>27</v>
      </c>
      <c r="G956" s="1">
        <v>42074</v>
      </c>
      <c r="H956">
        <v>209</v>
      </c>
      <c r="I956" t="s">
        <v>522</v>
      </c>
      <c r="J956">
        <v>1733</v>
      </c>
      <c r="K956">
        <v>0</v>
      </c>
      <c r="L956">
        <v>0</v>
      </c>
      <c r="M956">
        <v>0</v>
      </c>
      <c r="N956" t="s">
        <v>90</v>
      </c>
      <c r="O956">
        <v>2015</v>
      </c>
      <c r="P956" t="s">
        <v>18</v>
      </c>
    </row>
    <row r="957" spans="1:16" x14ac:dyDescent="0.3">
      <c r="A957">
        <v>539</v>
      </c>
      <c r="B957" t="s">
        <v>520</v>
      </c>
      <c r="C957" t="s">
        <v>1134</v>
      </c>
      <c r="D957" t="str">
        <f>VLOOKUP(YouTube_University_Data_Final[[#This Row],[Title]],[1]!YouTube_University_Data_Final[[Title]:[Title_language]],2,FALSE)</f>
        <v>English</v>
      </c>
      <c r="E957" t="s">
        <v>3349</v>
      </c>
      <c r="F957">
        <v>27</v>
      </c>
      <c r="G957" s="1">
        <v>42072</v>
      </c>
      <c r="H957">
        <v>33</v>
      </c>
      <c r="I957" t="s">
        <v>522</v>
      </c>
      <c r="J957">
        <v>673</v>
      </c>
      <c r="K957">
        <v>0</v>
      </c>
      <c r="L957">
        <v>0</v>
      </c>
      <c r="M957">
        <v>0</v>
      </c>
      <c r="N957" t="s">
        <v>90</v>
      </c>
      <c r="O957">
        <v>2015</v>
      </c>
      <c r="P957" t="s">
        <v>18</v>
      </c>
    </row>
    <row r="958" spans="1:16" x14ac:dyDescent="0.3">
      <c r="A958">
        <v>540</v>
      </c>
      <c r="B958" t="s">
        <v>520</v>
      </c>
      <c r="C958" t="s">
        <v>1045</v>
      </c>
      <c r="D958" t="str">
        <f>VLOOKUP(YouTube_University_Data_Final[[#This Row],[Title]],[1]!YouTube_University_Data_Final[[Title]:[Title_language]],2,FALSE)</f>
        <v>English</v>
      </c>
      <c r="E958" t="s">
        <v>3350</v>
      </c>
      <c r="F958">
        <v>27</v>
      </c>
      <c r="G958" s="1">
        <v>42047</v>
      </c>
      <c r="H958">
        <v>20</v>
      </c>
      <c r="I958" t="s">
        <v>1135</v>
      </c>
      <c r="J958">
        <v>349</v>
      </c>
      <c r="K958">
        <v>1</v>
      </c>
      <c r="L958">
        <v>0</v>
      </c>
      <c r="M958">
        <v>0</v>
      </c>
      <c r="N958" t="s">
        <v>162</v>
      </c>
      <c r="O958">
        <v>2015</v>
      </c>
      <c r="P958" t="s">
        <v>18</v>
      </c>
    </row>
    <row r="959" spans="1:16" x14ac:dyDescent="0.3">
      <c r="A959">
        <v>541</v>
      </c>
      <c r="B959" t="s">
        <v>520</v>
      </c>
      <c r="C959" t="s">
        <v>1136</v>
      </c>
      <c r="D959" t="str">
        <f>VLOOKUP(YouTube_University_Data_Final[[#This Row],[Title]],[1]!YouTube_University_Data_Final[[Title]:[Title_language]],2,FALSE)</f>
        <v>English</v>
      </c>
      <c r="E959" t="s">
        <v>1137</v>
      </c>
      <c r="F959">
        <v>27</v>
      </c>
      <c r="G959" s="1">
        <v>42037</v>
      </c>
      <c r="H959">
        <v>13</v>
      </c>
      <c r="I959" t="s">
        <v>522</v>
      </c>
      <c r="J959">
        <v>98</v>
      </c>
      <c r="K959">
        <v>1</v>
      </c>
      <c r="L959">
        <v>0</v>
      </c>
      <c r="M959">
        <v>0</v>
      </c>
      <c r="N959" t="s">
        <v>162</v>
      </c>
      <c r="O959">
        <v>2015</v>
      </c>
      <c r="P959" t="s">
        <v>18</v>
      </c>
    </row>
    <row r="960" spans="1:16" x14ac:dyDescent="0.3">
      <c r="A960">
        <v>542</v>
      </c>
      <c r="B960" t="s">
        <v>520</v>
      </c>
      <c r="C960" t="s">
        <v>1138</v>
      </c>
      <c r="D960" t="str">
        <f>VLOOKUP(YouTube_University_Data_Final[[#This Row],[Title]],[1]!YouTube_University_Data_Final[[Title]:[Title_language]],2,FALSE)</f>
        <v>English</v>
      </c>
      <c r="E960" t="s">
        <v>1139</v>
      </c>
      <c r="F960">
        <v>27</v>
      </c>
      <c r="G960" s="1">
        <v>42033</v>
      </c>
      <c r="H960">
        <v>164</v>
      </c>
      <c r="I960" t="s">
        <v>522</v>
      </c>
      <c r="J960">
        <v>348</v>
      </c>
      <c r="K960">
        <v>3</v>
      </c>
      <c r="L960">
        <v>0</v>
      </c>
      <c r="M960">
        <v>0</v>
      </c>
      <c r="N960" t="s">
        <v>93</v>
      </c>
      <c r="O960">
        <v>2015</v>
      </c>
      <c r="P960" t="s">
        <v>18</v>
      </c>
    </row>
    <row r="961" spans="1:16" x14ac:dyDescent="0.3">
      <c r="A961">
        <v>543</v>
      </c>
      <c r="B961" t="s">
        <v>520</v>
      </c>
      <c r="C961" t="s">
        <v>1140</v>
      </c>
      <c r="D961" t="str">
        <f>VLOOKUP(YouTube_University_Data_Final[[#This Row],[Title]],[1]!YouTube_University_Data_Final[[Title]:[Title_language]],2,FALSE)</f>
        <v>English</v>
      </c>
      <c r="E961" t="s">
        <v>1023</v>
      </c>
      <c r="F961">
        <v>27</v>
      </c>
      <c r="G961" s="1">
        <v>42030</v>
      </c>
      <c r="H961">
        <v>14</v>
      </c>
      <c r="I961" t="s">
        <v>522</v>
      </c>
      <c r="J961">
        <v>470</v>
      </c>
      <c r="K961">
        <v>1</v>
      </c>
      <c r="L961">
        <v>0</v>
      </c>
      <c r="M961">
        <v>0</v>
      </c>
      <c r="N961" t="s">
        <v>93</v>
      </c>
      <c r="O961">
        <v>2015</v>
      </c>
      <c r="P961" t="s">
        <v>18</v>
      </c>
    </row>
    <row r="962" spans="1:16" x14ac:dyDescent="0.3">
      <c r="A962">
        <v>544</v>
      </c>
      <c r="B962" t="s">
        <v>520</v>
      </c>
      <c r="C962" t="s">
        <v>1141</v>
      </c>
      <c r="D962" t="str">
        <f>VLOOKUP(YouTube_University_Data_Final[[#This Row],[Title]],[1]!YouTube_University_Data_Final[[Title]:[Title_language]],2,FALSE)</f>
        <v>English</v>
      </c>
      <c r="E962" t="s">
        <v>1110</v>
      </c>
      <c r="F962">
        <v>27</v>
      </c>
      <c r="G962" s="1">
        <v>42017</v>
      </c>
      <c r="H962">
        <v>42</v>
      </c>
      <c r="I962" t="s">
        <v>522</v>
      </c>
      <c r="J962">
        <v>182</v>
      </c>
      <c r="K962">
        <v>1</v>
      </c>
      <c r="L962">
        <v>0</v>
      </c>
      <c r="M962">
        <v>0</v>
      </c>
      <c r="N962" t="s">
        <v>93</v>
      </c>
      <c r="O962">
        <v>2015</v>
      </c>
      <c r="P962" t="s">
        <v>18</v>
      </c>
    </row>
    <row r="963" spans="1:16" x14ac:dyDescent="0.3">
      <c r="A963">
        <v>545</v>
      </c>
      <c r="B963" t="s">
        <v>520</v>
      </c>
      <c r="C963" t="s">
        <v>1142</v>
      </c>
      <c r="D963" t="str">
        <f>VLOOKUP(YouTube_University_Data_Final[[#This Row],[Title]],[1]!YouTube_University_Data_Final[[Title]:[Title_language]],2,FALSE)</f>
        <v>English</v>
      </c>
      <c r="E963" t="s">
        <v>1143</v>
      </c>
      <c r="F963">
        <v>27</v>
      </c>
      <c r="G963" s="1">
        <v>42011</v>
      </c>
      <c r="H963">
        <v>170</v>
      </c>
      <c r="I963" t="s">
        <v>1144</v>
      </c>
      <c r="J963">
        <v>1310</v>
      </c>
      <c r="K963">
        <v>5</v>
      </c>
      <c r="L963">
        <v>0</v>
      </c>
      <c r="M963">
        <v>0</v>
      </c>
      <c r="N963" t="s">
        <v>93</v>
      </c>
      <c r="O963">
        <v>2015</v>
      </c>
      <c r="P963" t="s">
        <v>18</v>
      </c>
    </row>
    <row r="964" spans="1:16" x14ac:dyDescent="0.3">
      <c r="A964">
        <v>546</v>
      </c>
      <c r="B964" t="s">
        <v>520</v>
      </c>
      <c r="C964" t="s">
        <v>1145</v>
      </c>
      <c r="D964" t="str">
        <f>VLOOKUP(YouTube_University_Data_Final[[#This Row],[Title]],[1]!YouTube_University_Data_Final[[Title]:[Title_language]],2,FALSE)</f>
        <v>English</v>
      </c>
      <c r="E964" t="s">
        <v>3351</v>
      </c>
      <c r="F964">
        <v>27</v>
      </c>
      <c r="G964" s="1">
        <v>41996</v>
      </c>
      <c r="H964">
        <v>145</v>
      </c>
      <c r="I964" t="s">
        <v>1146</v>
      </c>
      <c r="J964">
        <v>33475</v>
      </c>
      <c r="K964">
        <v>139</v>
      </c>
      <c r="L964">
        <v>0</v>
      </c>
      <c r="M964">
        <v>6</v>
      </c>
      <c r="N964" t="s">
        <v>98</v>
      </c>
      <c r="O964">
        <v>2014</v>
      </c>
      <c r="P964" t="s">
        <v>18</v>
      </c>
    </row>
    <row r="965" spans="1:16" x14ac:dyDescent="0.3">
      <c r="A965">
        <v>547</v>
      </c>
      <c r="B965" t="s">
        <v>520</v>
      </c>
      <c r="C965" t="s">
        <v>1147</v>
      </c>
      <c r="D965" t="str">
        <f>VLOOKUP(YouTube_University_Data_Final[[#This Row],[Title]],[1]!YouTube_University_Data_Final[[Title]:[Title_language]],2,FALSE)</f>
        <v>English</v>
      </c>
      <c r="E965" t="s">
        <v>1148</v>
      </c>
      <c r="F965">
        <v>27</v>
      </c>
      <c r="G965" s="1">
        <v>41989</v>
      </c>
      <c r="H965">
        <v>144</v>
      </c>
      <c r="I965" t="s">
        <v>1149</v>
      </c>
      <c r="J965">
        <v>356</v>
      </c>
      <c r="K965">
        <v>5</v>
      </c>
      <c r="L965">
        <v>0</v>
      </c>
      <c r="M965">
        <v>0</v>
      </c>
      <c r="N965" t="s">
        <v>98</v>
      </c>
      <c r="O965">
        <v>2014</v>
      </c>
      <c r="P965" t="s">
        <v>18</v>
      </c>
    </row>
    <row r="966" spans="1:16" x14ac:dyDescent="0.3">
      <c r="A966">
        <v>548</v>
      </c>
      <c r="B966" t="s">
        <v>520</v>
      </c>
      <c r="C966" t="s">
        <v>1150</v>
      </c>
      <c r="D966" t="str">
        <f>VLOOKUP(YouTube_University_Data_Final[[#This Row],[Title]],[1]!YouTube_University_Data_Final[[Title]:[Title_language]],2,FALSE)</f>
        <v>English</v>
      </c>
      <c r="E966" t="s">
        <v>1151</v>
      </c>
      <c r="F966">
        <v>27</v>
      </c>
      <c r="G966" s="1">
        <v>41978</v>
      </c>
      <c r="H966">
        <v>21</v>
      </c>
      <c r="I966" t="s">
        <v>522</v>
      </c>
      <c r="J966">
        <v>370</v>
      </c>
      <c r="K966">
        <v>0</v>
      </c>
      <c r="L966">
        <v>0</v>
      </c>
      <c r="M966">
        <v>0</v>
      </c>
      <c r="N966" t="s">
        <v>98</v>
      </c>
      <c r="O966">
        <v>2014</v>
      </c>
      <c r="P966" t="s">
        <v>18</v>
      </c>
    </row>
    <row r="967" spans="1:16" x14ac:dyDescent="0.3">
      <c r="A967">
        <v>549</v>
      </c>
      <c r="B967" t="s">
        <v>520</v>
      </c>
      <c r="C967" t="s">
        <v>1152</v>
      </c>
      <c r="D967" t="str">
        <f>VLOOKUP(YouTube_University_Data_Final[[#This Row],[Title]],[1]!YouTube_University_Data_Final[[Title]:[Title_language]],2,FALSE)</f>
        <v>English</v>
      </c>
      <c r="E967" t="s">
        <v>1153</v>
      </c>
      <c r="F967">
        <v>27</v>
      </c>
      <c r="G967" s="1">
        <v>41968</v>
      </c>
      <c r="H967">
        <v>20</v>
      </c>
      <c r="I967" t="s">
        <v>522</v>
      </c>
      <c r="J967">
        <v>332</v>
      </c>
      <c r="K967">
        <v>1</v>
      </c>
      <c r="L967">
        <v>0</v>
      </c>
      <c r="M967">
        <v>0</v>
      </c>
      <c r="N967" t="s">
        <v>101</v>
      </c>
      <c r="O967">
        <v>2014</v>
      </c>
      <c r="P967" t="s">
        <v>18</v>
      </c>
    </row>
    <row r="968" spans="1:16" x14ac:dyDescent="0.3">
      <c r="A968">
        <v>550</v>
      </c>
      <c r="B968" t="s">
        <v>520</v>
      </c>
      <c r="C968" t="s">
        <v>1154</v>
      </c>
      <c r="D968" t="str">
        <f>VLOOKUP(YouTube_University_Data_Final[[#This Row],[Title]],[1]!YouTube_University_Data_Final[[Title]:[Title_language]],2,FALSE)</f>
        <v>English</v>
      </c>
      <c r="E968" t="s">
        <v>1155</v>
      </c>
      <c r="F968">
        <v>27</v>
      </c>
      <c r="G968" s="1">
        <v>41967</v>
      </c>
      <c r="H968">
        <v>132</v>
      </c>
      <c r="I968" t="s">
        <v>522</v>
      </c>
      <c r="J968">
        <v>965</v>
      </c>
      <c r="K968">
        <v>1</v>
      </c>
      <c r="L968">
        <v>0</v>
      </c>
      <c r="M968">
        <v>0</v>
      </c>
      <c r="N968" t="s">
        <v>101</v>
      </c>
      <c r="O968">
        <v>2014</v>
      </c>
      <c r="P968" t="s">
        <v>18</v>
      </c>
    </row>
    <row r="969" spans="1:16" x14ac:dyDescent="0.3">
      <c r="A969">
        <v>551</v>
      </c>
      <c r="B969" t="s">
        <v>520</v>
      </c>
      <c r="C969" t="s">
        <v>1156</v>
      </c>
      <c r="D969" t="str">
        <f>VLOOKUP(YouTube_University_Data_Final[[#This Row],[Title]],[1]!YouTube_University_Data_Final[[Title]:[Title_language]],2,FALSE)</f>
        <v>English</v>
      </c>
      <c r="E969" t="s">
        <v>1157</v>
      </c>
      <c r="F969">
        <v>27</v>
      </c>
      <c r="G969" s="1">
        <v>41935</v>
      </c>
      <c r="H969">
        <v>33</v>
      </c>
      <c r="I969" t="s">
        <v>522</v>
      </c>
      <c r="J969">
        <v>457</v>
      </c>
      <c r="K969">
        <v>2</v>
      </c>
      <c r="L969">
        <v>0</v>
      </c>
      <c r="M969">
        <v>0</v>
      </c>
      <c r="N969" t="s">
        <v>17</v>
      </c>
      <c r="O969">
        <v>2014</v>
      </c>
      <c r="P969" t="s">
        <v>18</v>
      </c>
    </row>
    <row r="970" spans="1:16" x14ac:dyDescent="0.3">
      <c r="A970">
        <v>552</v>
      </c>
      <c r="B970" t="s">
        <v>520</v>
      </c>
      <c r="C970" t="s">
        <v>1158</v>
      </c>
      <c r="D970" t="str">
        <f>VLOOKUP(YouTube_University_Data_Final[[#This Row],[Title]],[1]!YouTube_University_Data_Final[[Title]:[Title_language]],2,FALSE)</f>
        <v>English</v>
      </c>
      <c r="E970" t="s">
        <v>1159</v>
      </c>
      <c r="F970">
        <v>27</v>
      </c>
      <c r="G970" s="1">
        <v>41932</v>
      </c>
      <c r="H970">
        <v>89</v>
      </c>
      <c r="I970" t="s">
        <v>522</v>
      </c>
      <c r="J970">
        <v>64743</v>
      </c>
      <c r="K970">
        <v>168</v>
      </c>
      <c r="L970">
        <v>0</v>
      </c>
      <c r="M970">
        <v>4</v>
      </c>
      <c r="N970" t="s">
        <v>17</v>
      </c>
      <c r="O970">
        <v>2014</v>
      </c>
      <c r="P970" t="s">
        <v>18</v>
      </c>
    </row>
    <row r="971" spans="1:16" x14ac:dyDescent="0.3">
      <c r="A971">
        <v>553</v>
      </c>
      <c r="B971" t="s">
        <v>520</v>
      </c>
      <c r="C971" t="s">
        <v>1160</v>
      </c>
      <c r="D971" t="str">
        <f>VLOOKUP(YouTube_University_Data_Final[[#This Row],[Title]],[1]!YouTube_University_Data_Final[[Title]:[Title_language]],2,FALSE)</f>
        <v>English</v>
      </c>
      <c r="E971" t="s">
        <v>1161</v>
      </c>
      <c r="F971">
        <v>27</v>
      </c>
      <c r="G971" s="1">
        <v>41932</v>
      </c>
      <c r="H971">
        <v>99</v>
      </c>
      <c r="I971" t="s">
        <v>522</v>
      </c>
      <c r="J971">
        <v>92694</v>
      </c>
      <c r="K971">
        <v>266</v>
      </c>
      <c r="L971">
        <v>0</v>
      </c>
      <c r="M971">
        <v>4</v>
      </c>
      <c r="N971" t="s">
        <v>17</v>
      </c>
      <c r="O971">
        <v>2014</v>
      </c>
      <c r="P971" t="s">
        <v>18</v>
      </c>
    </row>
    <row r="972" spans="1:16" x14ac:dyDescent="0.3">
      <c r="A972">
        <v>554</v>
      </c>
      <c r="B972" t="s">
        <v>520</v>
      </c>
      <c r="C972" t="s">
        <v>1162</v>
      </c>
      <c r="D972" t="str">
        <f>VLOOKUP(YouTube_University_Data_Final[[#This Row],[Title]],[1]!YouTube_University_Data_Final[[Title]:[Title_language]],2,FALSE)</f>
        <v>English</v>
      </c>
      <c r="E972" t="s">
        <v>1163</v>
      </c>
      <c r="F972">
        <v>27</v>
      </c>
      <c r="G972" s="1">
        <v>41928</v>
      </c>
      <c r="H972">
        <v>21</v>
      </c>
      <c r="I972" t="s">
        <v>522</v>
      </c>
      <c r="J972">
        <v>84</v>
      </c>
      <c r="K972">
        <v>0</v>
      </c>
      <c r="L972">
        <v>0</v>
      </c>
      <c r="M972">
        <v>0</v>
      </c>
      <c r="N972" t="s">
        <v>17</v>
      </c>
      <c r="O972">
        <v>2014</v>
      </c>
      <c r="P972" t="s">
        <v>18</v>
      </c>
    </row>
    <row r="973" spans="1:16" x14ac:dyDescent="0.3">
      <c r="A973">
        <v>555</v>
      </c>
      <c r="B973" t="s">
        <v>520</v>
      </c>
      <c r="C973" t="s">
        <v>1164</v>
      </c>
      <c r="D973" t="str">
        <f>VLOOKUP(YouTube_University_Data_Final[[#This Row],[Title]],[1]!YouTube_University_Data_Final[[Title]:[Title_language]],2,FALSE)</f>
        <v>English</v>
      </c>
      <c r="E973" t="s">
        <v>1165</v>
      </c>
      <c r="F973">
        <v>27</v>
      </c>
      <c r="G973" s="1">
        <v>41921</v>
      </c>
      <c r="H973">
        <v>21</v>
      </c>
      <c r="I973" t="s">
        <v>522</v>
      </c>
      <c r="J973">
        <v>106</v>
      </c>
      <c r="K973">
        <v>1</v>
      </c>
      <c r="L973">
        <v>0</v>
      </c>
      <c r="M973">
        <v>0</v>
      </c>
      <c r="N973" t="s">
        <v>17</v>
      </c>
      <c r="O973">
        <v>2014</v>
      </c>
      <c r="P973" t="s">
        <v>18</v>
      </c>
    </row>
    <row r="974" spans="1:16" x14ac:dyDescent="0.3">
      <c r="A974">
        <v>556</v>
      </c>
      <c r="B974" t="s">
        <v>520</v>
      </c>
      <c r="C974" t="s">
        <v>1166</v>
      </c>
      <c r="D974" t="str">
        <f>VLOOKUP(YouTube_University_Data_Final[[#This Row],[Title]],[1]!YouTube_University_Data_Final[[Title]:[Title_language]],2,FALSE)</f>
        <v>English</v>
      </c>
      <c r="E974" t="s">
        <v>1023</v>
      </c>
      <c r="F974">
        <v>27</v>
      </c>
      <c r="G974" s="1">
        <v>41915</v>
      </c>
      <c r="H974">
        <v>98</v>
      </c>
      <c r="I974" t="s">
        <v>522</v>
      </c>
      <c r="J974">
        <v>402</v>
      </c>
      <c r="K974">
        <v>0</v>
      </c>
      <c r="L974">
        <v>0</v>
      </c>
      <c r="M974">
        <v>0</v>
      </c>
      <c r="N974" t="s">
        <v>17</v>
      </c>
      <c r="O974">
        <v>2014</v>
      </c>
      <c r="P974" t="s">
        <v>18</v>
      </c>
    </row>
    <row r="975" spans="1:16" x14ac:dyDescent="0.3">
      <c r="A975">
        <v>557</v>
      </c>
      <c r="B975" t="s">
        <v>520</v>
      </c>
      <c r="C975" t="s">
        <v>1167</v>
      </c>
      <c r="D975" t="str">
        <f>VLOOKUP(YouTube_University_Data_Final[[#This Row],[Title]],[1]!YouTube_University_Data_Final[[Title]:[Title_language]],2,FALSE)</f>
        <v>English</v>
      </c>
      <c r="E975" t="s">
        <v>1168</v>
      </c>
      <c r="F975">
        <v>27</v>
      </c>
      <c r="G975" s="1">
        <v>41904</v>
      </c>
      <c r="H975">
        <v>1110</v>
      </c>
      <c r="I975" t="s">
        <v>522</v>
      </c>
      <c r="J975">
        <v>3158</v>
      </c>
      <c r="K975">
        <v>18</v>
      </c>
      <c r="L975">
        <v>0</v>
      </c>
      <c r="M975">
        <v>0</v>
      </c>
      <c r="N975" t="s">
        <v>21</v>
      </c>
      <c r="O975">
        <v>2014</v>
      </c>
      <c r="P975" t="s">
        <v>18</v>
      </c>
    </row>
    <row r="976" spans="1:16" x14ac:dyDescent="0.3">
      <c r="A976">
        <v>558</v>
      </c>
      <c r="B976" t="s">
        <v>520</v>
      </c>
      <c r="C976" t="s">
        <v>1169</v>
      </c>
      <c r="D976" t="str">
        <f>VLOOKUP(YouTube_University_Data_Final[[#This Row],[Title]],[1]!YouTube_University_Data_Final[[Title]:[Title_language]],2,FALSE)</f>
        <v>English</v>
      </c>
      <c r="E976" t="s">
        <v>1170</v>
      </c>
      <c r="F976">
        <v>27</v>
      </c>
      <c r="G976" s="1">
        <v>41901</v>
      </c>
      <c r="H976">
        <v>21</v>
      </c>
      <c r="I976" t="s">
        <v>522</v>
      </c>
      <c r="J976">
        <v>56</v>
      </c>
      <c r="K976">
        <v>0</v>
      </c>
      <c r="L976">
        <v>0</v>
      </c>
      <c r="M976">
        <v>0</v>
      </c>
      <c r="N976" t="s">
        <v>21</v>
      </c>
      <c r="O976">
        <v>2014</v>
      </c>
      <c r="P976" t="s">
        <v>18</v>
      </c>
    </row>
    <row r="977" spans="1:16" x14ac:dyDescent="0.3">
      <c r="A977">
        <v>559</v>
      </c>
      <c r="B977" t="s">
        <v>520</v>
      </c>
      <c r="C977" t="s">
        <v>1171</v>
      </c>
      <c r="D977" t="str">
        <f>VLOOKUP(YouTube_University_Data_Final[[#This Row],[Title]],[1]!YouTube_University_Data_Final[[Title]:[Title_language]],2,FALSE)</f>
        <v>English</v>
      </c>
      <c r="E977" t="s">
        <v>1172</v>
      </c>
      <c r="F977">
        <v>27</v>
      </c>
      <c r="G977" s="1">
        <v>41899</v>
      </c>
      <c r="H977">
        <v>21</v>
      </c>
      <c r="I977" t="s">
        <v>522</v>
      </c>
      <c r="J977">
        <v>53</v>
      </c>
      <c r="K977">
        <v>1</v>
      </c>
      <c r="L977">
        <v>0</v>
      </c>
      <c r="M977">
        <v>0</v>
      </c>
      <c r="N977" t="s">
        <v>21</v>
      </c>
      <c r="O977">
        <v>2014</v>
      </c>
      <c r="P977" t="s">
        <v>18</v>
      </c>
    </row>
    <row r="978" spans="1:16" x14ac:dyDescent="0.3">
      <c r="A978">
        <v>560</v>
      </c>
      <c r="B978" t="s">
        <v>520</v>
      </c>
      <c r="C978" t="s">
        <v>1173</v>
      </c>
      <c r="D978" t="str">
        <f>VLOOKUP(YouTube_University_Data_Final[[#This Row],[Title]],[1]!YouTube_University_Data_Final[[Title]:[Title_language]],2,FALSE)</f>
        <v>English</v>
      </c>
      <c r="E978" t="s">
        <v>1174</v>
      </c>
      <c r="F978">
        <v>27</v>
      </c>
      <c r="G978" s="1">
        <v>41883</v>
      </c>
      <c r="H978">
        <v>42</v>
      </c>
      <c r="I978" t="s">
        <v>522</v>
      </c>
      <c r="J978">
        <v>587</v>
      </c>
      <c r="K978">
        <v>1</v>
      </c>
      <c r="L978">
        <v>0</v>
      </c>
      <c r="M978">
        <v>0</v>
      </c>
      <c r="N978" t="s">
        <v>21</v>
      </c>
      <c r="O978">
        <v>2014</v>
      </c>
      <c r="P978" t="s">
        <v>18</v>
      </c>
    </row>
    <row r="979" spans="1:16" x14ac:dyDescent="0.3">
      <c r="A979">
        <v>561</v>
      </c>
      <c r="B979" t="s">
        <v>520</v>
      </c>
      <c r="C979" t="s">
        <v>1175</v>
      </c>
      <c r="D979" t="str">
        <f>VLOOKUP(YouTube_University_Data_Final[[#This Row],[Title]],[1]!YouTube_University_Data_Final[[Title]:[Title_language]],2,FALSE)</f>
        <v>English</v>
      </c>
      <c r="E979" t="s">
        <v>1176</v>
      </c>
      <c r="F979">
        <v>27</v>
      </c>
      <c r="G979" s="1">
        <v>41879</v>
      </c>
      <c r="H979">
        <v>101</v>
      </c>
      <c r="I979" t="s">
        <v>1177</v>
      </c>
      <c r="J979">
        <v>346</v>
      </c>
      <c r="K979">
        <v>3</v>
      </c>
      <c r="L979">
        <v>0</v>
      </c>
      <c r="M979">
        <v>0</v>
      </c>
      <c r="N979" t="s">
        <v>48</v>
      </c>
      <c r="O979">
        <v>2014</v>
      </c>
      <c r="P979" t="s">
        <v>18</v>
      </c>
    </row>
    <row r="980" spans="1:16" x14ac:dyDescent="0.3">
      <c r="A980">
        <v>562</v>
      </c>
      <c r="B980" t="s">
        <v>520</v>
      </c>
      <c r="C980" t="s">
        <v>1178</v>
      </c>
      <c r="D980" t="str">
        <f>VLOOKUP(YouTube_University_Data_Final[[#This Row],[Title]],[1]!YouTube_University_Data_Final[[Title]:[Title_language]],2,FALSE)</f>
        <v>English</v>
      </c>
      <c r="E980" t="s">
        <v>1179</v>
      </c>
      <c r="F980">
        <v>27</v>
      </c>
      <c r="G980" s="1">
        <v>41878</v>
      </c>
      <c r="H980">
        <v>174</v>
      </c>
      <c r="I980" t="s">
        <v>1180</v>
      </c>
      <c r="J980">
        <v>88</v>
      </c>
      <c r="K980">
        <v>0</v>
      </c>
      <c r="L980">
        <v>0</v>
      </c>
      <c r="M980">
        <v>0</v>
      </c>
      <c r="N980" t="s">
        <v>48</v>
      </c>
      <c r="O980">
        <v>2014</v>
      </c>
      <c r="P980" t="s">
        <v>18</v>
      </c>
    </row>
    <row r="981" spans="1:16" x14ac:dyDescent="0.3">
      <c r="A981">
        <v>563</v>
      </c>
      <c r="B981" t="s">
        <v>520</v>
      </c>
      <c r="C981" t="s">
        <v>1181</v>
      </c>
      <c r="D981" t="str">
        <f>VLOOKUP(YouTube_University_Data_Final[[#This Row],[Title]],[1]!YouTube_University_Data_Final[[Title]:[Title_language]],2,FALSE)</f>
        <v>English</v>
      </c>
      <c r="E981" t="s">
        <v>1182</v>
      </c>
      <c r="F981">
        <v>27</v>
      </c>
      <c r="G981" s="1">
        <v>41872</v>
      </c>
      <c r="H981">
        <v>225</v>
      </c>
      <c r="I981" t="s">
        <v>1183</v>
      </c>
      <c r="J981">
        <v>874</v>
      </c>
      <c r="K981">
        <v>7</v>
      </c>
      <c r="L981">
        <v>0</v>
      </c>
      <c r="M981">
        <v>0</v>
      </c>
      <c r="N981" t="s">
        <v>48</v>
      </c>
      <c r="O981">
        <v>2014</v>
      </c>
      <c r="P981" t="s">
        <v>18</v>
      </c>
    </row>
    <row r="982" spans="1:16" x14ac:dyDescent="0.3">
      <c r="A982">
        <v>564</v>
      </c>
      <c r="B982" t="s">
        <v>520</v>
      </c>
      <c r="C982" t="s">
        <v>1061</v>
      </c>
      <c r="D982" t="str">
        <f>VLOOKUP(YouTube_University_Data_Final[[#This Row],[Title]],[1]!YouTube_University_Data_Final[[Title]:[Title_language]],2,FALSE)</f>
        <v>English</v>
      </c>
      <c r="E982" t="s">
        <v>1184</v>
      </c>
      <c r="F982">
        <v>27</v>
      </c>
      <c r="G982" s="1">
        <v>41871</v>
      </c>
      <c r="H982">
        <v>21</v>
      </c>
      <c r="I982" t="s">
        <v>522</v>
      </c>
      <c r="J982">
        <v>379</v>
      </c>
      <c r="K982">
        <v>2</v>
      </c>
      <c r="L982">
        <v>0</v>
      </c>
      <c r="M982">
        <v>0</v>
      </c>
      <c r="N982" t="s">
        <v>48</v>
      </c>
      <c r="O982">
        <v>2014</v>
      </c>
      <c r="P982" t="s">
        <v>18</v>
      </c>
    </row>
    <row r="983" spans="1:16" x14ac:dyDescent="0.3">
      <c r="A983">
        <v>565</v>
      </c>
      <c r="B983" t="s">
        <v>520</v>
      </c>
      <c r="C983" t="s">
        <v>1185</v>
      </c>
      <c r="D983" t="str">
        <f>VLOOKUP(YouTube_University_Data_Final[[#This Row],[Title]],[1]!YouTube_University_Data_Final[[Title]:[Title_language]],2,FALSE)</f>
        <v>English</v>
      </c>
      <c r="E983" t="s">
        <v>1186</v>
      </c>
      <c r="F983">
        <v>27</v>
      </c>
      <c r="G983" s="1">
        <v>41869</v>
      </c>
      <c r="H983">
        <v>21</v>
      </c>
      <c r="I983" t="s">
        <v>522</v>
      </c>
      <c r="J983">
        <v>189</v>
      </c>
      <c r="K983">
        <v>0</v>
      </c>
      <c r="L983">
        <v>0</v>
      </c>
      <c r="M983">
        <v>0</v>
      </c>
      <c r="N983" t="s">
        <v>48</v>
      </c>
      <c r="O983">
        <v>2014</v>
      </c>
      <c r="P983" t="s">
        <v>18</v>
      </c>
    </row>
    <row r="984" spans="1:16" x14ac:dyDescent="0.3">
      <c r="A984">
        <v>566</v>
      </c>
      <c r="B984" t="s">
        <v>520</v>
      </c>
      <c r="C984" t="s">
        <v>1187</v>
      </c>
      <c r="D984" t="str">
        <f>VLOOKUP(YouTube_University_Data_Final[[#This Row],[Title]],[1]!YouTube_University_Data_Final[[Title]:[Title_language]],2,FALSE)</f>
        <v>English</v>
      </c>
      <c r="E984" t="s">
        <v>1188</v>
      </c>
      <c r="F984">
        <v>27</v>
      </c>
      <c r="G984" s="1">
        <v>41866</v>
      </c>
      <c r="H984">
        <v>20</v>
      </c>
      <c r="I984" t="s">
        <v>522</v>
      </c>
      <c r="J984">
        <v>329</v>
      </c>
      <c r="K984">
        <v>2</v>
      </c>
      <c r="L984">
        <v>0</v>
      </c>
      <c r="M984">
        <v>0</v>
      </c>
      <c r="N984" t="s">
        <v>48</v>
      </c>
      <c r="O984">
        <v>2014</v>
      </c>
      <c r="P984" t="s">
        <v>18</v>
      </c>
    </row>
    <row r="985" spans="1:16" x14ac:dyDescent="0.3">
      <c r="A985">
        <v>567</v>
      </c>
      <c r="B985" t="s">
        <v>520</v>
      </c>
      <c r="C985" t="s">
        <v>1189</v>
      </c>
      <c r="D985" t="str">
        <f>VLOOKUP(YouTube_University_Data_Final[[#This Row],[Title]],[1]!YouTube_University_Data_Final[[Title]:[Title_language]],2,FALSE)</f>
        <v>English</v>
      </c>
      <c r="E985" t="s">
        <v>1190</v>
      </c>
      <c r="F985">
        <v>27</v>
      </c>
      <c r="G985" s="1">
        <v>41862</v>
      </c>
      <c r="H985">
        <v>263</v>
      </c>
      <c r="I985" t="s">
        <v>1191</v>
      </c>
      <c r="J985">
        <v>59492</v>
      </c>
      <c r="K985">
        <v>230</v>
      </c>
      <c r="L985">
        <v>0</v>
      </c>
      <c r="M985">
        <v>17</v>
      </c>
      <c r="N985" t="s">
        <v>48</v>
      </c>
      <c r="O985">
        <v>2014</v>
      </c>
      <c r="P985" t="s">
        <v>18</v>
      </c>
    </row>
    <row r="986" spans="1:16" x14ac:dyDescent="0.3">
      <c r="A986">
        <v>568</v>
      </c>
      <c r="B986" t="s">
        <v>520</v>
      </c>
      <c r="C986" t="s">
        <v>1192</v>
      </c>
      <c r="D986" t="str">
        <f>VLOOKUP(YouTube_University_Data_Final[[#This Row],[Title]],[1]!YouTube_University_Data_Final[[Title]:[Title_language]],2,FALSE)</f>
        <v>English</v>
      </c>
      <c r="E986" t="s">
        <v>1193</v>
      </c>
      <c r="F986">
        <v>27</v>
      </c>
      <c r="G986" s="1">
        <v>41857</v>
      </c>
      <c r="H986">
        <v>20</v>
      </c>
      <c r="I986" t="s">
        <v>522</v>
      </c>
      <c r="J986">
        <v>115</v>
      </c>
      <c r="K986">
        <v>0</v>
      </c>
      <c r="L986">
        <v>0</v>
      </c>
      <c r="M986">
        <v>0</v>
      </c>
      <c r="N986" t="s">
        <v>48</v>
      </c>
      <c r="O986">
        <v>2014</v>
      </c>
      <c r="P986" t="s">
        <v>18</v>
      </c>
    </row>
    <row r="987" spans="1:16" x14ac:dyDescent="0.3">
      <c r="A987">
        <v>569</v>
      </c>
      <c r="B987" t="s">
        <v>520</v>
      </c>
      <c r="C987" t="s">
        <v>3352</v>
      </c>
      <c r="D987" t="str">
        <f>VLOOKUP(YouTube_University_Data_Final[[#This Row],[Title]],[1]!YouTube_University_Data_Final[[Title]:[Title_language]],2,FALSE)</f>
        <v>Bilingual</v>
      </c>
      <c r="E987" t="s">
        <v>2944</v>
      </c>
      <c r="F987">
        <v>27</v>
      </c>
      <c r="G987" s="1">
        <v>41838</v>
      </c>
      <c r="H987">
        <v>232</v>
      </c>
      <c r="I987" t="s">
        <v>1194</v>
      </c>
      <c r="J987">
        <v>679</v>
      </c>
      <c r="K987">
        <v>2</v>
      </c>
      <c r="L987">
        <v>0</v>
      </c>
      <c r="M987">
        <v>0</v>
      </c>
      <c r="N987" t="s">
        <v>56</v>
      </c>
      <c r="O987">
        <v>2014</v>
      </c>
      <c r="P987" t="s">
        <v>18</v>
      </c>
    </row>
    <row r="988" spans="1:16" x14ac:dyDescent="0.3">
      <c r="A988">
        <v>570</v>
      </c>
      <c r="B988" t="s">
        <v>520</v>
      </c>
      <c r="C988" t="s">
        <v>3353</v>
      </c>
      <c r="D988" t="str">
        <f>VLOOKUP(YouTube_University_Data_Final[[#This Row],[Title]],[1]!YouTube_University_Data_Final[[Title]:[Title_language]],2,FALSE)</f>
        <v>Bilingual</v>
      </c>
      <c r="E988" t="s">
        <v>3354</v>
      </c>
      <c r="F988">
        <v>27</v>
      </c>
      <c r="G988" s="1">
        <v>41829</v>
      </c>
      <c r="H988">
        <v>70</v>
      </c>
      <c r="I988" t="s">
        <v>3355</v>
      </c>
      <c r="J988">
        <v>1919</v>
      </c>
      <c r="K988">
        <v>23</v>
      </c>
      <c r="L988">
        <v>0</v>
      </c>
      <c r="M988">
        <v>0</v>
      </c>
      <c r="N988" t="s">
        <v>56</v>
      </c>
      <c r="O988">
        <v>2014</v>
      </c>
      <c r="P988" t="s">
        <v>18</v>
      </c>
    </row>
    <row r="989" spans="1:16" x14ac:dyDescent="0.3">
      <c r="A989">
        <v>571</v>
      </c>
      <c r="B989" t="s">
        <v>520</v>
      </c>
      <c r="C989" t="s">
        <v>1195</v>
      </c>
      <c r="D989" t="str">
        <f>VLOOKUP(YouTube_University_Data_Final[[#This Row],[Title]],[1]!YouTube_University_Data_Final[[Title]:[Title_language]],2,FALSE)</f>
        <v>English</v>
      </c>
      <c r="E989" t="s">
        <v>1196</v>
      </c>
      <c r="F989">
        <v>27</v>
      </c>
      <c r="G989" s="1">
        <v>41788</v>
      </c>
      <c r="H989">
        <v>21</v>
      </c>
      <c r="I989" t="s">
        <v>522</v>
      </c>
      <c r="J989">
        <v>76</v>
      </c>
      <c r="K989">
        <v>0</v>
      </c>
      <c r="L989">
        <v>0</v>
      </c>
      <c r="M989">
        <v>0</v>
      </c>
      <c r="N989" t="s">
        <v>81</v>
      </c>
      <c r="O989">
        <v>2014</v>
      </c>
      <c r="P989" t="s">
        <v>18</v>
      </c>
    </row>
    <row r="990" spans="1:16" x14ac:dyDescent="0.3">
      <c r="A990">
        <v>572</v>
      </c>
      <c r="B990" t="s">
        <v>520</v>
      </c>
      <c r="C990" t="s">
        <v>1197</v>
      </c>
      <c r="D990" t="str">
        <f>VLOOKUP(YouTube_University_Data_Final[[#This Row],[Title]],[1]!YouTube_University_Data_Final[[Title]:[Title_language]],2,FALSE)</f>
        <v>English</v>
      </c>
      <c r="E990" t="s">
        <v>1023</v>
      </c>
      <c r="F990">
        <v>27</v>
      </c>
      <c r="G990" s="1">
        <v>41753</v>
      </c>
      <c r="H990">
        <v>151</v>
      </c>
      <c r="I990" t="s">
        <v>1198</v>
      </c>
      <c r="J990">
        <v>222</v>
      </c>
      <c r="K990">
        <v>1</v>
      </c>
      <c r="L990">
        <v>0</v>
      </c>
      <c r="M990">
        <v>0</v>
      </c>
      <c r="N990" t="s">
        <v>87</v>
      </c>
      <c r="O990">
        <v>2014</v>
      </c>
      <c r="P990" t="s">
        <v>18</v>
      </c>
    </row>
    <row r="991" spans="1:16" x14ac:dyDescent="0.3">
      <c r="A991">
        <v>573</v>
      </c>
      <c r="B991" t="s">
        <v>520</v>
      </c>
      <c r="C991" t="s">
        <v>1199</v>
      </c>
      <c r="D991" t="str">
        <f>VLOOKUP(YouTube_University_Data_Final[[#This Row],[Title]],[1]!YouTube_University_Data_Final[[Title]:[Title_language]],2,FALSE)</f>
        <v>English</v>
      </c>
      <c r="E991" t="s">
        <v>1200</v>
      </c>
      <c r="F991">
        <v>27</v>
      </c>
      <c r="G991" s="1">
        <v>41732</v>
      </c>
      <c r="H991">
        <v>165</v>
      </c>
      <c r="I991" t="s">
        <v>1201</v>
      </c>
      <c r="J991">
        <v>1379</v>
      </c>
      <c r="K991">
        <v>12</v>
      </c>
      <c r="L991">
        <v>0</v>
      </c>
      <c r="M991">
        <v>0</v>
      </c>
      <c r="N991" t="s">
        <v>87</v>
      </c>
      <c r="O991">
        <v>2014</v>
      </c>
      <c r="P991" t="s">
        <v>18</v>
      </c>
    </row>
    <row r="992" spans="1:16" x14ac:dyDescent="0.3">
      <c r="A992">
        <v>574</v>
      </c>
      <c r="B992" t="s">
        <v>520</v>
      </c>
      <c r="C992" t="s">
        <v>1202</v>
      </c>
      <c r="D992" t="str">
        <f>VLOOKUP(YouTube_University_Data_Final[[#This Row],[Title]],[1]!YouTube_University_Data_Final[[Title]:[Title_language]],2,FALSE)</f>
        <v>English</v>
      </c>
      <c r="E992" t="s">
        <v>1023</v>
      </c>
      <c r="F992">
        <v>27</v>
      </c>
      <c r="G992" s="1">
        <v>41729</v>
      </c>
      <c r="H992">
        <v>137</v>
      </c>
      <c r="I992" t="s">
        <v>522</v>
      </c>
      <c r="J992">
        <v>168</v>
      </c>
      <c r="K992">
        <v>4</v>
      </c>
      <c r="L992">
        <v>0</v>
      </c>
      <c r="M992">
        <v>0</v>
      </c>
      <c r="N992" t="s">
        <v>90</v>
      </c>
      <c r="O992">
        <v>2014</v>
      </c>
      <c r="P992" t="s">
        <v>18</v>
      </c>
    </row>
    <row r="993" spans="1:16" x14ac:dyDescent="0.3">
      <c r="A993">
        <v>575</v>
      </c>
      <c r="B993" t="s">
        <v>520</v>
      </c>
      <c r="C993" t="s">
        <v>1203</v>
      </c>
      <c r="D993" t="str">
        <f>VLOOKUP(YouTube_University_Data_Final[[#This Row],[Title]],[1]!YouTube_University_Data_Final[[Title]:[Title_language]],2,FALSE)</f>
        <v>English</v>
      </c>
      <c r="E993" t="s">
        <v>1204</v>
      </c>
      <c r="F993">
        <v>27</v>
      </c>
      <c r="G993" s="1">
        <v>41724</v>
      </c>
      <c r="H993">
        <v>91</v>
      </c>
      <c r="I993" t="s">
        <v>1205</v>
      </c>
      <c r="J993">
        <v>1564</v>
      </c>
      <c r="K993">
        <v>9</v>
      </c>
      <c r="L993">
        <v>0</v>
      </c>
      <c r="M993">
        <v>0</v>
      </c>
      <c r="N993" t="s">
        <v>90</v>
      </c>
      <c r="O993">
        <v>2014</v>
      </c>
      <c r="P993" t="s">
        <v>18</v>
      </c>
    </row>
    <row r="994" spans="1:16" x14ac:dyDescent="0.3">
      <c r="A994">
        <v>576</v>
      </c>
      <c r="B994" t="s">
        <v>520</v>
      </c>
      <c r="C994" t="s">
        <v>1206</v>
      </c>
      <c r="D994" t="str">
        <f>VLOOKUP(YouTube_University_Data_Final[[#This Row],[Title]],[1]!YouTube_University_Data_Final[[Title]:[Title_language]],2,FALSE)</f>
        <v>English</v>
      </c>
      <c r="E994" t="s">
        <v>1207</v>
      </c>
      <c r="F994">
        <v>27</v>
      </c>
      <c r="G994" s="1">
        <v>41724</v>
      </c>
      <c r="H994">
        <v>101</v>
      </c>
      <c r="I994" t="s">
        <v>1208</v>
      </c>
      <c r="J994">
        <v>465</v>
      </c>
      <c r="K994">
        <v>3</v>
      </c>
      <c r="L994">
        <v>0</v>
      </c>
      <c r="M994">
        <v>0</v>
      </c>
      <c r="N994" t="s">
        <v>90</v>
      </c>
      <c r="O994">
        <v>2014</v>
      </c>
      <c r="P994" t="s">
        <v>18</v>
      </c>
    </row>
    <row r="995" spans="1:16" x14ac:dyDescent="0.3">
      <c r="A995">
        <v>577</v>
      </c>
      <c r="B995" t="s">
        <v>520</v>
      </c>
      <c r="C995" t="s">
        <v>1209</v>
      </c>
      <c r="D995" t="str">
        <f>VLOOKUP(YouTube_University_Data_Final[[#This Row],[Title]],[1]!YouTube_University_Data_Final[[Title]:[Title_language]],2,FALSE)</f>
        <v>English</v>
      </c>
      <c r="E995" t="s">
        <v>1210</v>
      </c>
      <c r="F995">
        <v>27</v>
      </c>
      <c r="G995" s="1">
        <v>41718</v>
      </c>
      <c r="H995">
        <v>333</v>
      </c>
      <c r="I995" t="s">
        <v>522</v>
      </c>
      <c r="J995">
        <v>2882</v>
      </c>
      <c r="K995">
        <v>33</v>
      </c>
      <c r="L995">
        <v>0</v>
      </c>
      <c r="M995">
        <v>2</v>
      </c>
      <c r="N995" t="s">
        <v>90</v>
      </c>
      <c r="O995">
        <v>2014</v>
      </c>
      <c r="P995" t="s">
        <v>18</v>
      </c>
    </row>
    <row r="996" spans="1:16" x14ac:dyDescent="0.3">
      <c r="A996">
        <v>578</v>
      </c>
      <c r="B996" t="s">
        <v>520</v>
      </c>
      <c r="C996" t="s">
        <v>3356</v>
      </c>
      <c r="D996" t="str">
        <f>VLOOKUP(YouTube_University_Data_Final[[#This Row],[Title]],[1]!YouTube_University_Data_Final[[Title]:[Title_language]],2,FALSE)</f>
        <v>Bilingual</v>
      </c>
      <c r="E996" t="s">
        <v>1023</v>
      </c>
      <c r="F996">
        <v>27</v>
      </c>
      <c r="G996" s="1">
        <v>41716</v>
      </c>
      <c r="H996">
        <v>248</v>
      </c>
      <c r="I996" t="s">
        <v>522</v>
      </c>
      <c r="J996">
        <v>725</v>
      </c>
      <c r="K996">
        <v>8</v>
      </c>
      <c r="L996">
        <v>0</v>
      </c>
      <c r="M996">
        <v>1</v>
      </c>
      <c r="N996" t="s">
        <v>90</v>
      </c>
      <c r="O996">
        <v>2014</v>
      </c>
      <c r="P996" t="s">
        <v>18</v>
      </c>
    </row>
    <row r="997" spans="1:16" x14ac:dyDescent="0.3">
      <c r="A997">
        <v>579</v>
      </c>
      <c r="B997" t="s">
        <v>520</v>
      </c>
      <c r="C997" t="s">
        <v>1211</v>
      </c>
      <c r="D997" t="str">
        <f>VLOOKUP(YouTube_University_Data_Final[[#This Row],[Title]],[1]!YouTube_University_Data_Final[[Title]:[Title_language]],2,FALSE)</f>
        <v>English</v>
      </c>
      <c r="E997" t="s">
        <v>1212</v>
      </c>
      <c r="F997">
        <v>27</v>
      </c>
      <c r="G997" s="1">
        <v>41711</v>
      </c>
      <c r="H997">
        <v>343</v>
      </c>
      <c r="I997" t="s">
        <v>2944</v>
      </c>
      <c r="J997">
        <v>1526</v>
      </c>
      <c r="K997">
        <v>3</v>
      </c>
      <c r="L997">
        <v>0</v>
      </c>
      <c r="M997">
        <v>0</v>
      </c>
      <c r="N997" t="s">
        <v>90</v>
      </c>
      <c r="O997">
        <v>2014</v>
      </c>
      <c r="P997" t="s">
        <v>18</v>
      </c>
    </row>
    <row r="998" spans="1:16" x14ac:dyDescent="0.3">
      <c r="A998">
        <v>580</v>
      </c>
      <c r="B998" t="s">
        <v>520</v>
      </c>
      <c r="C998" t="s">
        <v>1213</v>
      </c>
      <c r="D998" t="str">
        <f>VLOOKUP(YouTube_University_Data_Final[[#This Row],[Title]],[1]!YouTube_University_Data_Final[[Title]:[Title_language]],2,FALSE)</f>
        <v>English</v>
      </c>
      <c r="E998" t="s">
        <v>1212</v>
      </c>
      <c r="F998">
        <v>27</v>
      </c>
      <c r="G998" s="1">
        <v>41710</v>
      </c>
      <c r="H998">
        <v>343</v>
      </c>
      <c r="I998" t="s">
        <v>2944</v>
      </c>
      <c r="J998">
        <v>136646</v>
      </c>
      <c r="K998">
        <v>429</v>
      </c>
      <c r="L998">
        <v>0</v>
      </c>
      <c r="M998">
        <v>41</v>
      </c>
      <c r="N998" t="s">
        <v>90</v>
      </c>
      <c r="O998">
        <v>2014</v>
      </c>
      <c r="P998" t="s">
        <v>18</v>
      </c>
    </row>
    <row r="999" spans="1:16" x14ac:dyDescent="0.3">
      <c r="A999">
        <v>581</v>
      </c>
      <c r="B999" t="s">
        <v>520</v>
      </c>
      <c r="C999" t="s">
        <v>1214</v>
      </c>
      <c r="D999" t="str">
        <f>VLOOKUP(YouTube_University_Data_Final[[#This Row],[Title]],[1]!YouTube_University_Data_Final[[Title]:[Title_language]],2,FALSE)</f>
        <v>English</v>
      </c>
      <c r="E999" t="s">
        <v>1023</v>
      </c>
      <c r="F999">
        <v>27</v>
      </c>
      <c r="G999" s="1">
        <v>41705</v>
      </c>
      <c r="H999">
        <v>62</v>
      </c>
      <c r="I999" t="s">
        <v>522</v>
      </c>
      <c r="J999">
        <v>230</v>
      </c>
      <c r="K999">
        <v>1</v>
      </c>
      <c r="L999">
        <v>0</v>
      </c>
      <c r="M999">
        <v>0</v>
      </c>
      <c r="N999" t="s">
        <v>90</v>
      </c>
      <c r="O999">
        <v>2014</v>
      </c>
      <c r="P999" t="s">
        <v>18</v>
      </c>
    </row>
    <row r="1000" spans="1:16" x14ac:dyDescent="0.3">
      <c r="A1000">
        <v>582</v>
      </c>
      <c r="B1000" t="s">
        <v>520</v>
      </c>
      <c r="C1000" t="s">
        <v>1215</v>
      </c>
      <c r="D1000" t="str">
        <f>VLOOKUP(YouTube_University_Data_Final[[#This Row],[Title]],[1]!YouTube_University_Data_Final[[Title]:[Title_language]],2,FALSE)</f>
        <v>English</v>
      </c>
      <c r="E1000" t="s">
        <v>1023</v>
      </c>
      <c r="F1000">
        <v>27</v>
      </c>
      <c r="G1000" s="1">
        <v>41677</v>
      </c>
      <c r="H1000">
        <v>32</v>
      </c>
      <c r="I1000" t="s">
        <v>522</v>
      </c>
      <c r="J1000">
        <v>200</v>
      </c>
      <c r="K1000">
        <v>1</v>
      </c>
      <c r="L1000">
        <v>0</v>
      </c>
      <c r="M1000">
        <v>0</v>
      </c>
      <c r="N1000" t="s">
        <v>162</v>
      </c>
      <c r="O1000">
        <v>2014</v>
      </c>
      <c r="P1000" t="s">
        <v>18</v>
      </c>
    </row>
    <row r="1001" spans="1:16" x14ac:dyDescent="0.3">
      <c r="A1001">
        <v>583</v>
      </c>
      <c r="B1001" t="s">
        <v>520</v>
      </c>
      <c r="C1001" t="s">
        <v>1216</v>
      </c>
      <c r="D1001" t="str">
        <f>VLOOKUP(YouTube_University_Data_Final[[#This Row],[Title]],[1]!YouTube_University_Data_Final[[Title]:[Title_language]],2,FALSE)</f>
        <v>English</v>
      </c>
      <c r="E1001" t="s">
        <v>1023</v>
      </c>
      <c r="F1001">
        <v>27</v>
      </c>
      <c r="G1001" s="1">
        <v>41669</v>
      </c>
      <c r="H1001">
        <v>20</v>
      </c>
      <c r="I1001" t="s">
        <v>522</v>
      </c>
      <c r="J1001">
        <v>62</v>
      </c>
      <c r="K1001">
        <v>0</v>
      </c>
      <c r="L1001">
        <v>0</v>
      </c>
      <c r="M1001">
        <v>0</v>
      </c>
      <c r="N1001" t="s">
        <v>93</v>
      </c>
      <c r="O1001">
        <v>2014</v>
      </c>
      <c r="P1001" t="s">
        <v>18</v>
      </c>
    </row>
    <row r="1002" spans="1:16" x14ac:dyDescent="0.3">
      <c r="A1002">
        <v>584</v>
      </c>
      <c r="B1002" t="s">
        <v>520</v>
      </c>
      <c r="C1002" t="s">
        <v>1217</v>
      </c>
      <c r="D1002" t="str">
        <f>VLOOKUP(YouTube_University_Data_Final[[#This Row],[Title]],[1]!YouTube_University_Data_Final[[Title]:[Title_language]],2,FALSE)</f>
        <v>English</v>
      </c>
      <c r="E1002" t="s">
        <v>1218</v>
      </c>
      <c r="F1002">
        <v>27</v>
      </c>
      <c r="G1002" s="1">
        <v>41660</v>
      </c>
      <c r="H1002">
        <v>129</v>
      </c>
      <c r="I1002" t="s">
        <v>522</v>
      </c>
      <c r="J1002">
        <v>89</v>
      </c>
      <c r="K1002">
        <v>0</v>
      </c>
      <c r="L1002">
        <v>0</v>
      </c>
      <c r="M1002">
        <v>0</v>
      </c>
      <c r="N1002" t="s">
        <v>93</v>
      </c>
      <c r="O1002">
        <v>2014</v>
      </c>
      <c r="P1002" t="s">
        <v>18</v>
      </c>
    </row>
    <row r="1003" spans="1:16" x14ac:dyDescent="0.3">
      <c r="A1003">
        <v>585</v>
      </c>
      <c r="B1003" t="s">
        <v>520</v>
      </c>
      <c r="C1003" t="s">
        <v>1219</v>
      </c>
      <c r="D1003" t="str">
        <f>VLOOKUP(YouTube_University_Data_Final[[#This Row],[Title]],[1]!YouTube_University_Data_Final[[Title]:[Title_language]],2,FALSE)</f>
        <v>English</v>
      </c>
      <c r="E1003" t="s">
        <v>1220</v>
      </c>
      <c r="F1003">
        <v>27</v>
      </c>
      <c r="G1003" s="1">
        <v>41626</v>
      </c>
      <c r="H1003">
        <v>291</v>
      </c>
      <c r="I1003" t="s">
        <v>1221</v>
      </c>
      <c r="J1003">
        <v>2097</v>
      </c>
      <c r="K1003">
        <v>12</v>
      </c>
      <c r="L1003">
        <v>0</v>
      </c>
      <c r="M1003">
        <v>0</v>
      </c>
      <c r="N1003" t="s">
        <v>98</v>
      </c>
      <c r="O1003">
        <v>2013</v>
      </c>
      <c r="P1003" t="s">
        <v>18</v>
      </c>
    </row>
    <row r="1004" spans="1:16" x14ac:dyDescent="0.3">
      <c r="A1004">
        <v>586</v>
      </c>
      <c r="B1004" t="s">
        <v>520</v>
      </c>
      <c r="C1004" t="s">
        <v>1222</v>
      </c>
      <c r="D1004" t="str">
        <f>VLOOKUP(YouTube_University_Data_Final[[#This Row],[Title]],[1]!YouTube_University_Data_Final[[Title]:[Title_language]],2,FALSE)</f>
        <v>English</v>
      </c>
      <c r="E1004" t="s">
        <v>1223</v>
      </c>
      <c r="F1004">
        <v>27</v>
      </c>
      <c r="G1004" s="1">
        <v>41621</v>
      </c>
      <c r="H1004">
        <v>99</v>
      </c>
      <c r="I1004" t="s">
        <v>1224</v>
      </c>
      <c r="J1004">
        <v>222</v>
      </c>
      <c r="K1004">
        <v>4</v>
      </c>
      <c r="L1004">
        <v>0</v>
      </c>
      <c r="M1004">
        <v>1</v>
      </c>
      <c r="N1004" t="s">
        <v>98</v>
      </c>
      <c r="O1004">
        <v>2013</v>
      </c>
      <c r="P1004" t="s">
        <v>18</v>
      </c>
    </row>
    <row r="1005" spans="1:16" x14ac:dyDescent="0.3">
      <c r="A1005">
        <v>587</v>
      </c>
      <c r="B1005" t="s">
        <v>520</v>
      </c>
      <c r="C1005" t="s">
        <v>1225</v>
      </c>
      <c r="D1005" t="str">
        <f>VLOOKUP(YouTube_University_Data_Final[[#This Row],[Title]],[1]!YouTube_University_Data_Final[[Title]:[Title_language]],2,FALSE)</f>
        <v>English</v>
      </c>
      <c r="E1005" t="s">
        <v>1226</v>
      </c>
      <c r="F1005">
        <v>27</v>
      </c>
      <c r="G1005" s="1">
        <v>41612</v>
      </c>
      <c r="H1005">
        <v>21</v>
      </c>
      <c r="I1005" t="s">
        <v>522</v>
      </c>
      <c r="J1005">
        <v>197</v>
      </c>
      <c r="K1005">
        <v>0</v>
      </c>
      <c r="L1005">
        <v>0</v>
      </c>
      <c r="M1005">
        <v>0</v>
      </c>
      <c r="N1005" t="s">
        <v>98</v>
      </c>
      <c r="O1005">
        <v>2013</v>
      </c>
      <c r="P1005" t="s">
        <v>18</v>
      </c>
    </row>
    <row r="1006" spans="1:16" x14ac:dyDescent="0.3">
      <c r="A1006">
        <v>588</v>
      </c>
      <c r="B1006" t="s">
        <v>520</v>
      </c>
      <c r="C1006" t="s">
        <v>1227</v>
      </c>
      <c r="D1006" t="str">
        <f>VLOOKUP(YouTube_University_Data_Final[[#This Row],[Title]],[1]!YouTube_University_Data_Final[[Title]:[Title_language]],2,FALSE)</f>
        <v>English</v>
      </c>
      <c r="E1006" t="s">
        <v>1023</v>
      </c>
      <c r="F1006">
        <v>27</v>
      </c>
      <c r="G1006" s="1">
        <v>41589</v>
      </c>
      <c r="H1006">
        <v>28</v>
      </c>
      <c r="I1006" t="s">
        <v>522</v>
      </c>
      <c r="J1006">
        <v>1736</v>
      </c>
      <c r="K1006">
        <v>4</v>
      </c>
      <c r="L1006">
        <v>0</v>
      </c>
      <c r="M1006">
        <v>0</v>
      </c>
      <c r="N1006" t="s">
        <v>101</v>
      </c>
      <c r="O1006">
        <v>2013</v>
      </c>
      <c r="P1006" t="s">
        <v>18</v>
      </c>
    </row>
    <row r="1007" spans="1:16" x14ac:dyDescent="0.3">
      <c r="A1007">
        <v>589</v>
      </c>
      <c r="B1007" t="s">
        <v>520</v>
      </c>
      <c r="C1007" t="s">
        <v>1228</v>
      </c>
      <c r="D1007" t="str">
        <f>VLOOKUP(YouTube_University_Data_Final[[#This Row],[Title]],[1]!YouTube_University_Data_Final[[Title]:[Title_language]],2,FALSE)</f>
        <v>English</v>
      </c>
      <c r="E1007" t="s">
        <v>1023</v>
      </c>
      <c r="F1007">
        <v>27</v>
      </c>
      <c r="G1007" s="1">
        <v>41583</v>
      </c>
      <c r="H1007">
        <v>21</v>
      </c>
      <c r="I1007" t="s">
        <v>1229</v>
      </c>
      <c r="J1007">
        <v>86</v>
      </c>
      <c r="K1007">
        <v>0</v>
      </c>
      <c r="L1007">
        <v>0</v>
      </c>
      <c r="M1007">
        <v>0</v>
      </c>
      <c r="N1007" t="s">
        <v>101</v>
      </c>
      <c r="O1007">
        <v>2013</v>
      </c>
      <c r="P1007" t="s">
        <v>18</v>
      </c>
    </row>
    <row r="1008" spans="1:16" x14ac:dyDescent="0.3">
      <c r="A1008">
        <v>590</v>
      </c>
      <c r="B1008" t="s">
        <v>520</v>
      </c>
      <c r="C1008" t="s">
        <v>1230</v>
      </c>
      <c r="D1008" t="str">
        <f>VLOOKUP(YouTube_University_Data_Final[[#This Row],[Title]],[1]!YouTube_University_Data_Final[[Title]:[Title_language]],2,FALSE)</f>
        <v>English</v>
      </c>
      <c r="E1008" t="s">
        <v>1231</v>
      </c>
      <c r="F1008">
        <v>27</v>
      </c>
      <c r="G1008" s="1">
        <v>41583</v>
      </c>
      <c r="H1008">
        <v>20</v>
      </c>
      <c r="I1008" t="s">
        <v>522</v>
      </c>
      <c r="J1008">
        <v>421</v>
      </c>
      <c r="K1008">
        <v>0</v>
      </c>
      <c r="L1008">
        <v>0</v>
      </c>
      <c r="M1008">
        <v>0</v>
      </c>
      <c r="N1008" t="s">
        <v>101</v>
      </c>
      <c r="O1008">
        <v>2013</v>
      </c>
      <c r="P1008" t="s">
        <v>18</v>
      </c>
    </row>
    <row r="1009" spans="1:16" x14ac:dyDescent="0.3">
      <c r="A1009">
        <v>591</v>
      </c>
      <c r="B1009" t="s">
        <v>520</v>
      </c>
      <c r="C1009" t="s">
        <v>1232</v>
      </c>
      <c r="D1009" t="str">
        <f>VLOOKUP(YouTube_University_Data_Final[[#This Row],[Title]],[1]!YouTube_University_Data_Final[[Title]:[Title_language]],2,FALSE)</f>
        <v>English</v>
      </c>
      <c r="E1009" t="s">
        <v>1023</v>
      </c>
      <c r="F1009">
        <v>27</v>
      </c>
      <c r="G1009" s="1">
        <v>41577</v>
      </c>
      <c r="H1009">
        <v>41</v>
      </c>
      <c r="I1009" t="s">
        <v>1233</v>
      </c>
      <c r="J1009">
        <v>42</v>
      </c>
      <c r="K1009">
        <v>0</v>
      </c>
      <c r="L1009">
        <v>0</v>
      </c>
      <c r="M1009">
        <v>0</v>
      </c>
      <c r="N1009" t="s">
        <v>17</v>
      </c>
      <c r="O1009">
        <v>2013</v>
      </c>
      <c r="P1009" t="s">
        <v>18</v>
      </c>
    </row>
    <row r="1010" spans="1:16" x14ac:dyDescent="0.3">
      <c r="A1010">
        <v>592</v>
      </c>
      <c r="B1010" t="s">
        <v>520</v>
      </c>
      <c r="C1010" t="s">
        <v>1234</v>
      </c>
      <c r="D1010" t="str">
        <f>VLOOKUP(YouTube_University_Data_Final[[#This Row],[Title]],[1]!YouTube_University_Data_Final[[Title]:[Title_language]],2,FALSE)</f>
        <v>English</v>
      </c>
      <c r="E1010" t="s">
        <v>1023</v>
      </c>
      <c r="F1010">
        <v>27</v>
      </c>
      <c r="G1010" s="1">
        <v>41575</v>
      </c>
      <c r="H1010">
        <v>41</v>
      </c>
      <c r="I1010" t="s">
        <v>1233</v>
      </c>
      <c r="J1010">
        <v>50</v>
      </c>
      <c r="K1010">
        <v>0</v>
      </c>
      <c r="L1010">
        <v>0</v>
      </c>
      <c r="M1010">
        <v>0</v>
      </c>
      <c r="N1010" t="s">
        <v>17</v>
      </c>
      <c r="O1010">
        <v>2013</v>
      </c>
      <c r="P1010" t="s">
        <v>18</v>
      </c>
    </row>
    <row r="1011" spans="1:16" x14ac:dyDescent="0.3">
      <c r="A1011">
        <v>593</v>
      </c>
      <c r="B1011" t="s">
        <v>520</v>
      </c>
      <c r="C1011" t="s">
        <v>1235</v>
      </c>
      <c r="D1011" t="str">
        <f>VLOOKUP(YouTube_University_Data_Final[[#This Row],[Title]],[1]!YouTube_University_Data_Final[[Title]:[Title_language]],2,FALSE)</f>
        <v>English</v>
      </c>
      <c r="E1011" t="s">
        <v>1236</v>
      </c>
      <c r="F1011">
        <v>27</v>
      </c>
      <c r="G1011" s="1">
        <v>41572</v>
      </c>
      <c r="H1011">
        <v>21</v>
      </c>
      <c r="I1011" t="s">
        <v>522</v>
      </c>
      <c r="J1011">
        <v>230</v>
      </c>
      <c r="K1011">
        <v>0</v>
      </c>
      <c r="L1011">
        <v>0</v>
      </c>
      <c r="M1011">
        <v>0</v>
      </c>
      <c r="N1011" t="s">
        <v>17</v>
      </c>
      <c r="O1011">
        <v>2013</v>
      </c>
      <c r="P1011" t="s">
        <v>18</v>
      </c>
    </row>
    <row r="1012" spans="1:16" x14ac:dyDescent="0.3">
      <c r="A1012">
        <v>594</v>
      </c>
      <c r="B1012" t="s">
        <v>520</v>
      </c>
      <c r="C1012" t="s">
        <v>1237</v>
      </c>
      <c r="D1012" t="str">
        <f>VLOOKUP(YouTube_University_Data_Final[[#This Row],[Title]],[1]!YouTube_University_Data_Final[[Title]:[Title_language]],2,FALSE)</f>
        <v>English</v>
      </c>
      <c r="E1012" t="s">
        <v>1023</v>
      </c>
      <c r="F1012">
        <v>27</v>
      </c>
      <c r="G1012" s="1">
        <v>41562</v>
      </c>
      <c r="H1012">
        <v>76</v>
      </c>
      <c r="I1012" t="s">
        <v>522</v>
      </c>
      <c r="J1012">
        <v>424</v>
      </c>
      <c r="K1012">
        <v>1</v>
      </c>
      <c r="L1012">
        <v>0</v>
      </c>
      <c r="M1012">
        <v>0</v>
      </c>
      <c r="N1012" t="s">
        <v>17</v>
      </c>
      <c r="O1012">
        <v>2013</v>
      </c>
      <c r="P1012" t="s">
        <v>18</v>
      </c>
    </row>
    <row r="1013" spans="1:16" x14ac:dyDescent="0.3">
      <c r="A1013">
        <v>595</v>
      </c>
      <c r="B1013" t="s">
        <v>520</v>
      </c>
      <c r="C1013" t="s">
        <v>1238</v>
      </c>
      <c r="D1013" t="str">
        <f>VLOOKUP(YouTube_University_Data_Final[[#This Row],[Title]],[1]!YouTube_University_Data_Final[[Title]:[Title_language]],2,FALSE)</f>
        <v>English</v>
      </c>
      <c r="E1013" t="s">
        <v>1023</v>
      </c>
      <c r="F1013">
        <v>27</v>
      </c>
      <c r="G1013" s="1">
        <v>41554</v>
      </c>
      <c r="H1013">
        <v>36</v>
      </c>
      <c r="I1013" t="s">
        <v>522</v>
      </c>
      <c r="J1013">
        <v>86</v>
      </c>
      <c r="K1013">
        <v>0</v>
      </c>
      <c r="L1013">
        <v>0</v>
      </c>
      <c r="M1013">
        <v>4</v>
      </c>
      <c r="N1013" t="s">
        <v>17</v>
      </c>
      <c r="O1013">
        <v>2013</v>
      </c>
      <c r="P1013" t="s">
        <v>18</v>
      </c>
    </row>
    <row r="1014" spans="1:16" x14ac:dyDescent="0.3">
      <c r="A1014">
        <v>596</v>
      </c>
      <c r="B1014" t="s">
        <v>520</v>
      </c>
      <c r="C1014" t="s">
        <v>1239</v>
      </c>
      <c r="D1014" t="str">
        <f>VLOOKUP(YouTube_University_Data_Final[[#This Row],[Title]],[1]!YouTube_University_Data_Final[[Title]:[Title_language]],2,FALSE)</f>
        <v>English</v>
      </c>
      <c r="E1014" t="s">
        <v>1023</v>
      </c>
      <c r="F1014">
        <v>27</v>
      </c>
      <c r="G1014" s="1">
        <v>41554</v>
      </c>
      <c r="H1014">
        <v>53</v>
      </c>
      <c r="I1014" t="s">
        <v>522</v>
      </c>
      <c r="J1014">
        <v>176</v>
      </c>
      <c r="K1014">
        <v>0</v>
      </c>
      <c r="L1014">
        <v>0</v>
      </c>
      <c r="M1014">
        <v>0</v>
      </c>
      <c r="N1014" t="s">
        <v>17</v>
      </c>
      <c r="O1014">
        <v>2013</v>
      </c>
      <c r="P1014" t="s">
        <v>18</v>
      </c>
    </row>
    <row r="1015" spans="1:16" x14ac:dyDescent="0.3">
      <c r="A1015">
        <v>597</v>
      </c>
      <c r="B1015" t="s">
        <v>520</v>
      </c>
      <c r="C1015" t="s">
        <v>1240</v>
      </c>
      <c r="D1015" t="str">
        <f>VLOOKUP(YouTube_University_Data_Final[[#This Row],[Title]],[1]!YouTube_University_Data_Final[[Title]:[Title_language]],2,FALSE)</f>
        <v>English</v>
      </c>
      <c r="E1015" t="s">
        <v>1023</v>
      </c>
      <c r="F1015">
        <v>27</v>
      </c>
      <c r="G1015" s="1">
        <v>41554</v>
      </c>
      <c r="H1015">
        <v>56</v>
      </c>
      <c r="I1015" t="s">
        <v>522</v>
      </c>
      <c r="J1015">
        <v>1590</v>
      </c>
      <c r="K1015">
        <v>15</v>
      </c>
      <c r="L1015">
        <v>0</v>
      </c>
      <c r="M1015">
        <v>0</v>
      </c>
      <c r="N1015" t="s">
        <v>17</v>
      </c>
      <c r="O1015">
        <v>2013</v>
      </c>
      <c r="P1015" t="s">
        <v>18</v>
      </c>
    </row>
    <row r="1016" spans="1:16" x14ac:dyDescent="0.3">
      <c r="A1016">
        <v>598</v>
      </c>
      <c r="B1016" t="s">
        <v>520</v>
      </c>
      <c r="C1016" t="s">
        <v>1241</v>
      </c>
      <c r="D1016" t="str">
        <f>VLOOKUP(YouTube_University_Data_Final[[#This Row],[Title]],[1]!YouTube_University_Data_Final[[Title]:[Title_language]],2,FALSE)</f>
        <v>English</v>
      </c>
      <c r="E1016" t="s">
        <v>1023</v>
      </c>
      <c r="F1016">
        <v>27</v>
      </c>
      <c r="G1016" s="1">
        <v>41554</v>
      </c>
      <c r="H1016">
        <v>47</v>
      </c>
      <c r="I1016" t="s">
        <v>522</v>
      </c>
      <c r="J1016">
        <v>129</v>
      </c>
      <c r="K1016">
        <v>1</v>
      </c>
      <c r="L1016">
        <v>0</v>
      </c>
      <c r="M1016">
        <v>0</v>
      </c>
      <c r="N1016" t="s">
        <v>17</v>
      </c>
      <c r="O1016">
        <v>2013</v>
      </c>
      <c r="P1016" t="s">
        <v>18</v>
      </c>
    </row>
    <row r="1017" spans="1:16" x14ac:dyDescent="0.3">
      <c r="A1017">
        <v>599</v>
      </c>
      <c r="B1017" t="s">
        <v>520</v>
      </c>
      <c r="C1017" t="s">
        <v>1242</v>
      </c>
      <c r="D1017" t="str">
        <f>VLOOKUP(YouTube_University_Data_Final[[#This Row],[Title]],[1]!YouTube_University_Data_Final[[Title]:[Title_language]],2,FALSE)</f>
        <v>English</v>
      </c>
      <c r="E1017" t="s">
        <v>1023</v>
      </c>
      <c r="F1017">
        <v>27</v>
      </c>
      <c r="G1017" s="1">
        <v>41550</v>
      </c>
      <c r="H1017">
        <v>21</v>
      </c>
      <c r="I1017" t="s">
        <v>522</v>
      </c>
      <c r="J1017">
        <v>137</v>
      </c>
      <c r="K1017">
        <v>0</v>
      </c>
      <c r="L1017">
        <v>0</v>
      </c>
      <c r="M1017">
        <v>0</v>
      </c>
      <c r="N1017" t="s">
        <v>17</v>
      </c>
      <c r="O1017">
        <v>2013</v>
      </c>
      <c r="P1017" t="s">
        <v>18</v>
      </c>
    </row>
    <row r="1018" spans="1:16" x14ac:dyDescent="0.3">
      <c r="A1018">
        <v>600</v>
      </c>
      <c r="B1018" t="s">
        <v>520</v>
      </c>
      <c r="C1018" t="s">
        <v>1243</v>
      </c>
      <c r="D1018" t="str">
        <f>VLOOKUP(YouTube_University_Data_Final[[#This Row],[Title]],[1]!YouTube_University_Data_Final[[Title]:[Title_language]],2,FALSE)</f>
        <v>English</v>
      </c>
      <c r="E1018" t="s">
        <v>1023</v>
      </c>
      <c r="F1018">
        <v>27</v>
      </c>
      <c r="G1018" s="1">
        <v>41547</v>
      </c>
      <c r="H1018">
        <v>32</v>
      </c>
      <c r="I1018" t="s">
        <v>522</v>
      </c>
      <c r="J1018">
        <v>547</v>
      </c>
      <c r="K1018">
        <v>1</v>
      </c>
      <c r="L1018">
        <v>0</v>
      </c>
      <c r="M1018">
        <v>0</v>
      </c>
      <c r="N1018" t="s">
        <v>21</v>
      </c>
      <c r="O1018">
        <v>2013</v>
      </c>
      <c r="P1018" t="s">
        <v>18</v>
      </c>
    </row>
    <row r="1019" spans="1:16" x14ac:dyDescent="0.3">
      <c r="A1019">
        <v>601</v>
      </c>
      <c r="B1019" t="s">
        <v>520</v>
      </c>
      <c r="C1019" t="s">
        <v>1244</v>
      </c>
      <c r="D1019" t="str">
        <f>VLOOKUP(YouTube_University_Data_Final[[#This Row],[Title]],[1]!YouTube_University_Data_Final[[Title]:[Title_language]],2,FALSE)</f>
        <v>English</v>
      </c>
      <c r="E1019" t="s">
        <v>1023</v>
      </c>
      <c r="F1019">
        <v>27</v>
      </c>
      <c r="G1019" s="1">
        <v>41547</v>
      </c>
      <c r="H1019">
        <v>76</v>
      </c>
      <c r="I1019" t="s">
        <v>522</v>
      </c>
      <c r="J1019">
        <v>385</v>
      </c>
      <c r="K1019">
        <v>2</v>
      </c>
      <c r="L1019">
        <v>0</v>
      </c>
      <c r="M1019">
        <v>0</v>
      </c>
      <c r="N1019" t="s">
        <v>21</v>
      </c>
      <c r="O1019">
        <v>2013</v>
      </c>
      <c r="P1019" t="s">
        <v>18</v>
      </c>
    </row>
    <row r="1020" spans="1:16" x14ac:dyDescent="0.3">
      <c r="A1020">
        <v>602</v>
      </c>
      <c r="B1020" t="s">
        <v>520</v>
      </c>
      <c r="C1020" t="s">
        <v>1245</v>
      </c>
      <c r="D1020" t="str">
        <f>VLOOKUP(YouTube_University_Data_Final[[#This Row],[Title]],[1]!YouTube_University_Data_Final[[Title]:[Title_language]],2,FALSE)</f>
        <v>English</v>
      </c>
      <c r="E1020" t="s">
        <v>1023</v>
      </c>
      <c r="F1020">
        <v>27</v>
      </c>
      <c r="G1020" s="1">
        <v>41547</v>
      </c>
      <c r="H1020">
        <v>45</v>
      </c>
      <c r="I1020" t="s">
        <v>522</v>
      </c>
      <c r="J1020">
        <v>62</v>
      </c>
      <c r="K1020">
        <v>0</v>
      </c>
      <c r="L1020">
        <v>0</v>
      </c>
      <c r="M1020">
        <v>0</v>
      </c>
      <c r="N1020" t="s">
        <v>21</v>
      </c>
      <c r="O1020">
        <v>2013</v>
      </c>
      <c r="P1020" t="s">
        <v>18</v>
      </c>
    </row>
    <row r="1021" spans="1:16" x14ac:dyDescent="0.3">
      <c r="A1021">
        <v>603</v>
      </c>
      <c r="B1021" t="s">
        <v>520</v>
      </c>
      <c r="C1021" t="s">
        <v>1246</v>
      </c>
      <c r="D1021" t="str">
        <f>VLOOKUP(YouTube_University_Data_Final[[#This Row],[Title]],[1]!YouTube_University_Data_Final[[Title]:[Title_language]],2,FALSE)</f>
        <v>English</v>
      </c>
      <c r="E1021" t="s">
        <v>1023</v>
      </c>
      <c r="F1021">
        <v>27</v>
      </c>
      <c r="G1021" s="1">
        <v>41540</v>
      </c>
      <c r="H1021">
        <v>50</v>
      </c>
      <c r="I1021" t="s">
        <v>522</v>
      </c>
      <c r="J1021">
        <v>289</v>
      </c>
      <c r="K1021">
        <v>0</v>
      </c>
      <c r="L1021">
        <v>0</v>
      </c>
      <c r="M1021">
        <v>0</v>
      </c>
      <c r="N1021" t="s">
        <v>21</v>
      </c>
      <c r="O1021">
        <v>2013</v>
      </c>
      <c r="P1021" t="s">
        <v>18</v>
      </c>
    </row>
    <row r="1022" spans="1:16" x14ac:dyDescent="0.3">
      <c r="A1022">
        <v>604</v>
      </c>
      <c r="B1022" t="s">
        <v>520</v>
      </c>
      <c r="C1022" t="s">
        <v>1247</v>
      </c>
      <c r="D1022" t="str">
        <f>VLOOKUP(YouTube_University_Data_Final[[#This Row],[Title]],[1]!YouTube_University_Data_Final[[Title]:[Title_language]],2,FALSE)</f>
        <v>English</v>
      </c>
      <c r="E1022" t="s">
        <v>1023</v>
      </c>
      <c r="F1022">
        <v>27</v>
      </c>
      <c r="G1022" s="1">
        <v>41540</v>
      </c>
      <c r="H1022">
        <v>60</v>
      </c>
      <c r="I1022" t="s">
        <v>522</v>
      </c>
      <c r="J1022">
        <v>217</v>
      </c>
      <c r="K1022">
        <v>0</v>
      </c>
      <c r="L1022">
        <v>0</v>
      </c>
      <c r="M1022">
        <v>0</v>
      </c>
      <c r="N1022" t="s">
        <v>21</v>
      </c>
      <c r="O1022">
        <v>2013</v>
      </c>
      <c r="P1022" t="s">
        <v>18</v>
      </c>
    </row>
    <row r="1023" spans="1:16" x14ac:dyDescent="0.3">
      <c r="A1023">
        <v>605</v>
      </c>
      <c r="B1023" t="s">
        <v>520</v>
      </c>
      <c r="C1023" t="s">
        <v>1248</v>
      </c>
      <c r="D1023" t="str">
        <f>VLOOKUP(YouTube_University_Data_Final[[#This Row],[Title]],[1]!YouTube_University_Data_Final[[Title]:[Title_language]],2,FALSE)</f>
        <v>English</v>
      </c>
      <c r="E1023" t="s">
        <v>1023</v>
      </c>
      <c r="F1023">
        <v>27</v>
      </c>
      <c r="G1023" s="1">
        <v>41540</v>
      </c>
      <c r="H1023">
        <v>51</v>
      </c>
      <c r="I1023" t="s">
        <v>522</v>
      </c>
      <c r="J1023">
        <v>388</v>
      </c>
      <c r="K1023">
        <v>0</v>
      </c>
      <c r="L1023">
        <v>0</v>
      </c>
      <c r="M1023">
        <v>0</v>
      </c>
      <c r="N1023" t="s">
        <v>21</v>
      </c>
      <c r="O1023">
        <v>2013</v>
      </c>
      <c r="P1023" t="s">
        <v>18</v>
      </c>
    </row>
    <row r="1024" spans="1:16" x14ac:dyDescent="0.3">
      <c r="A1024">
        <v>606</v>
      </c>
      <c r="B1024" t="s">
        <v>520</v>
      </c>
      <c r="C1024" t="s">
        <v>430</v>
      </c>
      <c r="D1024" t="str">
        <f>VLOOKUP(YouTube_University_Data_Final[[#This Row],[Title]],[1]!YouTube_University_Data_Final[[Title]:[Title_language]],2,FALSE)</f>
        <v>English</v>
      </c>
      <c r="E1024" t="s">
        <v>1023</v>
      </c>
      <c r="F1024">
        <v>27</v>
      </c>
      <c r="G1024" s="1">
        <v>41535</v>
      </c>
      <c r="H1024">
        <v>15</v>
      </c>
      <c r="I1024" t="s">
        <v>522</v>
      </c>
      <c r="J1024">
        <v>1749</v>
      </c>
      <c r="K1024">
        <v>5</v>
      </c>
      <c r="L1024">
        <v>0</v>
      </c>
      <c r="M1024">
        <v>0</v>
      </c>
      <c r="N1024" t="s">
        <v>21</v>
      </c>
      <c r="O1024">
        <v>2013</v>
      </c>
      <c r="P1024" t="s">
        <v>18</v>
      </c>
    </row>
    <row r="1025" spans="1:16" x14ac:dyDescent="0.3">
      <c r="A1025">
        <v>607</v>
      </c>
      <c r="B1025" t="s">
        <v>520</v>
      </c>
      <c r="C1025" t="s">
        <v>1249</v>
      </c>
      <c r="D1025" t="str">
        <f>VLOOKUP(YouTube_University_Data_Final[[#This Row],[Title]],[1]!YouTube_University_Data_Final[[Title]:[Title_language]],2,FALSE)</f>
        <v>English</v>
      </c>
      <c r="E1025" t="s">
        <v>1250</v>
      </c>
      <c r="F1025">
        <v>27</v>
      </c>
      <c r="G1025" s="1">
        <v>41534</v>
      </c>
      <c r="H1025">
        <v>65</v>
      </c>
      <c r="I1025" t="s">
        <v>1251</v>
      </c>
      <c r="J1025">
        <v>10405</v>
      </c>
      <c r="K1025">
        <v>18</v>
      </c>
      <c r="L1025">
        <v>0</v>
      </c>
      <c r="M1025">
        <v>3</v>
      </c>
      <c r="N1025" t="s">
        <v>21</v>
      </c>
      <c r="O1025">
        <v>2013</v>
      </c>
      <c r="P1025" t="s">
        <v>18</v>
      </c>
    </row>
    <row r="1026" spans="1:16" x14ac:dyDescent="0.3">
      <c r="A1026">
        <v>608</v>
      </c>
      <c r="B1026" t="s">
        <v>520</v>
      </c>
      <c r="C1026" t="s">
        <v>1252</v>
      </c>
      <c r="D1026" t="str">
        <f>VLOOKUP(YouTube_University_Data_Final[[#This Row],[Title]],[1]!YouTube_University_Data_Final[[Title]:[Title_language]],2,FALSE)</f>
        <v>English</v>
      </c>
      <c r="E1026" t="s">
        <v>1212</v>
      </c>
      <c r="F1026">
        <v>27</v>
      </c>
      <c r="G1026" s="1">
        <v>41534</v>
      </c>
      <c r="H1026">
        <v>11</v>
      </c>
      <c r="I1026" t="s">
        <v>522</v>
      </c>
      <c r="J1026">
        <v>878</v>
      </c>
      <c r="K1026">
        <v>2</v>
      </c>
      <c r="L1026">
        <v>0</v>
      </c>
      <c r="M1026">
        <v>0</v>
      </c>
      <c r="N1026" t="s">
        <v>21</v>
      </c>
      <c r="O1026">
        <v>2013</v>
      </c>
      <c r="P1026" t="s">
        <v>18</v>
      </c>
    </row>
    <row r="1027" spans="1:16" x14ac:dyDescent="0.3">
      <c r="A1027">
        <v>609</v>
      </c>
      <c r="B1027" t="s">
        <v>520</v>
      </c>
      <c r="C1027" t="s">
        <v>1253</v>
      </c>
      <c r="D1027" t="str">
        <f>VLOOKUP(YouTube_University_Data_Final[[#This Row],[Title]],[1]!YouTube_University_Data_Final[[Title]:[Title_language]],2,FALSE)</f>
        <v>English</v>
      </c>
      <c r="E1027" t="s">
        <v>1254</v>
      </c>
      <c r="F1027">
        <v>27</v>
      </c>
      <c r="G1027" s="1">
        <v>41530</v>
      </c>
      <c r="H1027">
        <v>121</v>
      </c>
      <c r="I1027" t="s">
        <v>522</v>
      </c>
      <c r="J1027">
        <v>1451</v>
      </c>
      <c r="K1027">
        <v>3</v>
      </c>
      <c r="L1027">
        <v>0</v>
      </c>
      <c r="M1027">
        <v>0</v>
      </c>
      <c r="N1027" t="s">
        <v>21</v>
      </c>
      <c r="O1027">
        <v>2013</v>
      </c>
      <c r="P1027" t="s">
        <v>18</v>
      </c>
    </row>
    <row r="1028" spans="1:16" x14ac:dyDescent="0.3">
      <c r="A1028">
        <v>610</v>
      </c>
      <c r="B1028" t="s">
        <v>520</v>
      </c>
      <c r="C1028" t="s">
        <v>1255</v>
      </c>
      <c r="D1028" t="str">
        <f>VLOOKUP(YouTube_University_Data_Final[[#This Row],[Title]],[1]!YouTube_University_Data_Final[[Title]:[Title_language]],2,FALSE)</f>
        <v>English</v>
      </c>
      <c r="E1028" t="s">
        <v>1256</v>
      </c>
      <c r="F1028">
        <v>27</v>
      </c>
      <c r="G1028" s="1">
        <v>41520</v>
      </c>
      <c r="H1028">
        <v>119</v>
      </c>
      <c r="I1028" t="s">
        <v>522</v>
      </c>
      <c r="J1028">
        <v>881</v>
      </c>
      <c r="K1028">
        <v>2</v>
      </c>
      <c r="L1028">
        <v>0</v>
      </c>
      <c r="M1028">
        <v>0</v>
      </c>
      <c r="N1028" t="s">
        <v>21</v>
      </c>
      <c r="O1028">
        <v>2013</v>
      </c>
      <c r="P1028" t="s">
        <v>18</v>
      </c>
    </row>
    <row r="1029" spans="1:16" x14ac:dyDescent="0.3">
      <c r="A1029">
        <v>611</v>
      </c>
      <c r="B1029" t="s">
        <v>520</v>
      </c>
      <c r="C1029" t="s">
        <v>1257</v>
      </c>
      <c r="D1029" t="str">
        <f>VLOOKUP(YouTube_University_Data_Final[[#This Row],[Title]],[1]!YouTube_University_Data_Final[[Title]:[Title_language]],2,FALSE)</f>
        <v>English</v>
      </c>
      <c r="E1029" t="s">
        <v>1212</v>
      </c>
      <c r="F1029">
        <v>27</v>
      </c>
      <c r="G1029" s="1">
        <v>41514</v>
      </c>
      <c r="H1029">
        <v>53</v>
      </c>
      <c r="I1029" t="s">
        <v>1258</v>
      </c>
      <c r="J1029">
        <v>165</v>
      </c>
      <c r="K1029">
        <v>3</v>
      </c>
      <c r="L1029">
        <v>0</v>
      </c>
      <c r="M1029">
        <v>0</v>
      </c>
      <c r="N1029" t="s">
        <v>48</v>
      </c>
      <c r="O1029">
        <v>2013</v>
      </c>
      <c r="P1029" t="s">
        <v>18</v>
      </c>
    </row>
    <row r="1030" spans="1:16" x14ac:dyDescent="0.3">
      <c r="A1030">
        <v>612</v>
      </c>
      <c r="B1030" t="s">
        <v>520</v>
      </c>
      <c r="C1030" t="s">
        <v>1259</v>
      </c>
      <c r="D1030" t="str">
        <f>VLOOKUP(YouTube_University_Data_Final[[#This Row],[Title]],[1]!YouTube_University_Data_Final[[Title]:[Title_language]],2,FALSE)</f>
        <v>English</v>
      </c>
      <c r="E1030" t="s">
        <v>1260</v>
      </c>
      <c r="F1030">
        <v>27</v>
      </c>
      <c r="G1030" s="1">
        <v>41501</v>
      </c>
      <c r="H1030">
        <v>86</v>
      </c>
      <c r="I1030" t="s">
        <v>522</v>
      </c>
      <c r="J1030">
        <v>84</v>
      </c>
      <c r="K1030">
        <v>3</v>
      </c>
      <c r="L1030">
        <v>0</v>
      </c>
      <c r="M1030">
        <v>0</v>
      </c>
      <c r="N1030" t="s">
        <v>48</v>
      </c>
      <c r="O1030">
        <v>2013</v>
      </c>
      <c r="P1030" t="s">
        <v>18</v>
      </c>
    </row>
    <row r="1031" spans="1:16" x14ac:dyDescent="0.3">
      <c r="A1031">
        <v>613</v>
      </c>
      <c r="B1031" t="s">
        <v>520</v>
      </c>
      <c r="C1031" t="s">
        <v>1261</v>
      </c>
      <c r="D1031" t="str">
        <f>VLOOKUP(YouTube_University_Data_Final[[#This Row],[Title]],[1]!YouTube_University_Data_Final[[Title]:[Title_language]],2,FALSE)</f>
        <v>English</v>
      </c>
      <c r="E1031" t="s">
        <v>1262</v>
      </c>
      <c r="F1031">
        <v>27</v>
      </c>
      <c r="G1031" s="1">
        <v>41498</v>
      </c>
      <c r="H1031">
        <v>11</v>
      </c>
      <c r="I1031" t="s">
        <v>522</v>
      </c>
      <c r="J1031">
        <v>871</v>
      </c>
      <c r="K1031">
        <v>0</v>
      </c>
      <c r="L1031">
        <v>0</v>
      </c>
      <c r="M1031">
        <v>0</v>
      </c>
      <c r="N1031" t="s">
        <v>48</v>
      </c>
      <c r="O1031">
        <v>2013</v>
      </c>
      <c r="P1031" t="s">
        <v>18</v>
      </c>
    </row>
    <row r="1032" spans="1:16" x14ac:dyDescent="0.3">
      <c r="A1032">
        <v>614</v>
      </c>
      <c r="B1032" t="s">
        <v>520</v>
      </c>
      <c r="C1032" t="s">
        <v>1263</v>
      </c>
      <c r="D1032" t="str">
        <f>VLOOKUP(YouTube_University_Data_Final[[#This Row],[Title]],[1]!YouTube_University_Data_Final[[Title]:[Title_language]],2,FALSE)</f>
        <v>English</v>
      </c>
      <c r="E1032" t="s">
        <v>1264</v>
      </c>
      <c r="F1032">
        <v>27</v>
      </c>
      <c r="G1032" s="1">
        <v>41485</v>
      </c>
      <c r="H1032">
        <v>106</v>
      </c>
      <c r="I1032" t="s">
        <v>2944</v>
      </c>
      <c r="J1032">
        <v>199</v>
      </c>
      <c r="K1032">
        <v>0</v>
      </c>
      <c r="L1032">
        <v>0</v>
      </c>
      <c r="M1032">
        <v>0</v>
      </c>
      <c r="N1032" t="s">
        <v>56</v>
      </c>
      <c r="O1032">
        <v>2013</v>
      </c>
      <c r="P1032" t="s">
        <v>18</v>
      </c>
    </row>
    <row r="1033" spans="1:16" x14ac:dyDescent="0.3">
      <c r="A1033">
        <v>615</v>
      </c>
      <c r="B1033" t="s">
        <v>520</v>
      </c>
      <c r="C1033" t="s">
        <v>1265</v>
      </c>
      <c r="D1033" t="str">
        <f>VLOOKUP(YouTube_University_Data_Final[[#This Row],[Title]],[1]!YouTube_University_Data_Final[[Title]:[Title_language]],2,FALSE)</f>
        <v>English</v>
      </c>
      <c r="E1033" t="s">
        <v>1266</v>
      </c>
      <c r="F1033">
        <v>27</v>
      </c>
      <c r="G1033" s="1">
        <v>41485</v>
      </c>
      <c r="H1033">
        <v>306</v>
      </c>
      <c r="I1033" t="s">
        <v>2944</v>
      </c>
      <c r="J1033">
        <v>586</v>
      </c>
      <c r="K1033">
        <v>4</v>
      </c>
      <c r="L1033">
        <v>0</v>
      </c>
      <c r="M1033">
        <v>1</v>
      </c>
      <c r="N1033" t="s">
        <v>56</v>
      </c>
      <c r="O1033">
        <v>2013</v>
      </c>
      <c r="P1033" t="s">
        <v>18</v>
      </c>
    </row>
    <row r="1034" spans="1:16" x14ac:dyDescent="0.3">
      <c r="A1034">
        <v>616</v>
      </c>
      <c r="B1034" t="s">
        <v>520</v>
      </c>
      <c r="C1034" t="s">
        <v>1267</v>
      </c>
      <c r="D1034" t="str">
        <f>VLOOKUP(YouTube_University_Data_Final[[#This Row],[Title]],[1]!YouTube_University_Data_Final[[Title]:[Title_language]],2,FALSE)</f>
        <v>English</v>
      </c>
      <c r="E1034" t="s">
        <v>1268</v>
      </c>
      <c r="F1034">
        <v>27</v>
      </c>
      <c r="G1034" s="1">
        <v>41485</v>
      </c>
      <c r="H1034">
        <v>484</v>
      </c>
      <c r="I1034" t="s">
        <v>2944</v>
      </c>
      <c r="J1034">
        <v>387</v>
      </c>
      <c r="K1034">
        <v>0</v>
      </c>
      <c r="L1034">
        <v>0</v>
      </c>
      <c r="M1034">
        <v>0</v>
      </c>
      <c r="N1034" t="s">
        <v>56</v>
      </c>
      <c r="O1034">
        <v>2013</v>
      </c>
      <c r="P1034" t="s">
        <v>18</v>
      </c>
    </row>
    <row r="1035" spans="1:16" x14ac:dyDescent="0.3">
      <c r="A1035">
        <v>617</v>
      </c>
      <c r="B1035" t="s">
        <v>520</v>
      </c>
      <c r="C1035" t="s">
        <v>1269</v>
      </c>
      <c r="D1035" t="str">
        <f>VLOOKUP(YouTube_University_Data_Final[[#This Row],[Title]],[1]!YouTube_University_Data_Final[[Title]:[Title_language]],2,FALSE)</f>
        <v>English</v>
      </c>
      <c r="E1035" t="s">
        <v>1270</v>
      </c>
      <c r="F1035">
        <v>27</v>
      </c>
      <c r="G1035" s="1">
        <v>41485</v>
      </c>
      <c r="H1035">
        <v>417</v>
      </c>
      <c r="I1035" t="s">
        <v>2944</v>
      </c>
      <c r="J1035">
        <v>478</v>
      </c>
      <c r="K1035">
        <v>2</v>
      </c>
      <c r="L1035">
        <v>0</v>
      </c>
      <c r="M1035">
        <v>0</v>
      </c>
      <c r="N1035" t="s">
        <v>56</v>
      </c>
      <c r="O1035">
        <v>2013</v>
      </c>
      <c r="P1035" t="s">
        <v>18</v>
      </c>
    </row>
    <row r="1036" spans="1:16" x14ac:dyDescent="0.3">
      <c r="A1036">
        <v>618</v>
      </c>
      <c r="B1036" t="s">
        <v>520</v>
      </c>
      <c r="C1036" t="s">
        <v>1271</v>
      </c>
      <c r="D1036" t="str">
        <f>VLOOKUP(YouTube_University_Data_Final[[#This Row],[Title]],[1]!YouTube_University_Data_Final[[Title]:[Title_language]],2,FALSE)</f>
        <v>English</v>
      </c>
      <c r="E1036" t="s">
        <v>1272</v>
      </c>
      <c r="F1036">
        <v>27</v>
      </c>
      <c r="G1036" s="1">
        <v>41485</v>
      </c>
      <c r="H1036">
        <v>21</v>
      </c>
      <c r="I1036" t="s">
        <v>522</v>
      </c>
      <c r="J1036">
        <v>159</v>
      </c>
      <c r="K1036">
        <v>1</v>
      </c>
      <c r="L1036">
        <v>0</v>
      </c>
      <c r="M1036">
        <v>0</v>
      </c>
      <c r="N1036" t="s">
        <v>56</v>
      </c>
      <c r="O1036">
        <v>2013</v>
      </c>
      <c r="P1036" t="s">
        <v>18</v>
      </c>
    </row>
    <row r="1037" spans="1:16" x14ac:dyDescent="0.3">
      <c r="A1037">
        <v>619</v>
      </c>
      <c r="B1037" t="s">
        <v>520</v>
      </c>
      <c r="C1037" t="s">
        <v>1273</v>
      </c>
      <c r="D1037" t="str">
        <f>VLOOKUP(YouTube_University_Data_Final[[#This Row],[Title]],[1]!YouTube_University_Data_Final[[Title]:[Title_language]],2,FALSE)</f>
        <v>English</v>
      </c>
      <c r="E1037" t="s">
        <v>1274</v>
      </c>
      <c r="F1037">
        <v>27</v>
      </c>
      <c r="G1037" s="1">
        <v>41485</v>
      </c>
      <c r="H1037">
        <v>21</v>
      </c>
      <c r="I1037" t="s">
        <v>522</v>
      </c>
      <c r="J1037">
        <v>74</v>
      </c>
      <c r="K1037">
        <v>0</v>
      </c>
      <c r="L1037">
        <v>0</v>
      </c>
      <c r="M1037">
        <v>0</v>
      </c>
      <c r="N1037" t="s">
        <v>56</v>
      </c>
      <c r="O1037">
        <v>2013</v>
      </c>
      <c r="P1037" t="s">
        <v>18</v>
      </c>
    </row>
    <row r="1038" spans="1:16" x14ac:dyDescent="0.3">
      <c r="A1038">
        <v>620</v>
      </c>
      <c r="B1038" t="s">
        <v>520</v>
      </c>
      <c r="C1038" t="s">
        <v>1275</v>
      </c>
      <c r="D1038" t="str">
        <f>VLOOKUP(YouTube_University_Data_Final[[#This Row],[Title]],[1]!YouTube_University_Data_Final[[Title]:[Title_language]],2,FALSE)</f>
        <v>English</v>
      </c>
      <c r="E1038" t="s">
        <v>1212</v>
      </c>
      <c r="F1038">
        <v>27</v>
      </c>
      <c r="G1038" s="1">
        <v>41485</v>
      </c>
      <c r="H1038">
        <v>18</v>
      </c>
      <c r="I1038" t="s">
        <v>522</v>
      </c>
      <c r="J1038">
        <v>121</v>
      </c>
      <c r="K1038">
        <v>0</v>
      </c>
      <c r="L1038">
        <v>0</v>
      </c>
      <c r="M1038">
        <v>0</v>
      </c>
      <c r="N1038" t="s">
        <v>56</v>
      </c>
      <c r="O1038">
        <v>2013</v>
      </c>
      <c r="P1038" t="s">
        <v>18</v>
      </c>
    </row>
    <row r="1039" spans="1:16" x14ac:dyDescent="0.3">
      <c r="A1039">
        <v>621</v>
      </c>
      <c r="B1039" t="s">
        <v>520</v>
      </c>
      <c r="C1039" t="s">
        <v>1276</v>
      </c>
      <c r="D1039" t="str">
        <f>VLOOKUP(YouTube_University_Data_Final[[#This Row],[Title]],[1]!YouTube_University_Data_Final[[Title]:[Title_language]],2,FALSE)</f>
        <v>English</v>
      </c>
      <c r="E1039" t="s">
        <v>1212</v>
      </c>
      <c r="F1039">
        <v>27</v>
      </c>
      <c r="G1039" s="1">
        <v>41485</v>
      </c>
      <c r="H1039">
        <v>19</v>
      </c>
      <c r="I1039" t="s">
        <v>522</v>
      </c>
      <c r="J1039">
        <v>101</v>
      </c>
      <c r="K1039">
        <v>0</v>
      </c>
      <c r="L1039">
        <v>0</v>
      </c>
      <c r="M1039">
        <v>0</v>
      </c>
      <c r="N1039" t="s">
        <v>56</v>
      </c>
      <c r="O1039">
        <v>2013</v>
      </c>
      <c r="P1039" t="s">
        <v>18</v>
      </c>
    </row>
    <row r="1040" spans="1:16" x14ac:dyDescent="0.3">
      <c r="A1040">
        <v>622</v>
      </c>
      <c r="B1040" t="s">
        <v>520</v>
      </c>
      <c r="C1040" t="s">
        <v>1277</v>
      </c>
      <c r="D1040" t="str">
        <f>VLOOKUP(YouTube_University_Data_Final[[#This Row],[Title]],[1]!YouTube_University_Data_Final[[Title]:[Title_language]],2,FALSE)</f>
        <v>English</v>
      </c>
      <c r="E1040" t="s">
        <v>1278</v>
      </c>
      <c r="F1040">
        <v>27</v>
      </c>
      <c r="G1040" s="1">
        <v>41485</v>
      </c>
      <c r="H1040">
        <v>21</v>
      </c>
      <c r="I1040" t="s">
        <v>522</v>
      </c>
      <c r="J1040">
        <v>273</v>
      </c>
      <c r="K1040">
        <v>0</v>
      </c>
      <c r="L1040">
        <v>0</v>
      </c>
      <c r="M1040">
        <v>0</v>
      </c>
      <c r="N1040" t="s">
        <v>56</v>
      </c>
      <c r="O1040">
        <v>2013</v>
      </c>
      <c r="P1040" t="s">
        <v>18</v>
      </c>
    </row>
    <row r="1041" spans="1:16" x14ac:dyDescent="0.3">
      <c r="A1041">
        <v>623</v>
      </c>
      <c r="B1041" t="s">
        <v>520</v>
      </c>
      <c r="C1041" t="s">
        <v>1279</v>
      </c>
      <c r="D1041" t="str">
        <f>VLOOKUP(YouTube_University_Data_Final[[#This Row],[Title]],[1]!YouTube_University_Data_Final[[Title]:[Title_language]],2,FALSE)</f>
        <v>English</v>
      </c>
      <c r="E1041" t="s">
        <v>1280</v>
      </c>
      <c r="F1041">
        <v>27</v>
      </c>
      <c r="G1041" s="1">
        <v>41473</v>
      </c>
      <c r="H1041">
        <v>81</v>
      </c>
      <c r="I1041" t="s">
        <v>1281</v>
      </c>
      <c r="J1041">
        <v>168</v>
      </c>
      <c r="K1041">
        <v>0</v>
      </c>
      <c r="L1041">
        <v>0</v>
      </c>
      <c r="M1041">
        <v>0</v>
      </c>
      <c r="N1041" t="s">
        <v>56</v>
      </c>
      <c r="O1041">
        <v>2013</v>
      </c>
      <c r="P1041" t="s">
        <v>18</v>
      </c>
    </row>
    <row r="1042" spans="1:16" x14ac:dyDescent="0.3">
      <c r="A1042">
        <v>624</v>
      </c>
      <c r="B1042" t="s">
        <v>520</v>
      </c>
      <c r="C1042" t="s">
        <v>1282</v>
      </c>
      <c r="D1042" t="str">
        <f>VLOOKUP(YouTube_University_Data_Final[[#This Row],[Title]],[1]!YouTube_University_Data_Final[[Title]:[Title_language]],2,FALSE)</f>
        <v>English</v>
      </c>
      <c r="E1042" t="s">
        <v>1212</v>
      </c>
      <c r="F1042">
        <v>27</v>
      </c>
      <c r="G1042" s="1">
        <v>41473</v>
      </c>
      <c r="H1042">
        <v>180</v>
      </c>
      <c r="I1042" t="s">
        <v>1283</v>
      </c>
      <c r="J1042">
        <v>460</v>
      </c>
      <c r="K1042">
        <v>3</v>
      </c>
      <c r="L1042">
        <v>0</v>
      </c>
      <c r="M1042">
        <v>0</v>
      </c>
      <c r="N1042" t="s">
        <v>56</v>
      </c>
      <c r="O1042">
        <v>2013</v>
      </c>
      <c r="P1042" t="s">
        <v>18</v>
      </c>
    </row>
    <row r="1043" spans="1:16" x14ac:dyDescent="0.3">
      <c r="A1043">
        <v>625</v>
      </c>
      <c r="B1043" t="s">
        <v>520</v>
      </c>
      <c r="C1043" t="s">
        <v>1284</v>
      </c>
      <c r="D1043" t="str">
        <f>VLOOKUP(YouTube_University_Data_Final[[#This Row],[Title]],[1]!YouTube_University_Data_Final[[Title]:[Title_language]],2,FALSE)</f>
        <v>English</v>
      </c>
      <c r="E1043" t="s">
        <v>1285</v>
      </c>
      <c r="F1043">
        <v>27</v>
      </c>
      <c r="G1043" s="1">
        <v>41473</v>
      </c>
      <c r="H1043">
        <v>81</v>
      </c>
      <c r="I1043" t="s">
        <v>1286</v>
      </c>
      <c r="J1043">
        <v>62</v>
      </c>
      <c r="K1043">
        <v>0</v>
      </c>
      <c r="L1043">
        <v>0</v>
      </c>
      <c r="M1043">
        <v>1</v>
      </c>
      <c r="N1043" t="s">
        <v>56</v>
      </c>
      <c r="O1043">
        <v>2013</v>
      </c>
      <c r="P1043" t="s">
        <v>18</v>
      </c>
    </row>
    <row r="1044" spans="1:16" x14ac:dyDescent="0.3">
      <c r="A1044">
        <v>626</v>
      </c>
      <c r="B1044" t="s">
        <v>520</v>
      </c>
      <c r="C1044" t="s">
        <v>1287</v>
      </c>
      <c r="D1044" t="str">
        <f>VLOOKUP(YouTube_University_Data_Final[[#This Row],[Title]],[1]!YouTube_University_Data_Final[[Title]:[Title_language]],2,FALSE)</f>
        <v>English</v>
      </c>
      <c r="E1044" t="s">
        <v>1212</v>
      </c>
      <c r="F1044">
        <v>27</v>
      </c>
      <c r="G1044" s="1">
        <v>41473</v>
      </c>
      <c r="H1044">
        <v>43</v>
      </c>
      <c r="I1044" t="s">
        <v>1281</v>
      </c>
      <c r="J1044">
        <v>356</v>
      </c>
      <c r="K1044">
        <v>1</v>
      </c>
      <c r="L1044">
        <v>0</v>
      </c>
      <c r="M1044">
        <v>0</v>
      </c>
      <c r="N1044" t="s">
        <v>56</v>
      </c>
      <c r="O1044">
        <v>2013</v>
      </c>
      <c r="P1044" t="s">
        <v>18</v>
      </c>
    </row>
    <row r="1045" spans="1:16" x14ac:dyDescent="0.3">
      <c r="A1045">
        <v>627</v>
      </c>
      <c r="B1045" t="s">
        <v>520</v>
      </c>
      <c r="C1045" t="s">
        <v>1288</v>
      </c>
      <c r="D1045" t="str">
        <f>VLOOKUP(YouTube_University_Data_Final[[#This Row],[Title]],[1]!YouTube_University_Data_Final[[Title]:[Title_language]],2,FALSE)</f>
        <v>English</v>
      </c>
      <c r="E1045" t="s">
        <v>1212</v>
      </c>
      <c r="F1045">
        <v>27</v>
      </c>
      <c r="G1045" s="1">
        <v>41473</v>
      </c>
      <c r="H1045">
        <v>178</v>
      </c>
      <c r="I1045" t="s">
        <v>2944</v>
      </c>
      <c r="J1045">
        <v>176</v>
      </c>
      <c r="K1045">
        <v>0</v>
      </c>
      <c r="L1045">
        <v>0</v>
      </c>
      <c r="M1045">
        <v>0</v>
      </c>
      <c r="N1045" t="s">
        <v>56</v>
      </c>
      <c r="O1045">
        <v>2013</v>
      </c>
      <c r="P1045" t="s">
        <v>18</v>
      </c>
    </row>
    <row r="1046" spans="1:16" x14ac:dyDescent="0.3">
      <c r="A1046">
        <v>628</v>
      </c>
      <c r="B1046" t="s">
        <v>520</v>
      </c>
      <c r="C1046" t="s">
        <v>1289</v>
      </c>
      <c r="D1046" t="str">
        <f>VLOOKUP(YouTube_University_Data_Final[[#This Row],[Title]],[1]!YouTube_University_Data_Final[[Title]:[Title_language]],2,FALSE)</f>
        <v>English</v>
      </c>
      <c r="E1046" t="s">
        <v>1290</v>
      </c>
      <c r="F1046">
        <v>27</v>
      </c>
      <c r="G1046" s="1">
        <v>41473</v>
      </c>
      <c r="H1046">
        <v>2</v>
      </c>
      <c r="I1046" t="s">
        <v>522</v>
      </c>
      <c r="J1046">
        <v>605</v>
      </c>
      <c r="K1046">
        <v>1</v>
      </c>
      <c r="L1046">
        <v>0</v>
      </c>
      <c r="M1046">
        <v>0</v>
      </c>
      <c r="N1046" t="s">
        <v>56</v>
      </c>
      <c r="O1046">
        <v>2013</v>
      </c>
      <c r="P1046" t="s">
        <v>18</v>
      </c>
    </row>
    <row r="1047" spans="1:16" x14ac:dyDescent="0.3">
      <c r="A1047">
        <v>629</v>
      </c>
      <c r="B1047" t="s">
        <v>520</v>
      </c>
      <c r="C1047" t="s">
        <v>1291</v>
      </c>
      <c r="D1047" t="str">
        <f>VLOOKUP(YouTube_University_Data_Final[[#This Row],[Title]],[1]!YouTube_University_Data_Final[[Title]:[Title_language]],2,FALSE)</f>
        <v>English</v>
      </c>
      <c r="E1047" t="s">
        <v>1292</v>
      </c>
      <c r="F1047">
        <v>27</v>
      </c>
      <c r="G1047" s="1">
        <v>41473</v>
      </c>
      <c r="H1047">
        <v>116</v>
      </c>
      <c r="I1047" t="s">
        <v>522</v>
      </c>
      <c r="J1047">
        <v>2773</v>
      </c>
      <c r="K1047">
        <v>13</v>
      </c>
      <c r="L1047">
        <v>0</v>
      </c>
      <c r="M1047">
        <v>1</v>
      </c>
      <c r="N1047" t="s">
        <v>56</v>
      </c>
      <c r="O1047">
        <v>2013</v>
      </c>
      <c r="P1047" t="s">
        <v>18</v>
      </c>
    </row>
    <row r="1048" spans="1:16" x14ac:dyDescent="0.3">
      <c r="A1048">
        <v>630</v>
      </c>
      <c r="B1048" t="s">
        <v>520</v>
      </c>
      <c r="C1048" t="s">
        <v>1293</v>
      </c>
      <c r="D1048" t="str">
        <f>VLOOKUP(YouTube_University_Data_Final[[#This Row],[Title]],[1]!YouTube_University_Data_Final[[Title]:[Title_language]],2,FALSE)</f>
        <v>English</v>
      </c>
      <c r="E1048" t="s">
        <v>1294</v>
      </c>
      <c r="F1048">
        <v>27</v>
      </c>
      <c r="G1048" s="1">
        <v>41466</v>
      </c>
      <c r="H1048">
        <v>131</v>
      </c>
      <c r="I1048" t="s">
        <v>522</v>
      </c>
      <c r="J1048">
        <v>345</v>
      </c>
      <c r="K1048">
        <v>0</v>
      </c>
      <c r="L1048">
        <v>0</v>
      </c>
      <c r="M1048">
        <v>0</v>
      </c>
      <c r="N1048" t="s">
        <v>56</v>
      </c>
      <c r="O1048">
        <v>2013</v>
      </c>
      <c r="P1048" t="s">
        <v>18</v>
      </c>
    </row>
    <row r="1049" spans="1:16" x14ac:dyDescent="0.3">
      <c r="A1049">
        <v>631</v>
      </c>
      <c r="B1049" t="s">
        <v>520</v>
      </c>
      <c r="C1049" t="s">
        <v>1295</v>
      </c>
      <c r="D1049" t="str">
        <f>VLOOKUP(YouTube_University_Data_Final[[#This Row],[Title]],[1]!YouTube_University_Data_Final[[Title]:[Title_language]],2,FALSE)</f>
        <v>English</v>
      </c>
      <c r="E1049" t="s">
        <v>1296</v>
      </c>
      <c r="F1049">
        <v>27</v>
      </c>
      <c r="G1049" s="1">
        <v>41435</v>
      </c>
      <c r="H1049">
        <v>239</v>
      </c>
      <c r="I1049" t="s">
        <v>1297</v>
      </c>
      <c r="J1049">
        <v>1150</v>
      </c>
      <c r="K1049">
        <v>7</v>
      </c>
      <c r="L1049">
        <v>0</v>
      </c>
      <c r="M1049">
        <v>0</v>
      </c>
      <c r="N1049" t="s">
        <v>78</v>
      </c>
      <c r="O1049">
        <v>2013</v>
      </c>
      <c r="P1049" t="s">
        <v>18</v>
      </c>
    </row>
    <row r="1050" spans="1:16" x14ac:dyDescent="0.3">
      <c r="A1050">
        <v>632</v>
      </c>
      <c r="B1050" t="s">
        <v>520</v>
      </c>
      <c r="C1050" t="s">
        <v>1298</v>
      </c>
      <c r="D1050" t="str">
        <f>VLOOKUP(YouTube_University_Data_Final[[#This Row],[Title]],[1]!YouTube_University_Data_Final[[Title]:[Title_language]],2,FALSE)</f>
        <v>English</v>
      </c>
      <c r="E1050" t="s">
        <v>1212</v>
      </c>
      <c r="F1050">
        <v>27</v>
      </c>
      <c r="G1050" s="1">
        <v>41431</v>
      </c>
      <c r="H1050">
        <v>64</v>
      </c>
      <c r="I1050" t="s">
        <v>1299</v>
      </c>
      <c r="J1050">
        <v>49</v>
      </c>
      <c r="K1050">
        <v>0</v>
      </c>
      <c r="L1050">
        <v>0</v>
      </c>
      <c r="M1050">
        <v>0</v>
      </c>
      <c r="N1050" t="s">
        <v>78</v>
      </c>
      <c r="O1050">
        <v>2013</v>
      </c>
      <c r="P1050" t="s">
        <v>18</v>
      </c>
    </row>
    <row r="1051" spans="1:16" x14ac:dyDescent="0.3">
      <c r="A1051">
        <v>633</v>
      </c>
      <c r="B1051" t="s">
        <v>520</v>
      </c>
      <c r="C1051" t="s">
        <v>1300</v>
      </c>
      <c r="D1051" t="str">
        <f>VLOOKUP(YouTube_University_Data_Final[[#This Row],[Title]],[1]!YouTube_University_Data_Final[[Title]:[Title_language]],2,FALSE)</f>
        <v>English</v>
      </c>
      <c r="E1051" t="s">
        <v>1212</v>
      </c>
      <c r="F1051">
        <v>27</v>
      </c>
      <c r="G1051" s="1">
        <v>41431</v>
      </c>
      <c r="H1051">
        <v>26</v>
      </c>
      <c r="I1051" t="s">
        <v>2944</v>
      </c>
      <c r="J1051">
        <v>55</v>
      </c>
      <c r="K1051">
        <v>0</v>
      </c>
      <c r="L1051">
        <v>0</v>
      </c>
      <c r="M1051">
        <v>0</v>
      </c>
      <c r="N1051" t="s">
        <v>78</v>
      </c>
      <c r="O1051">
        <v>2013</v>
      </c>
      <c r="P1051" t="s">
        <v>18</v>
      </c>
    </row>
    <row r="1052" spans="1:16" x14ac:dyDescent="0.3">
      <c r="A1052">
        <v>634</v>
      </c>
      <c r="B1052" t="s">
        <v>520</v>
      </c>
      <c r="C1052" t="s">
        <v>1301</v>
      </c>
      <c r="D1052" t="str">
        <f>VLOOKUP(YouTube_University_Data_Final[[#This Row],[Title]],[1]!YouTube_University_Data_Final[[Title]:[Title_language]],2,FALSE)</f>
        <v>English</v>
      </c>
      <c r="E1052" t="s">
        <v>1212</v>
      </c>
      <c r="F1052">
        <v>27</v>
      </c>
      <c r="G1052" s="1">
        <v>41431</v>
      </c>
      <c r="H1052">
        <v>29</v>
      </c>
      <c r="I1052" t="s">
        <v>2944</v>
      </c>
      <c r="J1052">
        <v>38</v>
      </c>
      <c r="K1052">
        <v>0</v>
      </c>
      <c r="L1052">
        <v>0</v>
      </c>
      <c r="M1052">
        <v>0</v>
      </c>
      <c r="N1052" t="s">
        <v>78</v>
      </c>
      <c r="O1052">
        <v>2013</v>
      </c>
      <c r="P1052" t="s">
        <v>18</v>
      </c>
    </row>
    <row r="1053" spans="1:16" x14ac:dyDescent="0.3">
      <c r="A1053">
        <v>635</v>
      </c>
      <c r="B1053" t="s">
        <v>520</v>
      </c>
      <c r="C1053" t="s">
        <v>1302</v>
      </c>
      <c r="D1053" t="str">
        <f>VLOOKUP(YouTube_University_Data_Final[[#This Row],[Title]],[1]!YouTube_University_Data_Final[[Title]:[Title_language]],2,FALSE)</f>
        <v>English</v>
      </c>
      <c r="E1053" t="s">
        <v>1212</v>
      </c>
      <c r="F1053">
        <v>27</v>
      </c>
      <c r="G1053" s="1">
        <v>41431</v>
      </c>
      <c r="H1053">
        <v>31</v>
      </c>
      <c r="I1053" t="s">
        <v>2944</v>
      </c>
      <c r="J1053">
        <v>106</v>
      </c>
      <c r="K1053">
        <v>0</v>
      </c>
      <c r="L1053">
        <v>0</v>
      </c>
      <c r="M1053">
        <v>0</v>
      </c>
      <c r="N1053" t="s">
        <v>78</v>
      </c>
      <c r="O1053">
        <v>2013</v>
      </c>
      <c r="P1053" t="s">
        <v>18</v>
      </c>
    </row>
    <row r="1054" spans="1:16" x14ac:dyDescent="0.3">
      <c r="A1054">
        <v>636</v>
      </c>
      <c r="B1054" t="s">
        <v>520</v>
      </c>
      <c r="C1054" t="s">
        <v>1303</v>
      </c>
      <c r="D1054" t="str">
        <f>VLOOKUP(YouTube_University_Data_Final[[#This Row],[Title]],[1]!YouTube_University_Data_Final[[Title]:[Title_language]],2,FALSE)</f>
        <v>English</v>
      </c>
      <c r="E1054" t="s">
        <v>1304</v>
      </c>
      <c r="F1054">
        <v>27</v>
      </c>
      <c r="G1054" s="1">
        <v>41431</v>
      </c>
      <c r="H1054">
        <v>131</v>
      </c>
      <c r="I1054" t="s">
        <v>2944</v>
      </c>
      <c r="J1054">
        <v>209</v>
      </c>
      <c r="K1054">
        <v>0</v>
      </c>
      <c r="L1054">
        <v>0</v>
      </c>
      <c r="M1054">
        <v>0</v>
      </c>
      <c r="N1054" t="s">
        <v>78</v>
      </c>
      <c r="O1054">
        <v>2013</v>
      </c>
      <c r="P1054" t="s">
        <v>18</v>
      </c>
    </row>
    <row r="1055" spans="1:16" x14ac:dyDescent="0.3">
      <c r="A1055">
        <v>637</v>
      </c>
      <c r="B1055" t="s">
        <v>520</v>
      </c>
      <c r="C1055" t="s">
        <v>1305</v>
      </c>
      <c r="D1055" t="str">
        <f>VLOOKUP(YouTube_University_Data_Final[[#This Row],[Title]],[1]!YouTube_University_Data_Final[[Title]:[Title_language]],2,FALSE)</f>
        <v>English</v>
      </c>
      <c r="E1055" t="s">
        <v>1306</v>
      </c>
      <c r="F1055">
        <v>27</v>
      </c>
      <c r="G1055" s="1">
        <v>41431</v>
      </c>
      <c r="H1055">
        <v>14</v>
      </c>
      <c r="I1055" t="s">
        <v>1307</v>
      </c>
      <c r="J1055">
        <v>59</v>
      </c>
      <c r="K1055">
        <v>1</v>
      </c>
      <c r="L1055">
        <v>0</v>
      </c>
      <c r="M1055">
        <v>0</v>
      </c>
      <c r="N1055" t="s">
        <v>78</v>
      </c>
      <c r="O1055">
        <v>2013</v>
      </c>
      <c r="P1055" t="s">
        <v>18</v>
      </c>
    </row>
    <row r="1056" spans="1:16" x14ac:dyDescent="0.3">
      <c r="A1056">
        <v>638</v>
      </c>
      <c r="B1056" t="s">
        <v>520</v>
      </c>
      <c r="C1056" t="s">
        <v>3357</v>
      </c>
      <c r="D1056" t="str">
        <f>VLOOKUP(YouTube_University_Data_Final[[#This Row],[Title]],[1]!YouTube_University_Data_Final[[Title]:[Title_language]],2,FALSE)</f>
        <v>Bilingual</v>
      </c>
      <c r="E1056" t="s">
        <v>1212</v>
      </c>
      <c r="F1056">
        <v>27</v>
      </c>
      <c r="G1056" s="1">
        <v>41431</v>
      </c>
      <c r="H1056">
        <v>31</v>
      </c>
      <c r="I1056" t="s">
        <v>1308</v>
      </c>
      <c r="J1056">
        <v>36</v>
      </c>
      <c r="K1056">
        <v>0</v>
      </c>
      <c r="L1056">
        <v>0</v>
      </c>
      <c r="M1056">
        <v>0</v>
      </c>
      <c r="N1056" t="s">
        <v>78</v>
      </c>
      <c r="O1056">
        <v>2013</v>
      </c>
      <c r="P1056" t="s">
        <v>18</v>
      </c>
    </row>
    <row r="1057" spans="1:16" x14ac:dyDescent="0.3">
      <c r="A1057">
        <v>639</v>
      </c>
      <c r="B1057" t="s">
        <v>520</v>
      </c>
      <c r="C1057" t="s">
        <v>1309</v>
      </c>
      <c r="D1057" t="str">
        <f>VLOOKUP(YouTube_University_Data_Final[[#This Row],[Title]],[1]!YouTube_University_Data_Final[[Title]:[Title_language]],2,FALSE)</f>
        <v>English</v>
      </c>
      <c r="E1057" t="s">
        <v>1212</v>
      </c>
      <c r="F1057">
        <v>27</v>
      </c>
      <c r="G1057" s="1">
        <v>41431</v>
      </c>
      <c r="H1057">
        <v>35</v>
      </c>
      <c r="I1057" t="s">
        <v>1310</v>
      </c>
      <c r="J1057">
        <v>39</v>
      </c>
      <c r="K1057">
        <v>0</v>
      </c>
      <c r="L1057">
        <v>0</v>
      </c>
      <c r="M1057">
        <v>0</v>
      </c>
      <c r="N1057" t="s">
        <v>78</v>
      </c>
      <c r="O1057">
        <v>2013</v>
      </c>
      <c r="P1057" t="s">
        <v>18</v>
      </c>
    </row>
    <row r="1058" spans="1:16" x14ac:dyDescent="0.3">
      <c r="A1058">
        <v>640</v>
      </c>
      <c r="B1058" t="s">
        <v>520</v>
      </c>
      <c r="C1058" t="s">
        <v>1311</v>
      </c>
      <c r="D1058" t="str">
        <f>VLOOKUP(YouTube_University_Data_Final[[#This Row],[Title]],[1]!YouTube_University_Data_Final[[Title]:[Title_language]],2,FALSE)</f>
        <v>English</v>
      </c>
      <c r="E1058" t="s">
        <v>1023</v>
      </c>
      <c r="F1058">
        <v>27</v>
      </c>
      <c r="G1058" s="1">
        <v>41431</v>
      </c>
      <c r="H1058">
        <v>21</v>
      </c>
      <c r="I1058" t="s">
        <v>2944</v>
      </c>
      <c r="J1058">
        <v>9</v>
      </c>
      <c r="K1058">
        <v>0</v>
      </c>
      <c r="L1058">
        <v>0</v>
      </c>
      <c r="M1058">
        <v>0</v>
      </c>
      <c r="N1058" t="s">
        <v>78</v>
      </c>
      <c r="O1058">
        <v>2013</v>
      </c>
      <c r="P1058" t="s">
        <v>18</v>
      </c>
    </row>
    <row r="1059" spans="1:16" x14ac:dyDescent="0.3">
      <c r="A1059">
        <v>641</v>
      </c>
      <c r="B1059" t="s">
        <v>520</v>
      </c>
      <c r="C1059" t="s">
        <v>1312</v>
      </c>
      <c r="D1059" t="str">
        <f>VLOOKUP(YouTube_University_Data_Final[[#This Row],[Title]],[1]!YouTube_University_Data_Final[[Title]:[Title_language]],2,FALSE)</f>
        <v>English</v>
      </c>
      <c r="E1059" t="s">
        <v>1212</v>
      </c>
      <c r="F1059">
        <v>27</v>
      </c>
      <c r="G1059" s="1">
        <v>41431</v>
      </c>
      <c r="H1059">
        <v>2</v>
      </c>
      <c r="I1059" t="s">
        <v>1313</v>
      </c>
      <c r="J1059">
        <v>36</v>
      </c>
      <c r="K1059">
        <v>0</v>
      </c>
      <c r="L1059">
        <v>0</v>
      </c>
      <c r="M1059">
        <v>0</v>
      </c>
      <c r="N1059" t="s">
        <v>78</v>
      </c>
      <c r="O1059">
        <v>2013</v>
      </c>
      <c r="P1059" t="s">
        <v>18</v>
      </c>
    </row>
    <row r="1060" spans="1:16" x14ac:dyDescent="0.3">
      <c r="A1060">
        <v>642</v>
      </c>
      <c r="B1060" t="s">
        <v>520</v>
      </c>
      <c r="C1060" t="s">
        <v>1314</v>
      </c>
      <c r="D1060" t="str">
        <f>VLOOKUP(YouTube_University_Data_Final[[#This Row],[Title]],[1]!YouTube_University_Data_Final[[Title]:[Title_language]],2,FALSE)</f>
        <v>English</v>
      </c>
      <c r="E1060" t="s">
        <v>1315</v>
      </c>
      <c r="F1060">
        <v>27</v>
      </c>
      <c r="G1060" s="1">
        <v>41400</v>
      </c>
      <c r="H1060">
        <v>40</v>
      </c>
      <c r="I1060" t="s">
        <v>2944</v>
      </c>
      <c r="J1060">
        <v>183</v>
      </c>
      <c r="K1060">
        <v>0</v>
      </c>
      <c r="L1060">
        <v>0</v>
      </c>
      <c r="M1060">
        <v>0</v>
      </c>
      <c r="N1060" t="s">
        <v>81</v>
      </c>
      <c r="O1060">
        <v>2013</v>
      </c>
      <c r="P1060" t="s">
        <v>18</v>
      </c>
    </row>
    <row r="1061" spans="1:16" x14ac:dyDescent="0.3">
      <c r="A1061">
        <v>643</v>
      </c>
      <c r="B1061" t="s">
        <v>520</v>
      </c>
      <c r="C1061" t="s">
        <v>1316</v>
      </c>
      <c r="D1061" t="str">
        <f>VLOOKUP(YouTube_University_Data_Final[[#This Row],[Title]],[1]!YouTube_University_Data_Final[[Title]:[Title_language]],2,FALSE)</f>
        <v>English</v>
      </c>
      <c r="E1061" t="s">
        <v>1317</v>
      </c>
      <c r="F1061">
        <v>27</v>
      </c>
      <c r="G1061" s="1">
        <v>41397</v>
      </c>
      <c r="H1061">
        <v>262</v>
      </c>
      <c r="I1061" t="s">
        <v>2944</v>
      </c>
      <c r="J1061">
        <v>1733</v>
      </c>
      <c r="K1061">
        <v>5</v>
      </c>
      <c r="L1061">
        <v>0</v>
      </c>
      <c r="M1061">
        <v>0</v>
      </c>
      <c r="N1061" t="s">
        <v>81</v>
      </c>
      <c r="O1061">
        <v>2013</v>
      </c>
      <c r="P1061" t="s">
        <v>18</v>
      </c>
    </row>
    <row r="1062" spans="1:16" x14ac:dyDescent="0.3">
      <c r="A1062">
        <v>644</v>
      </c>
      <c r="B1062" t="s">
        <v>520</v>
      </c>
      <c r="C1062" t="s">
        <v>1318</v>
      </c>
      <c r="D1062" t="str">
        <f>VLOOKUP(YouTube_University_Data_Final[[#This Row],[Title]],[1]!YouTube_University_Data_Final[[Title]:[Title_language]],2,FALSE)</f>
        <v>English</v>
      </c>
      <c r="E1062" t="s">
        <v>1319</v>
      </c>
      <c r="F1062">
        <v>27</v>
      </c>
      <c r="G1062" s="1">
        <v>41386</v>
      </c>
      <c r="H1062">
        <v>607</v>
      </c>
      <c r="I1062" t="s">
        <v>2944</v>
      </c>
      <c r="J1062">
        <v>3807</v>
      </c>
      <c r="K1062">
        <v>23</v>
      </c>
      <c r="L1062">
        <v>0</v>
      </c>
      <c r="M1062">
        <v>0</v>
      </c>
      <c r="N1062" t="s">
        <v>87</v>
      </c>
      <c r="O1062">
        <v>2013</v>
      </c>
      <c r="P1062" t="s">
        <v>18</v>
      </c>
    </row>
    <row r="1063" spans="1:16" x14ac:dyDescent="0.3">
      <c r="A1063">
        <v>645</v>
      </c>
      <c r="B1063" t="s">
        <v>520</v>
      </c>
      <c r="C1063" t="s">
        <v>1320</v>
      </c>
      <c r="D1063" t="str">
        <f>VLOOKUP(YouTube_University_Data_Final[[#This Row],[Title]],[1]!YouTube_University_Data_Final[[Title]:[Title_language]],2,FALSE)</f>
        <v>English</v>
      </c>
      <c r="E1063" t="s">
        <v>1321</v>
      </c>
      <c r="F1063">
        <v>27</v>
      </c>
      <c r="G1063" s="1">
        <v>41380</v>
      </c>
      <c r="H1063">
        <v>199</v>
      </c>
      <c r="I1063" t="s">
        <v>2944</v>
      </c>
      <c r="J1063">
        <v>571</v>
      </c>
      <c r="K1063">
        <v>1</v>
      </c>
      <c r="L1063">
        <v>0</v>
      </c>
      <c r="M1063">
        <v>0</v>
      </c>
      <c r="N1063" t="s">
        <v>87</v>
      </c>
      <c r="O1063">
        <v>2013</v>
      </c>
      <c r="P1063" t="s">
        <v>18</v>
      </c>
    </row>
    <row r="1064" spans="1:16" x14ac:dyDescent="0.3">
      <c r="A1064">
        <v>646</v>
      </c>
      <c r="B1064" t="s">
        <v>520</v>
      </c>
      <c r="C1064" t="s">
        <v>1322</v>
      </c>
      <c r="D1064" t="str">
        <f>VLOOKUP(YouTube_University_Data_Final[[#This Row],[Title]],[1]!YouTube_University_Data_Final[[Title]:[Title_language]],2,FALSE)</f>
        <v>English</v>
      </c>
      <c r="E1064" t="s">
        <v>1323</v>
      </c>
      <c r="F1064">
        <v>27</v>
      </c>
      <c r="G1064" s="1">
        <v>41380</v>
      </c>
      <c r="H1064">
        <v>161</v>
      </c>
      <c r="I1064" t="s">
        <v>2944</v>
      </c>
      <c r="J1064">
        <v>499</v>
      </c>
      <c r="K1064">
        <v>3</v>
      </c>
      <c r="L1064">
        <v>0</v>
      </c>
      <c r="M1064">
        <v>0</v>
      </c>
      <c r="N1064" t="s">
        <v>87</v>
      </c>
      <c r="O1064">
        <v>2013</v>
      </c>
      <c r="P1064" t="s">
        <v>18</v>
      </c>
    </row>
    <row r="1065" spans="1:16" x14ac:dyDescent="0.3">
      <c r="A1065">
        <v>647</v>
      </c>
      <c r="B1065" t="s">
        <v>520</v>
      </c>
      <c r="C1065" t="s">
        <v>1324</v>
      </c>
      <c r="D1065" t="str">
        <f>VLOOKUP(YouTube_University_Data_Final[[#This Row],[Title]],[1]!YouTube_University_Data_Final[[Title]:[Title_language]],2,FALSE)</f>
        <v>English</v>
      </c>
      <c r="E1065" t="s">
        <v>1325</v>
      </c>
      <c r="F1065">
        <v>27</v>
      </c>
      <c r="G1065" s="1">
        <v>41359</v>
      </c>
      <c r="H1065">
        <v>33</v>
      </c>
      <c r="I1065" t="s">
        <v>2944</v>
      </c>
      <c r="J1065">
        <v>118</v>
      </c>
      <c r="K1065">
        <v>2</v>
      </c>
      <c r="L1065">
        <v>0</v>
      </c>
      <c r="M1065">
        <v>0</v>
      </c>
      <c r="N1065" t="s">
        <v>90</v>
      </c>
      <c r="O1065">
        <v>2013</v>
      </c>
      <c r="P1065" t="s">
        <v>18</v>
      </c>
    </row>
    <row r="1066" spans="1:16" x14ac:dyDescent="0.3">
      <c r="A1066">
        <v>648</v>
      </c>
      <c r="B1066" t="s">
        <v>520</v>
      </c>
      <c r="C1066" t="s">
        <v>1326</v>
      </c>
      <c r="D1066" t="str">
        <f>VLOOKUP(YouTube_University_Data_Final[[#This Row],[Title]],[1]!YouTube_University_Data_Final[[Title]:[Title_language]],2,FALSE)</f>
        <v>English</v>
      </c>
      <c r="E1066" t="s">
        <v>1327</v>
      </c>
      <c r="F1066">
        <v>27</v>
      </c>
      <c r="G1066" s="1">
        <v>41359</v>
      </c>
      <c r="H1066">
        <v>136</v>
      </c>
      <c r="I1066" t="s">
        <v>2944</v>
      </c>
      <c r="J1066">
        <v>4870</v>
      </c>
      <c r="K1066">
        <v>9</v>
      </c>
      <c r="L1066">
        <v>0</v>
      </c>
      <c r="M1066">
        <v>0</v>
      </c>
      <c r="N1066" t="s">
        <v>90</v>
      </c>
      <c r="O1066">
        <v>2013</v>
      </c>
      <c r="P1066" t="s">
        <v>18</v>
      </c>
    </row>
    <row r="1067" spans="1:16" x14ac:dyDescent="0.3">
      <c r="A1067">
        <v>649</v>
      </c>
      <c r="B1067" t="s">
        <v>520</v>
      </c>
      <c r="C1067" t="s">
        <v>1328</v>
      </c>
      <c r="D1067" t="str">
        <f>VLOOKUP(YouTube_University_Data_Final[[#This Row],[Title]],[1]!YouTube_University_Data_Final[[Title]:[Title_language]],2,FALSE)</f>
        <v>English</v>
      </c>
      <c r="E1067" t="s">
        <v>1329</v>
      </c>
      <c r="F1067">
        <v>27</v>
      </c>
      <c r="G1067" s="1">
        <v>41319</v>
      </c>
      <c r="H1067">
        <v>201</v>
      </c>
      <c r="I1067" t="s">
        <v>1330</v>
      </c>
      <c r="J1067">
        <v>701</v>
      </c>
      <c r="K1067">
        <v>2</v>
      </c>
      <c r="L1067">
        <v>0</v>
      </c>
      <c r="M1067">
        <v>0</v>
      </c>
      <c r="N1067" t="s">
        <v>162</v>
      </c>
      <c r="O1067">
        <v>2013</v>
      </c>
      <c r="P1067" t="s">
        <v>18</v>
      </c>
    </row>
    <row r="1068" spans="1:16" x14ac:dyDescent="0.3">
      <c r="A1068">
        <v>650</v>
      </c>
      <c r="B1068" t="s">
        <v>520</v>
      </c>
      <c r="C1068" t="s">
        <v>1331</v>
      </c>
      <c r="D1068" t="str">
        <f>VLOOKUP(YouTube_University_Data_Final[[#This Row],[Title]],[1]!YouTube_University_Data_Final[[Title]:[Title_language]],2,FALSE)</f>
        <v>English</v>
      </c>
      <c r="E1068" t="s">
        <v>1332</v>
      </c>
      <c r="F1068">
        <v>27</v>
      </c>
      <c r="G1068" s="1">
        <v>41311</v>
      </c>
      <c r="H1068">
        <v>125</v>
      </c>
      <c r="I1068" t="s">
        <v>1333</v>
      </c>
      <c r="J1068">
        <v>336</v>
      </c>
      <c r="K1068">
        <v>2</v>
      </c>
      <c r="L1068">
        <v>0</v>
      </c>
      <c r="M1068">
        <v>0</v>
      </c>
      <c r="N1068" t="s">
        <v>162</v>
      </c>
      <c r="O1068">
        <v>2013</v>
      </c>
      <c r="P1068" t="s">
        <v>18</v>
      </c>
    </row>
    <row r="1069" spans="1:16" x14ac:dyDescent="0.3">
      <c r="A1069">
        <v>651</v>
      </c>
      <c r="B1069" t="s">
        <v>520</v>
      </c>
      <c r="C1069" t="s">
        <v>1334</v>
      </c>
      <c r="D1069" t="str">
        <f>VLOOKUP(YouTube_University_Data_Final[[#This Row],[Title]],[1]!YouTube_University_Data_Final[[Title]:[Title_language]],2,FALSE)</f>
        <v>English</v>
      </c>
      <c r="E1069" t="s">
        <v>1335</v>
      </c>
      <c r="F1069">
        <v>27</v>
      </c>
      <c r="G1069" s="1">
        <v>41310</v>
      </c>
      <c r="H1069">
        <v>41</v>
      </c>
      <c r="I1069" t="s">
        <v>1336</v>
      </c>
      <c r="J1069">
        <v>2954</v>
      </c>
      <c r="K1069">
        <v>8</v>
      </c>
      <c r="L1069">
        <v>0</v>
      </c>
      <c r="M1069">
        <v>1</v>
      </c>
      <c r="N1069" t="s">
        <v>162</v>
      </c>
      <c r="O1069">
        <v>2013</v>
      </c>
      <c r="P1069" t="s">
        <v>18</v>
      </c>
    </row>
    <row r="1070" spans="1:16" x14ac:dyDescent="0.3">
      <c r="A1070">
        <v>652</v>
      </c>
      <c r="B1070" t="s">
        <v>520</v>
      </c>
      <c r="C1070" t="s">
        <v>1337</v>
      </c>
      <c r="D1070" t="str">
        <f>VLOOKUP(YouTube_University_Data_Final[[#This Row],[Title]],[1]!YouTube_University_Data_Final[[Title]:[Title_language]],2,FALSE)</f>
        <v>English</v>
      </c>
      <c r="E1070" t="s">
        <v>1338</v>
      </c>
      <c r="F1070">
        <v>27</v>
      </c>
      <c r="G1070" s="1">
        <v>41310</v>
      </c>
      <c r="H1070">
        <v>32</v>
      </c>
      <c r="I1070" t="s">
        <v>1339</v>
      </c>
      <c r="J1070">
        <v>903</v>
      </c>
      <c r="K1070">
        <v>0</v>
      </c>
      <c r="L1070">
        <v>0</v>
      </c>
      <c r="M1070">
        <v>0</v>
      </c>
      <c r="N1070" t="s">
        <v>162</v>
      </c>
      <c r="O1070">
        <v>2013</v>
      </c>
      <c r="P1070" t="s">
        <v>18</v>
      </c>
    </row>
    <row r="1071" spans="1:16" x14ac:dyDescent="0.3">
      <c r="A1071">
        <v>653</v>
      </c>
      <c r="B1071" t="s">
        <v>520</v>
      </c>
      <c r="C1071" t="s">
        <v>1340</v>
      </c>
      <c r="D1071" t="str">
        <f>VLOOKUP(YouTube_University_Data_Final[[#This Row],[Title]],[1]!YouTube_University_Data_Final[[Title]:[Title_language]],2,FALSE)</f>
        <v>English</v>
      </c>
      <c r="E1071" t="s">
        <v>1341</v>
      </c>
      <c r="F1071">
        <v>27</v>
      </c>
      <c r="G1071" s="1">
        <v>41295</v>
      </c>
      <c r="H1071">
        <v>210</v>
      </c>
      <c r="I1071" t="s">
        <v>1342</v>
      </c>
      <c r="J1071">
        <v>392</v>
      </c>
      <c r="K1071">
        <v>4</v>
      </c>
      <c r="L1071">
        <v>0</v>
      </c>
      <c r="M1071">
        <v>0</v>
      </c>
      <c r="N1071" t="s">
        <v>93</v>
      </c>
      <c r="O1071">
        <v>2013</v>
      </c>
      <c r="P1071" t="s">
        <v>18</v>
      </c>
    </row>
    <row r="1072" spans="1:16" x14ac:dyDescent="0.3">
      <c r="A1072">
        <v>654</v>
      </c>
      <c r="B1072" t="s">
        <v>520</v>
      </c>
      <c r="C1072" t="s">
        <v>1343</v>
      </c>
      <c r="D1072" t="str">
        <f>VLOOKUP(YouTube_University_Data_Final[[#This Row],[Title]],[1]!YouTube_University_Data_Final[[Title]:[Title_language]],2,FALSE)</f>
        <v>English</v>
      </c>
      <c r="E1072" t="s">
        <v>1344</v>
      </c>
      <c r="F1072">
        <v>27</v>
      </c>
      <c r="G1072" s="1">
        <v>41292</v>
      </c>
      <c r="H1072">
        <v>296</v>
      </c>
      <c r="I1072" t="s">
        <v>1345</v>
      </c>
      <c r="J1072">
        <v>4524</v>
      </c>
      <c r="K1072">
        <v>7</v>
      </c>
      <c r="L1072">
        <v>0</v>
      </c>
      <c r="M1072">
        <v>0</v>
      </c>
      <c r="N1072" t="s">
        <v>93</v>
      </c>
      <c r="O1072">
        <v>2013</v>
      </c>
      <c r="P1072" t="s">
        <v>18</v>
      </c>
    </row>
    <row r="1073" spans="1:16" x14ac:dyDescent="0.3">
      <c r="A1073">
        <v>655</v>
      </c>
      <c r="B1073" t="s">
        <v>520</v>
      </c>
      <c r="C1073" t="s">
        <v>1346</v>
      </c>
      <c r="D1073" t="str">
        <f>VLOOKUP(YouTube_University_Data_Final[[#This Row],[Title]],[1]!YouTube_University_Data_Final[[Title]:[Title_language]],2,FALSE)</f>
        <v>English</v>
      </c>
      <c r="E1073" t="s">
        <v>1347</v>
      </c>
      <c r="F1073">
        <v>27</v>
      </c>
      <c r="G1073" s="1">
        <v>41278</v>
      </c>
      <c r="H1073">
        <v>236</v>
      </c>
      <c r="I1073" t="s">
        <v>1348</v>
      </c>
      <c r="J1073">
        <v>1016</v>
      </c>
      <c r="K1073">
        <v>2</v>
      </c>
      <c r="L1073">
        <v>0</v>
      </c>
      <c r="M1073">
        <v>0</v>
      </c>
      <c r="N1073" t="s">
        <v>93</v>
      </c>
      <c r="O1073">
        <v>2013</v>
      </c>
      <c r="P1073" t="s">
        <v>18</v>
      </c>
    </row>
    <row r="1074" spans="1:16" x14ac:dyDescent="0.3">
      <c r="A1074">
        <v>656</v>
      </c>
      <c r="B1074" t="s">
        <v>520</v>
      </c>
      <c r="C1074" t="s">
        <v>1349</v>
      </c>
      <c r="D1074" t="str">
        <f>VLOOKUP(YouTube_University_Data_Final[[#This Row],[Title]],[1]!YouTube_University_Data_Final[[Title]:[Title_language]],2,FALSE)</f>
        <v>English</v>
      </c>
      <c r="E1074" t="s">
        <v>1350</v>
      </c>
      <c r="F1074">
        <v>27</v>
      </c>
      <c r="G1074" s="1">
        <v>41255</v>
      </c>
      <c r="H1074">
        <v>257</v>
      </c>
      <c r="I1074" t="s">
        <v>1351</v>
      </c>
      <c r="J1074">
        <v>3159</v>
      </c>
      <c r="K1074">
        <v>4</v>
      </c>
      <c r="L1074">
        <v>0</v>
      </c>
      <c r="M1074">
        <v>0</v>
      </c>
      <c r="N1074" t="s">
        <v>98</v>
      </c>
      <c r="O1074">
        <v>2012</v>
      </c>
      <c r="P1074" t="s">
        <v>18</v>
      </c>
    </row>
    <row r="1075" spans="1:16" x14ac:dyDescent="0.3">
      <c r="A1075">
        <v>657</v>
      </c>
      <c r="B1075" t="s">
        <v>520</v>
      </c>
      <c r="C1075" t="s">
        <v>1352</v>
      </c>
      <c r="D1075" t="str">
        <f>VLOOKUP(YouTube_University_Data_Final[[#This Row],[Title]],[1]!YouTube_University_Data_Final[[Title]:[Title_language]],2,FALSE)</f>
        <v>English</v>
      </c>
      <c r="E1075" t="s">
        <v>1353</v>
      </c>
      <c r="F1075">
        <v>27</v>
      </c>
      <c r="G1075" s="1">
        <v>41249</v>
      </c>
      <c r="H1075">
        <v>407</v>
      </c>
      <c r="I1075" t="s">
        <v>1354</v>
      </c>
      <c r="J1075">
        <v>2135</v>
      </c>
      <c r="K1075">
        <v>4</v>
      </c>
      <c r="L1075">
        <v>0</v>
      </c>
      <c r="M1075">
        <v>0</v>
      </c>
      <c r="N1075" t="s">
        <v>98</v>
      </c>
      <c r="O1075">
        <v>2012</v>
      </c>
      <c r="P1075" t="s">
        <v>18</v>
      </c>
    </row>
    <row r="1076" spans="1:16" x14ac:dyDescent="0.3">
      <c r="A1076">
        <v>658</v>
      </c>
      <c r="B1076" t="s">
        <v>520</v>
      </c>
      <c r="C1076" t="s">
        <v>1355</v>
      </c>
      <c r="D1076" t="str">
        <f>VLOOKUP(YouTube_University_Data_Final[[#This Row],[Title]],[1]!YouTube_University_Data_Final[[Title]:[Title_language]],2,FALSE)</f>
        <v>English</v>
      </c>
      <c r="E1076" t="s">
        <v>1356</v>
      </c>
      <c r="F1076">
        <v>27</v>
      </c>
      <c r="G1076" s="1">
        <v>41232</v>
      </c>
      <c r="H1076">
        <v>175</v>
      </c>
      <c r="I1076" t="s">
        <v>1357</v>
      </c>
      <c r="J1076">
        <v>470</v>
      </c>
      <c r="K1076">
        <v>1</v>
      </c>
      <c r="L1076">
        <v>0</v>
      </c>
      <c r="M1076">
        <v>0</v>
      </c>
      <c r="N1076" t="s">
        <v>101</v>
      </c>
      <c r="O1076">
        <v>2012</v>
      </c>
      <c r="P1076" t="s">
        <v>18</v>
      </c>
    </row>
    <row r="1077" spans="1:16" x14ac:dyDescent="0.3">
      <c r="A1077">
        <v>659</v>
      </c>
      <c r="B1077" t="s">
        <v>520</v>
      </c>
      <c r="C1077" t="s">
        <v>1358</v>
      </c>
      <c r="D1077" t="str">
        <f>VLOOKUP(YouTube_University_Data_Final[[#This Row],[Title]],[1]!YouTube_University_Data_Final[[Title]:[Title_language]],2,FALSE)</f>
        <v>English</v>
      </c>
      <c r="E1077" t="s">
        <v>1359</v>
      </c>
      <c r="F1077">
        <v>27</v>
      </c>
      <c r="G1077" s="1">
        <v>41229</v>
      </c>
      <c r="H1077">
        <v>413</v>
      </c>
      <c r="I1077" t="s">
        <v>1360</v>
      </c>
      <c r="J1077">
        <v>27481</v>
      </c>
      <c r="K1077">
        <v>92</v>
      </c>
      <c r="L1077">
        <v>0</v>
      </c>
      <c r="M1077">
        <v>4</v>
      </c>
      <c r="N1077" t="s">
        <v>101</v>
      </c>
      <c r="O1077">
        <v>2012</v>
      </c>
      <c r="P1077" t="s">
        <v>18</v>
      </c>
    </row>
    <row r="1078" spans="1:16" x14ac:dyDescent="0.3">
      <c r="A1078">
        <v>660</v>
      </c>
      <c r="B1078" t="s">
        <v>520</v>
      </c>
      <c r="C1078" t="s">
        <v>1361</v>
      </c>
      <c r="D1078" t="str">
        <f>VLOOKUP(YouTube_University_Data_Final[[#This Row],[Title]],[1]!YouTube_University_Data_Final[[Title]:[Title_language]],2,FALSE)</f>
        <v>English</v>
      </c>
      <c r="E1078" t="s">
        <v>1362</v>
      </c>
      <c r="F1078">
        <v>27</v>
      </c>
      <c r="G1078" s="1">
        <v>41228</v>
      </c>
      <c r="H1078">
        <v>180</v>
      </c>
      <c r="I1078" t="s">
        <v>1363</v>
      </c>
      <c r="J1078">
        <v>138</v>
      </c>
      <c r="K1078">
        <v>0</v>
      </c>
      <c r="L1078">
        <v>0</v>
      </c>
      <c r="M1078">
        <v>0</v>
      </c>
      <c r="N1078" t="s">
        <v>101</v>
      </c>
      <c r="O1078">
        <v>2012</v>
      </c>
      <c r="P1078" t="s">
        <v>18</v>
      </c>
    </row>
    <row r="1079" spans="1:16" x14ac:dyDescent="0.3">
      <c r="A1079">
        <v>661</v>
      </c>
      <c r="B1079" t="s">
        <v>520</v>
      </c>
      <c r="C1079" t="s">
        <v>1364</v>
      </c>
      <c r="D1079" t="str">
        <f>VLOOKUP(YouTube_University_Data_Final[[#This Row],[Title]],[1]!YouTube_University_Data_Final[[Title]:[Title_language]],2,FALSE)</f>
        <v>English</v>
      </c>
      <c r="E1079" t="s">
        <v>1365</v>
      </c>
      <c r="F1079">
        <v>27</v>
      </c>
      <c r="G1079" s="1">
        <v>41227</v>
      </c>
      <c r="H1079">
        <v>29</v>
      </c>
      <c r="I1079" t="s">
        <v>1366</v>
      </c>
      <c r="J1079">
        <v>193</v>
      </c>
      <c r="K1079">
        <v>0</v>
      </c>
      <c r="L1079">
        <v>0</v>
      </c>
      <c r="M1079">
        <v>0</v>
      </c>
      <c r="N1079" t="s">
        <v>101</v>
      </c>
      <c r="O1079">
        <v>2012</v>
      </c>
      <c r="P1079" t="s">
        <v>18</v>
      </c>
    </row>
    <row r="1080" spans="1:16" x14ac:dyDescent="0.3">
      <c r="A1080">
        <v>662</v>
      </c>
      <c r="B1080" t="s">
        <v>520</v>
      </c>
      <c r="C1080" t="s">
        <v>1367</v>
      </c>
      <c r="D1080" t="str">
        <f>VLOOKUP(YouTube_University_Data_Final[[#This Row],[Title]],[1]!YouTube_University_Data_Final[[Title]:[Title_language]],2,FALSE)</f>
        <v>English</v>
      </c>
      <c r="E1080" t="s">
        <v>1368</v>
      </c>
      <c r="F1080">
        <v>27</v>
      </c>
      <c r="G1080" s="1">
        <v>41227</v>
      </c>
      <c r="H1080">
        <v>213</v>
      </c>
      <c r="I1080" t="s">
        <v>1369</v>
      </c>
      <c r="J1080">
        <v>589</v>
      </c>
      <c r="K1080">
        <v>8</v>
      </c>
      <c r="L1080">
        <v>0</v>
      </c>
      <c r="M1080">
        <v>0</v>
      </c>
      <c r="N1080" t="s">
        <v>101</v>
      </c>
      <c r="O1080">
        <v>2012</v>
      </c>
      <c r="P1080" t="s">
        <v>18</v>
      </c>
    </row>
    <row r="1081" spans="1:16" x14ac:dyDescent="0.3">
      <c r="A1081">
        <v>663</v>
      </c>
      <c r="B1081" t="s">
        <v>520</v>
      </c>
      <c r="C1081" t="s">
        <v>1370</v>
      </c>
      <c r="D1081" t="str">
        <f>VLOOKUP(YouTube_University_Data_Final[[#This Row],[Title]],[1]!YouTube_University_Data_Final[[Title]:[Title_language]],2,FALSE)</f>
        <v>English</v>
      </c>
      <c r="E1081" t="s">
        <v>1371</v>
      </c>
      <c r="F1081">
        <v>27</v>
      </c>
      <c r="G1081" s="1">
        <v>41221</v>
      </c>
      <c r="H1081">
        <v>245</v>
      </c>
      <c r="I1081" t="s">
        <v>1372</v>
      </c>
      <c r="J1081">
        <v>860</v>
      </c>
      <c r="K1081">
        <v>1</v>
      </c>
      <c r="L1081">
        <v>0</v>
      </c>
      <c r="M1081">
        <v>0</v>
      </c>
      <c r="N1081" t="s">
        <v>101</v>
      </c>
      <c r="O1081">
        <v>2012</v>
      </c>
      <c r="P1081" t="s">
        <v>18</v>
      </c>
    </row>
    <row r="1082" spans="1:16" x14ac:dyDescent="0.3">
      <c r="A1082">
        <v>664</v>
      </c>
      <c r="B1082" t="s">
        <v>520</v>
      </c>
      <c r="C1082" t="s">
        <v>1373</v>
      </c>
      <c r="D1082" t="str">
        <f>VLOOKUP(YouTube_University_Data_Final[[#This Row],[Title]],[1]!YouTube_University_Data_Final[[Title]:[Title_language]],2,FALSE)</f>
        <v>English</v>
      </c>
      <c r="E1082" t="s">
        <v>1374</v>
      </c>
      <c r="F1082">
        <v>27</v>
      </c>
      <c r="G1082" s="1">
        <v>41214</v>
      </c>
      <c r="H1082">
        <v>120</v>
      </c>
      <c r="I1082" t="s">
        <v>2944</v>
      </c>
      <c r="J1082">
        <v>1144</v>
      </c>
      <c r="K1082">
        <v>5</v>
      </c>
      <c r="L1082">
        <v>0</v>
      </c>
      <c r="M1082">
        <v>0</v>
      </c>
      <c r="N1082" t="s">
        <v>101</v>
      </c>
      <c r="O1082">
        <v>2012</v>
      </c>
      <c r="P1082" t="s">
        <v>18</v>
      </c>
    </row>
    <row r="1083" spans="1:16" x14ac:dyDescent="0.3">
      <c r="A1083">
        <v>665</v>
      </c>
      <c r="B1083" t="s">
        <v>520</v>
      </c>
      <c r="C1083" t="s">
        <v>1375</v>
      </c>
      <c r="D1083" t="str">
        <f>VLOOKUP(YouTube_University_Data_Final[[#This Row],[Title]],[1]!YouTube_University_Data_Final[[Title]:[Title_language]],2,FALSE)</f>
        <v>English</v>
      </c>
      <c r="E1083" t="s">
        <v>1376</v>
      </c>
      <c r="F1083">
        <v>27</v>
      </c>
      <c r="G1083" s="1">
        <v>41211</v>
      </c>
      <c r="H1083">
        <v>115</v>
      </c>
      <c r="I1083" t="s">
        <v>1377</v>
      </c>
      <c r="J1083">
        <v>3681</v>
      </c>
      <c r="K1083">
        <v>9</v>
      </c>
      <c r="L1083">
        <v>0</v>
      </c>
      <c r="M1083">
        <v>1</v>
      </c>
      <c r="N1083" t="s">
        <v>17</v>
      </c>
      <c r="O1083">
        <v>2012</v>
      </c>
      <c r="P1083" t="s">
        <v>18</v>
      </c>
    </row>
    <row r="1084" spans="1:16" x14ac:dyDescent="0.3">
      <c r="A1084">
        <v>666</v>
      </c>
      <c r="B1084" t="s">
        <v>520</v>
      </c>
      <c r="C1084" t="s">
        <v>1378</v>
      </c>
      <c r="D1084" t="str">
        <f>VLOOKUP(YouTube_University_Data_Final[[#This Row],[Title]],[1]!YouTube_University_Data_Final[[Title]:[Title_language]],2,FALSE)</f>
        <v>English</v>
      </c>
      <c r="E1084" t="s">
        <v>1379</v>
      </c>
      <c r="F1084">
        <v>27</v>
      </c>
      <c r="G1084" s="1">
        <v>41211</v>
      </c>
      <c r="H1084">
        <v>121</v>
      </c>
      <c r="I1084" t="s">
        <v>1380</v>
      </c>
      <c r="J1084">
        <v>764</v>
      </c>
      <c r="K1084">
        <v>1</v>
      </c>
      <c r="L1084">
        <v>0</v>
      </c>
      <c r="M1084">
        <v>0</v>
      </c>
      <c r="N1084" t="s">
        <v>17</v>
      </c>
      <c r="O1084">
        <v>2012</v>
      </c>
      <c r="P1084" t="s">
        <v>18</v>
      </c>
    </row>
    <row r="1085" spans="1:16" x14ac:dyDescent="0.3">
      <c r="A1085">
        <v>667</v>
      </c>
      <c r="B1085" t="s">
        <v>520</v>
      </c>
      <c r="C1085" t="s">
        <v>1381</v>
      </c>
      <c r="D1085" t="str">
        <f>VLOOKUP(YouTube_University_Data_Final[[#This Row],[Title]],[1]!YouTube_University_Data_Final[[Title]:[Title_language]],2,FALSE)</f>
        <v>English</v>
      </c>
      <c r="E1085" t="s">
        <v>1382</v>
      </c>
      <c r="F1085">
        <v>27</v>
      </c>
      <c r="G1085" s="1">
        <v>41211</v>
      </c>
      <c r="H1085">
        <v>203</v>
      </c>
      <c r="I1085" t="s">
        <v>1383</v>
      </c>
      <c r="J1085">
        <v>59</v>
      </c>
      <c r="K1085">
        <v>1</v>
      </c>
      <c r="L1085">
        <v>0</v>
      </c>
      <c r="M1085">
        <v>0</v>
      </c>
      <c r="N1085" t="s">
        <v>17</v>
      </c>
      <c r="O1085">
        <v>2012</v>
      </c>
      <c r="P1085" t="s">
        <v>18</v>
      </c>
    </row>
    <row r="1086" spans="1:16" x14ac:dyDescent="0.3">
      <c r="A1086">
        <v>668</v>
      </c>
      <c r="B1086" t="s">
        <v>520</v>
      </c>
      <c r="C1086" t="s">
        <v>1384</v>
      </c>
      <c r="D1086" t="str">
        <f>VLOOKUP(YouTube_University_Data_Final[[#This Row],[Title]],[1]!YouTube_University_Data_Final[[Title]:[Title_language]],2,FALSE)</f>
        <v>English</v>
      </c>
      <c r="E1086" t="s">
        <v>1385</v>
      </c>
      <c r="F1086">
        <v>27</v>
      </c>
      <c r="G1086" s="1">
        <v>41211</v>
      </c>
      <c r="H1086">
        <v>207</v>
      </c>
      <c r="I1086" t="s">
        <v>1386</v>
      </c>
      <c r="J1086">
        <v>397</v>
      </c>
      <c r="K1086">
        <v>0</v>
      </c>
      <c r="L1086">
        <v>0</v>
      </c>
      <c r="M1086">
        <v>0</v>
      </c>
      <c r="N1086" t="s">
        <v>17</v>
      </c>
      <c r="O1086">
        <v>2012</v>
      </c>
      <c r="P1086" t="s">
        <v>18</v>
      </c>
    </row>
    <row r="1087" spans="1:16" x14ac:dyDescent="0.3">
      <c r="A1087">
        <v>669</v>
      </c>
      <c r="B1087" t="s">
        <v>520</v>
      </c>
      <c r="C1087" t="s">
        <v>1387</v>
      </c>
      <c r="D1087" t="str">
        <f>VLOOKUP(YouTube_University_Data_Final[[#This Row],[Title]],[1]!YouTube_University_Data_Final[[Title]:[Title_language]],2,FALSE)</f>
        <v>English</v>
      </c>
      <c r="E1087" t="s">
        <v>1388</v>
      </c>
      <c r="F1087">
        <v>27</v>
      </c>
      <c r="G1087" s="1">
        <v>41211</v>
      </c>
      <c r="H1087">
        <v>41</v>
      </c>
      <c r="I1087" t="s">
        <v>1389</v>
      </c>
      <c r="J1087">
        <v>9282</v>
      </c>
      <c r="K1087">
        <v>38</v>
      </c>
      <c r="L1087">
        <v>0</v>
      </c>
      <c r="M1087">
        <v>1</v>
      </c>
      <c r="N1087" t="s">
        <v>17</v>
      </c>
      <c r="O1087">
        <v>2012</v>
      </c>
      <c r="P1087" t="s">
        <v>18</v>
      </c>
    </row>
    <row r="1088" spans="1:16" x14ac:dyDescent="0.3">
      <c r="A1088">
        <v>670</v>
      </c>
      <c r="B1088" t="s">
        <v>520</v>
      </c>
      <c r="C1088" t="s">
        <v>1390</v>
      </c>
      <c r="D1088" t="str">
        <f>VLOOKUP(YouTube_University_Data_Final[[#This Row],[Title]],[1]!YouTube_University_Data_Final[[Title]:[Title_language]],2,FALSE)</f>
        <v>English</v>
      </c>
      <c r="E1088" t="s">
        <v>1391</v>
      </c>
      <c r="F1088">
        <v>27</v>
      </c>
      <c r="G1088" s="1">
        <v>40871</v>
      </c>
      <c r="H1088">
        <v>235</v>
      </c>
      <c r="I1088" t="s">
        <v>1392</v>
      </c>
      <c r="J1088">
        <v>10468</v>
      </c>
      <c r="K1088">
        <v>15</v>
      </c>
      <c r="L1088">
        <v>0</v>
      </c>
      <c r="M1088">
        <v>3</v>
      </c>
      <c r="N1088" t="s">
        <v>101</v>
      </c>
      <c r="O1088">
        <v>2011</v>
      </c>
      <c r="P1088" t="s">
        <v>18</v>
      </c>
    </row>
    <row r="1089" spans="1:16" x14ac:dyDescent="0.3">
      <c r="A1089">
        <v>671</v>
      </c>
      <c r="B1089" t="s">
        <v>520</v>
      </c>
      <c r="C1089" t="s">
        <v>1393</v>
      </c>
      <c r="D1089" t="str">
        <f>VLOOKUP(YouTube_University_Data_Final[[#This Row],[Title]],[1]!YouTube_University_Data_Final[[Title]:[Title_language]],2,FALSE)</f>
        <v>English</v>
      </c>
      <c r="E1089" t="s">
        <v>1394</v>
      </c>
      <c r="F1089">
        <v>10</v>
      </c>
      <c r="G1089" s="1">
        <v>40630</v>
      </c>
      <c r="H1089">
        <v>136</v>
      </c>
      <c r="I1089" t="s">
        <v>1395</v>
      </c>
      <c r="J1089">
        <v>934</v>
      </c>
      <c r="K1089">
        <v>1</v>
      </c>
      <c r="L1089">
        <v>0</v>
      </c>
      <c r="M1089">
        <v>0</v>
      </c>
      <c r="N1089" t="s">
        <v>90</v>
      </c>
      <c r="O1089">
        <v>2011</v>
      </c>
      <c r="P1089" t="s">
        <v>1396</v>
      </c>
    </row>
    <row r="1090" spans="1:16" x14ac:dyDescent="0.3">
      <c r="A1090">
        <v>672</v>
      </c>
      <c r="B1090" t="s">
        <v>520</v>
      </c>
      <c r="C1090" t="s">
        <v>1397</v>
      </c>
      <c r="D1090" t="str">
        <f>VLOOKUP(YouTube_University_Data_Final[[#This Row],[Title]],[1]!YouTube_University_Data_Final[[Title]:[Title_language]],2,FALSE)</f>
        <v>English</v>
      </c>
      <c r="E1090" t="s">
        <v>1398</v>
      </c>
      <c r="F1090">
        <v>10</v>
      </c>
      <c r="G1090" s="1">
        <v>40623</v>
      </c>
      <c r="H1090">
        <v>240</v>
      </c>
      <c r="I1090" t="s">
        <v>1399</v>
      </c>
      <c r="J1090">
        <v>527</v>
      </c>
      <c r="K1090">
        <v>4</v>
      </c>
      <c r="L1090">
        <v>0</v>
      </c>
      <c r="M1090">
        <v>0</v>
      </c>
      <c r="N1090" t="s">
        <v>90</v>
      </c>
      <c r="O1090">
        <v>2011</v>
      </c>
      <c r="P1090" t="s">
        <v>1396</v>
      </c>
    </row>
    <row r="1091" spans="1:16" x14ac:dyDescent="0.3">
      <c r="A1091">
        <v>673</v>
      </c>
      <c r="B1091" t="s">
        <v>520</v>
      </c>
      <c r="C1091" t="s">
        <v>1400</v>
      </c>
      <c r="D1091" t="str">
        <f>VLOOKUP(YouTube_University_Data_Final[[#This Row],[Title]],[1]!YouTube_University_Data_Final[[Title]:[Title_language]],2,FALSE)</f>
        <v>English</v>
      </c>
      <c r="E1091" t="s">
        <v>2944</v>
      </c>
      <c r="F1091">
        <v>10</v>
      </c>
      <c r="G1091" s="1">
        <v>40529</v>
      </c>
      <c r="H1091">
        <v>21</v>
      </c>
      <c r="I1091" t="s">
        <v>1401</v>
      </c>
      <c r="J1091">
        <v>145</v>
      </c>
      <c r="K1091">
        <v>0</v>
      </c>
      <c r="L1091">
        <v>0</v>
      </c>
      <c r="M1091">
        <v>0</v>
      </c>
      <c r="N1091" t="s">
        <v>98</v>
      </c>
      <c r="O1091">
        <v>2010</v>
      </c>
      <c r="P1091" t="s">
        <v>1396</v>
      </c>
    </row>
    <row r="1092" spans="1:16" x14ac:dyDescent="0.3">
      <c r="A1092">
        <v>674</v>
      </c>
      <c r="B1092" t="s">
        <v>520</v>
      </c>
      <c r="C1092" t="s">
        <v>1287</v>
      </c>
      <c r="D1092" t="str">
        <f>VLOOKUP(YouTube_University_Data_Final[[#This Row],[Title]],[1]!YouTube_University_Data_Final[[Title]:[Title_language]],2,FALSE)</f>
        <v>English</v>
      </c>
      <c r="E1092" t="s">
        <v>2944</v>
      </c>
      <c r="F1092">
        <v>10</v>
      </c>
      <c r="G1092" s="1">
        <v>40529</v>
      </c>
      <c r="H1092">
        <v>43</v>
      </c>
      <c r="I1092" t="s">
        <v>1402</v>
      </c>
      <c r="J1092">
        <v>409</v>
      </c>
      <c r="K1092">
        <v>1</v>
      </c>
      <c r="L1092">
        <v>0</v>
      </c>
      <c r="M1092">
        <v>0</v>
      </c>
      <c r="N1092" t="s">
        <v>98</v>
      </c>
      <c r="O1092">
        <v>2010</v>
      </c>
      <c r="P1092" t="s">
        <v>1396</v>
      </c>
    </row>
    <row r="1093" spans="1:16" x14ac:dyDescent="0.3">
      <c r="A1093">
        <v>675</v>
      </c>
      <c r="B1093" t="s">
        <v>520</v>
      </c>
      <c r="C1093" t="s">
        <v>1403</v>
      </c>
      <c r="D1093" t="str">
        <f>VLOOKUP(YouTube_University_Data_Final[[#This Row],[Title]],[1]!YouTube_University_Data_Final[[Title]:[Title_language]],2,FALSE)</f>
        <v>English</v>
      </c>
      <c r="E1093" t="s">
        <v>2944</v>
      </c>
      <c r="F1093">
        <v>10</v>
      </c>
      <c r="G1093" s="1">
        <v>40511</v>
      </c>
      <c r="H1093">
        <v>131</v>
      </c>
      <c r="I1093" t="s">
        <v>1404</v>
      </c>
      <c r="J1093">
        <v>1075</v>
      </c>
      <c r="K1093">
        <v>2</v>
      </c>
      <c r="L1093">
        <v>0</v>
      </c>
      <c r="M1093">
        <v>0</v>
      </c>
      <c r="N1093" t="s">
        <v>101</v>
      </c>
      <c r="O1093">
        <v>2010</v>
      </c>
      <c r="P1093" t="s">
        <v>1396</v>
      </c>
    </row>
    <row r="1094" spans="1:16" x14ac:dyDescent="0.3">
      <c r="A1094">
        <v>676</v>
      </c>
      <c r="B1094" t="s">
        <v>520</v>
      </c>
      <c r="C1094" t="s">
        <v>1405</v>
      </c>
      <c r="D1094" t="str">
        <f>VLOOKUP(YouTube_University_Data_Final[[#This Row],[Title]],[1]!YouTube_University_Data_Final[[Title]:[Title_language]],2,FALSE)</f>
        <v>English</v>
      </c>
      <c r="E1094" t="s">
        <v>470</v>
      </c>
      <c r="F1094">
        <v>10</v>
      </c>
      <c r="G1094" s="1">
        <v>40499</v>
      </c>
      <c r="H1094">
        <v>437</v>
      </c>
      <c r="I1094" t="s">
        <v>1406</v>
      </c>
      <c r="J1094">
        <v>6309</v>
      </c>
      <c r="K1094">
        <v>21</v>
      </c>
      <c r="L1094">
        <v>0</v>
      </c>
      <c r="M1094">
        <v>0</v>
      </c>
      <c r="N1094" t="s">
        <v>101</v>
      </c>
      <c r="O1094">
        <v>2010</v>
      </c>
      <c r="P1094" t="s">
        <v>1396</v>
      </c>
    </row>
    <row r="1095" spans="1:16" x14ac:dyDescent="0.3">
      <c r="A1095">
        <v>677</v>
      </c>
      <c r="B1095" t="s">
        <v>520</v>
      </c>
      <c r="C1095" t="s">
        <v>1407</v>
      </c>
      <c r="D1095" t="str">
        <f>VLOOKUP(YouTube_University_Data_Final[[#This Row],[Title]],[1]!YouTube_University_Data_Final[[Title]:[Title_language]],2,FALSE)</f>
        <v>English</v>
      </c>
      <c r="E1095" t="s">
        <v>1207</v>
      </c>
      <c r="F1095">
        <v>10</v>
      </c>
      <c r="G1095" s="1">
        <v>40498</v>
      </c>
      <c r="H1095">
        <v>63</v>
      </c>
      <c r="I1095" t="s">
        <v>1408</v>
      </c>
      <c r="J1095">
        <v>207</v>
      </c>
      <c r="K1095">
        <v>0</v>
      </c>
      <c r="L1095">
        <v>0</v>
      </c>
      <c r="M1095">
        <v>0</v>
      </c>
      <c r="N1095" t="s">
        <v>101</v>
      </c>
      <c r="O1095">
        <v>2010</v>
      </c>
      <c r="P1095" t="s">
        <v>1396</v>
      </c>
    </row>
    <row r="1096" spans="1:16" x14ac:dyDescent="0.3">
      <c r="A1096">
        <v>678</v>
      </c>
      <c r="B1096" t="s">
        <v>520</v>
      </c>
      <c r="C1096" t="s">
        <v>3358</v>
      </c>
      <c r="D1096" t="str">
        <f>VLOOKUP(YouTube_University_Data_Final[[#This Row],[Title]],[1]!YouTube_University_Data_Final[[Title]:[Title_language]],2,FALSE)</f>
        <v>Bilingual</v>
      </c>
      <c r="E1096" t="s">
        <v>3359</v>
      </c>
      <c r="F1096">
        <v>10</v>
      </c>
      <c r="G1096" s="1">
        <v>40305</v>
      </c>
      <c r="H1096">
        <v>123</v>
      </c>
      <c r="I1096" t="s">
        <v>3360</v>
      </c>
      <c r="J1096">
        <v>7178</v>
      </c>
      <c r="K1096">
        <v>25</v>
      </c>
      <c r="L1096">
        <v>0</v>
      </c>
      <c r="M1096">
        <v>3</v>
      </c>
      <c r="N1096" t="s">
        <v>81</v>
      </c>
      <c r="O1096">
        <v>2010</v>
      </c>
      <c r="P1096" t="s">
        <v>1396</v>
      </c>
    </row>
    <row r="1097" spans="1:16" x14ac:dyDescent="0.3">
      <c r="A1097">
        <v>679</v>
      </c>
      <c r="B1097" t="s">
        <v>520</v>
      </c>
      <c r="C1097" t="s">
        <v>1409</v>
      </c>
      <c r="D1097" t="str">
        <f>VLOOKUP(YouTube_University_Data_Final[[#This Row],[Title]],[1]!YouTube_University_Data_Final[[Title]:[Title_language]],2,FALSE)</f>
        <v>English</v>
      </c>
      <c r="E1097" t="s">
        <v>1410</v>
      </c>
      <c r="F1097">
        <v>27</v>
      </c>
      <c r="G1097" s="1">
        <v>40291</v>
      </c>
      <c r="H1097">
        <v>324</v>
      </c>
      <c r="I1097" t="s">
        <v>1411</v>
      </c>
      <c r="J1097">
        <v>798</v>
      </c>
      <c r="K1097">
        <v>0</v>
      </c>
      <c r="L1097">
        <v>0</v>
      </c>
      <c r="M1097">
        <v>2</v>
      </c>
      <c r="N1097" t="s">
        <v>87</v>
      </c>
      <c r="O1097">
        <v>2010</v>
      </c>
      <c r="P1097" t="s">
        <v>18</v>
      </c>
    </row>
    <row r="1098" spans="1:16" x14ac:dyDescent="0.3">
      <c r="A1098">
        <v>680</v>
      </c>
      <c r="B1098" t="s">
        <v>520</v>
      </c>
      <c r="C1098" t="s">
        <v>1412</v>
      </c>
      <c r="D1098" t="str">
        <f>VLOOKUP(YouTube_University_Data_Final[[#This Row],[Title]],[1]!YouTube_University_Data_Final[[Title]:[Title_language]],2,FALSE)</f>
        <v>English</v>
      </c>
      <c r="E1098" t="s">
        <v>1413</v>
      </c>
      <c r="F1098">
        <v>1</v>
      </c>
      <c r="G1098" s="1">
        <v>40262</v>
      </c>
      <c r="H1098">
        <v>128</v>
      </c>
      <c r="I1098" t="s">
        <v>1414</v>
      </c>
      <c r="J1098">
        <v>296</v>
      </c>
      <c r="K1098">
        <v>0</v>
      </c>
      <c r="L1098">
        <v>0</v>
      </c>
      <c r="M1098">
        <v>0</v>
      </c>
      <c r="N1098" t="s">
        <v>90</v>
      </c>
      <c r="O1098">
        <v>2010</v>
      </c>
      <c r="P1098" t="s">
        <v>1415</v>
      </c>
    </row>
    <row r="1099" spans="1:16" x14ac:dyDescent="0.3">
      <c r="A1099">
        <v>681</v>
      </c>
      <c r="B1099" t="s">
        <v>520</v>
      </c>
      <c r="C1099" t="s">
        <v>1416</v>
      </c>
      <c r="D1099" t="str">
        <f>VLOOKUP(YouTube_University_Data_Final[[#This Row],[Title]],[1]!YouTube_University_Data_Final[[Title]:[Title_language]],2,FALSE)</f>
        <v>English</v>
      </c>
      <c r="E1099" t="s">
        <v>1417</v>
      </c>
      <c r="F1099">
        <v>1</v>
      </c>
      <c r="G1099" s="1">
        <v>40262</v>
      </c>
      <c r="H1099">
        <v>154</v>
      </c>
      <c r="I1099" t="s">
        <v>1418</v>
      </c>
      <c r="J1099">
        <v>1199</v>
      </c>
      <c r="K1099">
        <v>3</v>
      </c>
      <c r="L1099">
        <v>0</v>
      </c>
      <c r="M1099">
        <v>0</v>
      </c>
      <c r="N1099" t="s">
        <v>90</v>
      </c>
      <c r="O1099">
        <v>2010</v>
      </c>
      <c r="P1099" t="s">
        <v>1415</v>
      </c>
    </row>
    <row r="1100" spans="1:16" x14ac:dyDescent="0.3">
      <c r="A1100">
        <v>682</v>
      </c>
      <c r="B1100" t="s">
        <v>520</v>
      </c>
      <c r="C1100" t="s">
        <v>1419</v>
      </c>
      <c r="D1100" t="str">
        <f>VLOOKUP(YouTube_University_Data_Final[[#This Row],[Title]],[1]!YouTube_University_Data_Final[[Title]:[Title_language]],2,FALSE)</f>
        <v>English</v>
      </c>
      <c r="E1100" t="s">
        <v>1420</v>
      </c>
      <c r="F1100">
        <v>1</v>
      </c>
      <c r="G1100" s="1">
        <v>40262</v>
      </c>
      <c r="H1100">
        <v>179</v>
      </c>
      <c r="I1100" t="s">
        <v>1421</v>
      </c>
      <c r="J1100">
        <v>439</v>
      </c>
      <c r="K1100">
        <v>1</v>
      </c>
      <c r="L1100">
        <v>0</v>
      </c>
      <c r="M1100">
        <v>0</v>
      </c>
      <c r="N1100" t="s">
        <v>90</v>
      </c>
      <c r="O1100">
        <v>2010</v>
      </c>
      <c r="P1100" t="s">
        <v>1415</v>
      </c>
    </row>
    <row r="1101" spans="1:16" x14ac:dyDescent="0.3">
      <c r="A1101">
        <v>683</v>
      </c>
      <c r="B1101" t="s">
        <v>520</v>
      </c>
      <c r="C1101" t="s">
        <v>1422</v>
      </c>
      <c r="D1101" t="str">
        <f>VLOOKUP(YouTube_University_Data_Final[[#This Row],[Title]],[1]!YouTube_University_Data_Final[[Title]:[Title_language]],2,FALSE)</f>
        <v>English</v>
      </c>
      <c r="E1101" t="s">
        <v>470</v>
      </c>
      <c r="F1101">
        <v>1</v>
      </c>
      <c r="G1101" s="1">
        <v>40256</v>
      </c>
      <c r="H1101">
        <v>471</v>
      </c>
      <c r="I1101" t="s">
        <v>1423</v>
      </c>
      <c r="J1101">
        <v>235</v>
      </c>
      <c r="K1101">
        <v>1</v>
      </c>
      <c r="L1101">
        <v>0</v>
      </c>
      <c r="M1101">
        <v>0</v>
      </c>
      <c r="N1101" t="s">
        <v>90</v>
      </c>
      <c r="O1101">
        <v>2010</v>
      </c>
      <c r="P1101" t="s">
        <v>1415</v>
      </c>
    </row>
    <row r="1102" spans="1:16" x14ac:dyDescent="0.3">
      <c r="A1102">
        <v>684</v>
      </c>
      <c r="B1102" t="s">
        <v>520</v>
      </c>
      <c r="C1102" t="s">
        <v>1424</v>
      </c>
      <c r="D1102" t="str">
        <f>VLOOKUP(YouTube_University_Data_Final[[#This Row],[Title]],[1]!YouTube_University_Data_Final[[Title]:[Title_language]],2,FALSE)</f>
        <v>English</v>
      </c>
      <c r="E1102" t="s">
        <v>470</v>
      </c>
      <c r="F1102">
        <v>1</v>
      </c>
      <c r="G1102" s="1">
        <v>40256</v>
      </c>
      <c r="H1102">
        <v>541</v>
      </c>
      <c r="I1102" t="s">
        <v>1425</v>
      </c>
      <c r="J1102">
        <v>184</v>
      </c>
      <c r="K1102">
        <v>2</v>
      </c>
      <c r="L1102">
        <v>0</v>
      </c>
      <c r="M1102">
        <v>0</v>
      </c>
      <c r="N1102" t="s">
        <v>90</v>
      </c>
      <c r="O1102">
        <v>2010</v>
      </c>
      <c r="P1102" t="s">
        <v>1415</v>
      </c>
    </row>
    <row r="1103" spans="1:16" x14ac:dyDescent="0.3">
      <c r="A1103">
        <v>685</v>
      </c>
      <c r="B1103" t="s">
        <v>520</v>
      </c>
      <c r="C1103" t="s">
        <v>1426</v>
      </c>
      <c r="D1103" t="str">
        <f>VLOOKUP(YouTube_University_Data_Final[[#This Row],[Title]],[1]!YouTube_University_Data_Final[[Title]:[Title_language]],2,FALSE)</f>
        <v>English</v>
      </c>
      <c r="E1103" t="s">
        <v>470</v>
      </c>
      <c r="F1103">
        <v>1</v>
      </c>
      <c r="G1103" s="1">
        <v>40256</v>
      </c>
      <c r="H1103">
        <v>542</v>
      </c>
      <c r="I1103" t="s">
        <v>1427</v>
      </c>
      <c r="J1103">
        <v>251</v>
      </c>
      <c r="K1103">
        <v>2</v>
      </c>
      <c r="L1103">
        <v>0</v>
      </c>
      <c r="M1103">
        <v>0</v>
      </c>
      <c r="N1103" t="s">
        <v>90</v>
      </c>
      <c r="O1103">
        <v>2010</v>
      </c>
      <c r="P1103" t="s">
        <v>1415</v>
      </c>
    </row>
    <row r="1104" spans="1:16" x14ac:dyDescent="0.3">
      <c r="A1104">
        <v>686</v>
      </c>
      <c r="B1104" t="s">
        <v>520</v>
      </c>
      <c r="C1104" t="s">
        <v>1428</v>
      </c>
      <c r="D1104" t="str">
        <f>VLOOKUP(YouTube_University_Data_Final[[#This Row],[Title]],[1]!YouTube_University_Data_Final[[Title]:[Title_language]],2,FALSE)</f>
        <v>English</v>
      </c>
      <c r="E1104" t="s">
        <v>470</v>
      </c>
      <c r="F1104">
        <v>1</v>
      </c>
      <c r="G1104" s="1">
        <v>40256</v>
      </c>
      <c r="H1104">
        <v>541</v>
      </c>
      <c r="I1104" t="s">
        <v>1429</v>
      </c>
      <c r="J1104">
        <v>2805</v>
      </c>
      <c r="K1104">
        <v>2</v>
      </c>
      <c r="L1104">
        <v>0</v>
      </c>
      <c r="M1104">
        <v>0</v>
      </c>
      <c r="N1104" t="s">
        <v>90</v>
      </c>
      <c r="O1104">
        <v>2010</v>
      </c>
      <c r="P1104" t="s">
        <v>1415</v>
      </c>
    </row>
    <row r="1105" spans="1:16" x14ac:dyDescent="0.3">
      <c r="A1105">
        <v>687</v>
      </c>
      <c r="B1105" t="s">
        <v>520</v>
      </c>
      <c r="C1105" t="s">
        <v>1430</v>
      </c>
      <c r="D1105" t="str">
        <f>VLOOKUP(YouTube_University_Data_Final[[#This Row],[Title]],[1]!YouTube_University_Data_Final[[Title]:[Title_language]],2,FALSE)</f>
        <v>English</v>
      </c>
      <c r="E1105" t="s">
        <v>470</v>
      </c>
      <c r="F1105">
        <v>1</v>
      </c>
      <c r="G1105" s="1">
        <v>40256</v>
      </c>
      <c r="H1105">
        <v>541</v>
      </c>
      <c r="I1105" t="s">
        <v>1431</v>
      </c>
      <c r="J1105">
        <v>277</v>
      </c>
      <c r="K1105">
        <v>2</v>
      </c>
      <c r="L1105">
        <v>0</v>
      </c>
      <c r="M1105">
        <v>0</v>
      </c>
      <c r="N1105" t="s">
        <v>90</v>
      </c>
      <c r="O1105">
        <v>2010</v>
      </c>
      <c r="P1105" t="s">
        <v>1415</v>
      </c>
    </row>
    <row r="1106" spans="1:16" x14ac:dyDescent="0.3">
      <c r="A1106">
        <v>688</v>
      </c>
      <c r="B1106" t="s">
        <v>520</v>
      </c>
      <c r="C1106" t="s">
        <v>1432</v>
      </c>
      <c r="D1106" t="str">
        <f>VLOOKUP(YouTube_University_Data_Final[[#This Row],[Title]],[1]!YouTube_University_Data_Final[[Title]:[Title_language]],2,FALSE)</f>
        <v>English</v>
      </c>
      <c r="E1106" t="s">
        <v>1433</v>
      </c>
      <c r="F1106">
        <v>1</v>
      </c>
      <c r="G1106" s="1">
        <v>40242</v>
      </c>
      <c r="H1106">
        <v>381</v>
      </c>
      <c r="I1106" t="s">
        <v>1434</v>
      </c>
      <c r="J1106">
        <v>1706</v>
      </c>
      <c r="K1106">
        <v>6</v>
      </c>
      <c r="L1106">
        <v>0</v>
      </c>
      <c r="M1106">
        <v>1</v>
      </c>
      <c r="N1106" t="s">
        <v>90</v>
      </c>
      <c r="O1106">
        <v>2010</v>
      </c>
      <c r="P1106" t="s">
        <v>1415</v>
      </c>
    </row>
    <row r="1107" spans="1:16" x14ac:dyDescent="0.3">
      <c r="A1107">
        <v>689</v>
      </c>
      <c r="B1107" t="s">
        <v>520</v>
      </c>
      <c r="C1107" t="s">
        <v>3361</v>
      </c>
      <c r="D1107" t="str">
        <f>VLOOKUP(YouTube_University_Data_Final[[#This Row],[Title]],[1]!YouTube_University_Data_Final[[Title]:[Title_language]],2,FALSE)</f>
        <v>Bilingual</v>
      </c>
      <c r="E1107" t="s">
        <v>1435</v>
      </c>
      <c r="F1107">
        <v>27</v>
      </c>
      <c r="G1107" s="1">
        <v>40206</v>
      </c>
      <c r="H1107">
        <v>368</v>
      </c>
      <c r="I1107" t="s">
        <v>1436</v>
      </c>
      <c r="J1107">
        <v>3042</v>
      </c>
      <c r="K1107">
        <v>7</v>
      </c>
      <c r="L1107">
        <v>0</v>
      </c>
      <c r="M1107">
        <v>1</v>
      </c>
      <c r="N1107" t="s">
        <v>93</v>
      </c>
      <c r="O1107">
        <v>2010</v>
      </c>
      <c r="P1107" t="s">
        <v>18</v>
      </c>
    </row>
    <row r="1108" spans="1:16" x14ac:dyDescent="0.3">
      <c r="A1108">
        <v>690</v>
      </c>
      <c r="B1108" t="s">
        <v>520</v>
      </c>
      <c r="C1108" t="s">
        <v>1437</v>
      </c>
      <c r="D1108" t="str">
        <f>VLOOKUP(YouTube_University_Data_Final[[#This Row],[Title]],[1]!YouTube_University_Data_Final[[Title]:[Title_language]],2,FALSE)</f>
        <v>English</v>
      </c>
      <c r="E1108" t="s">
        <v>3362</v>
      </c>
      <c r="F1108">
        <v>27</v>
      </c>
      <c r="G1108" s="1">
        <v>40163</v>
      </c>
      <c r="H1108">
        <v>207</v>
      </c>
      <c r="I1108" t="s">
        <v>1438</v>
      </c>
      <c r="J1108">
        <v>587</v>
      </c>
      <c r="K1108">
        <v>2</v>
      </c>
      <c r="L1108">
        <v>0</v>
      </c>
      <c r="M1108">
        <v>0</v>
      </c>
      <c r="N1108" t="s">
        <v>98</v>
      </c>
      <c r="O1108">
        <v>2009</v>
      </c>
      <c r="P1108" t="s">
        <v>18</v>
      </c>
    </row>
    <row r="1109" spans="1:16" x14ac:dyDescent="0.3">
      <c r="A1109">
        <v>691</v>
      </c>
      <c r="B1109" t="s">
        <v>520</v>
      </c>
      <c r="C1109" t="s">
        <v>1439</v>
      </c>
      <c r="D1109" t="str">
        <f>VLOOKUP(YouTube_University_Data_Final[[#This Row],[Title]],[1]!YouTube_University_Data_Final[[Title]:[Title_language]],2,FALSE)</f>
        <v>English</v>
      </c>
      <c r="E1109" t="s">
        <v>470</v>
      </c>
      <c r="F1109">
        <v>27</v>
      </c>
      <c r="G1109" s="1">
        <v>40099</v>
      </c>
      <c r="H1109">
        <v>261</v>
      </c>
      <c r="I1109" t="s">
        <v>1440</v>
      </c>
      <c r="J1109">
        <v>215</v>
      </c>
      <c r="K1109">
        <v>0</v>
      </c>
      <c r="L1109">
        <v>0</v>
      </c>
      <c r="M1109">
        <v>0</v>
      </c>
      <c r="N1109" t="s">
        <v>17</v>
      </c>
      <c r="O1109">
        <v>2009</v>
      </c>
      <c r="P1109" t="s">
        <v>18</v>
      </c>
    </row>
    <row r="1110" spans="1:16" x14ac:dyDescent="0.3">
      <c r="A1110">
        <v>692</v>
      </c>
      <c r="B1110" t="s">
        <v>520</v>
      </c>
      <c r="C1110" t="s">
        <v>1441</v>
      </c>
      <c r="D1110" t="str">
        <f>VLOOKUP(YouTube_University_Data_Final[[#This Row],[Title]],[1]!YouTube_University_Data_Final[[Title]:[Title_language]],2,FALSE)</f>
        <v>English</v>
      </c>
      <c r="E1110" t="s">
        <v>2944</v>
      </c>
      <c r="F1110">
        <v>27</v>
      </c>
      <c r="G1110" s="1">
        <v>40099</v>
      </c>
      <c r="H1110">
        <v>261</v>
      </c>
      <c r="I1110" t="s">
        <v>1442</v>
      </c>
      <c r="J1110">
        <v>22393</v>
      </c>
      <c r="K1110">
        <v>114</v>
      </c>
      <c r="L1110">
        <v>0</v>
      </c>
      <c r="M1110">
        <v>9</v>
      </c>
      <c r="N1110" t="s">
        <v>17</v>
      </c>
      <c r="O1110">
        <v>2009</v>
      </c>
      <c r="P1110" t="s">
        <v>18</v>
      </c>
    </row>
    <row r="1111" spans="1:16" x14ac:dyDescent="0.3">
      <c r="A1111">
        <v>0</v>
      </c>
      <c r="B1111" t="s">
        <v>1443</v>
      </c>
      <c r="C1111" t="s">
        <v>3363</v>
      </c>
      <c r="D1111" t="str">
        <f>VLOOKUP(YouTube_University_Data_Final[[#This Row],[Title]],[1]!YouTube_University_Data_Final[[Title]:[Title_language]],2,FALSE)</f>
        <v>Chinese</v>
      </c>
      <c r="E1111" t="s">
        <v>3364</v>
      </c>
      <c r="F1111">
        <v>10</v>
      </c>
      <c r="G1111" s="1">
        <v>44835</v>
      </c>
      <c r="H1111">
        <v>2906</v>
      </c>
      <c r="I1111" t="s">
        <v>3365</v>
      </c>
      <c r="J1111">
        <v>125</v>
      </c>
      <c r="K1111">
        <v>6</v>
      </c>
      <c r="L1111">
        <v>0</v>
      </c>
      <c r="M1111">
        <v>0</v>
      </c>
      <c r="N1111" t="s">
        <v>17</v>
      </c>
      <c r="O1111">
        <v>2022</v>
      </c>
      <c r="P1111" t="s">
        <v>1396</v>
      </c>
    </row>
    <row r="1112" spans="1:16" x14ac:dyDescent="0.3">
      <c r="A1112">
        <v>1</v>
      </c>
      <c r="B1112" t="s">
        <v>1443</v>
      </c>
      <c r="C1112" t="s">
        <v>3366</v>
      </c>
      <c r="D1112" t="str">
        <f>VLOOKUP(YouTube_University_Data_Final[[#This Row],[Title]],[1]!YouTube_University_Data_Final[[Title]:[Title_language]],2,FALSE)</f>
        <v>Bilingual</v>
      </c>
      <c r="E1112" t="s">
        <v>3367</v>
      </c>
      <c r="F1112">
        <v>27</v>
      </c>
      <c r="G1112" s="1">
        <v>44813</v>
      </c>
      <c r="H1112">
        <v>170</v>
      </c>
      <c r="I1112" t="s">
        <v>3365</v>
      </c>
      <c r="J1112">
        <v>175</v>
      </c>
      <c r="K1112">
        <v>0</v>
      </c>
      <c r="L1112">
        <v>0</v>
      </c>
      <c r="M1112">
        <v>0</v>
      </c>
      <c r="N1112" t="s">
        <v>21</v>
      </c>
      <c r="O1112">
        <v>2022</v>
      </c>
      <c r="P1112" t="s">
        <v>18</v>
      </c>
    </row>
    <row r="1113" spans="1:16" x14ac:dyDescent="0.3">
      <c r="A1113">
        <v>2</v>
      </c>
      <c r="B1113" t="s">
        <v>1443</v>
      </c>
      <c r="C1113" t="s">
        <v>3368</v>
      </c>
      <c r="D1113" t="str">
        <f>VLOOKUP(YouTube_University_Data_Final[[#This Row],[Title]],[1]!YouTube_University_Data_Final[[Title]:[Title_language]],2,FALSE)</f>
        <v>Chinese</v>
      </c>
      <c r="E1113" t="s">
        <v>3369</v>
      </c>
      <c r="F1113">
        <v>27</v>
      </c>
      <c r="G1113" s="1">
        <v>44798</v>
      </c>
      <c r="H1113">
        <v>179</v>
      </c>
      <c r="I1113" t="s">
        <v>3365</v>
      </c>
      <c r="J1113">
        <v>361</v>
      </c>
      <c r="K1113">
        <v>6</v>
      </c>
      <c r="L1113">
        <v>0</v>
      </c>
      <c r="M1113">
        <v>0</v>
      </c>
      <c r="N1113" t="s">
        <v>48</v>
      </c>
      <c r="O1113">
        <v>2022</v>
      </c>
      <c r="P1113" t="s">
        <v>18</v>
      </c>
    </row>
    <row r="1114" spans="1:16" x14ac:dyDescent="0.3">
      <c r="A1114">
        <v>3</v>
      </c>
      <c r="B1114" t="s">
        <v>1443</v>
      </c>
      <c r="C1114" t="s">
        <v>3370</v>
      </c>
      <c r="D1114" t="str">
        <f>VLOOKUP(YouTube_University_Data_Final[[#This Row],[Title]],[1]!YouTube_University_Data_Final[[Title]:[Title_language]],2,FALSE)</f>
        <v>Bilingual</v>
      </c>
      <c r="E1114" t="s">
        <v>3371</v>
      </c>
      <c r="F1114">
        <v>27</v>
      </c>
      <c r="G1114" s="1">
        <v>44774</v>
      </c>
      <c r="H1114">
        <v>170</v>
      </c>
      <c r="I1114" t="s">
        <v>3365</v>
      </c>
      <c r="J1114">
        <v>582</v>
      </c>
      <c r="K1114">
        <v>8</v>
      </c>
      <c r="L1114">
        <v>0</v>
      </c>
      <c r="M1114">
        <v>0</v>
      </c>
      <c r="N1114" t="s">
        <v>48</v>
      </c>
      <c r="O1114">
        <v>2022</v>
      </c>
      <c r="P1114" t="s">
        <v>18</v>
      </c>
    </row>
    <row r="1115" spans="1:16" x14ac:dyDescent="0.3">
      <c r="A1115">
        <v>4</v>
      </c>
      <c r="B1115" t="s">
        <v>1443</v>
      </c>
      <c r="C1115" t="s">
        <v>3372</v>
      </c>
      <c r="D1115" t="str">
        <f>VLOOKUP(YouTube_University_Data_Final[[#This Row],[Title]],[1]!YouTube_University_Data_Final[[Title]:[Title_language]],2,FALSE)</f>
        <v>Bilingual</v>
      </c>
      <c r="E1115" t="s">
        <v>3373</v>
      </c>
      <c r="F1115">
        <v>27</v>
      </c>
      <c r="G1115" s="1">
        <v>44774</v>
      </c>
      <c r="H1115">
        <v>173</v>
      </c>
      <c r="I1115" t="s">
        <v>3365</v>
      </c>
      <c r="J1115">
        <v>820</v>
      </c>
      <c r="K1115">
        <v>1</v>
      </c>
      <c r="L1115">
        <v>0</v>
      </c>
      <c r="M1115">
        <v>0</v>
      </c>
      <c r="N1115" t="s">
        <v>48</v>
      </c>
      <c r="O1115">
        <v>2022</v>
      </c>
      <c r="P1115" t="s">
        <v>18</v>
      </c>
    </row>
    <row r="1116" spans="1:16" x14ac:dyDescent="0.3">
      <c r="A1116">
        <v>5</v>
      </c>
      <c r="B1116" t="s">
        <v>1443</v>
      </c>
      <c r="C1116" t="s">
        <v>3374</v>
      </c>
      <c r="D1116" t="str">
        <f>VLOOKUP(YouTube_University_Data_Final[[#This Row],[Title]],[1]!YouTube_University_Data_Final[[Title]:[Title_language]],2,FALSE)</f>
        <v>Chinese</v>
      </c>
      <c r="E1116" t="s">
        <v>3375</v>
      </c>
      <c r="F1116">
        <v>10</v>
      </c>
      <c r="G1116" s="1">
        <v>44772</v>
      </c>
      <c r="H1116">
        <v>4439</v>
      </c>
      <c r="I1116" t="s">
        <v>3365</v>
      </c>
      <c r="J1116">
        <v>335</v>
      </c>
      <c r="K1116">
        <v>6</v>
      </c>
      <c r="L1116">
        <v>0</v>
      </c>
      <c r="M1116">
        <v>0</v>
      </c>
      <c r="N1116" t="s">
        <v>56</v>
      </c>
      <c r="O1116">
        <v>2022</v>
      </c>
      <c r="P1116" t="s">
        <v>1396</v>
      </c>
    </row>
    <row r="1117" spans="1:16" x14ac:dyDescent="0.3">
      <c r="A1117">
        <v>6</v>
      </c>
      <c r="B1117" t="s">
        <v>1443</v>
      </c>
      <c r="C1117" t="s">
        <v>3376</v>
      </c>
      <c r="D1117" t="str">
        <f>VLOOKUP(YouTube_University_Data_Final[[#This Row],[Title]],[1]!YouTube_University_Data_Final[[Title]:[Title_language]],2,FALSE)</f>
        <v>Bilingual</v>
      </c>
      <c r="E1117" t="s">
        <v>3377</v>
      </c>
      <c r="F1117">
        <v>27</v>
      </c>
      <c r="G1117" s="1">
        <v>44764</v>
      </c>
      <c r="H1117">
        <v>42</v>
      </c>
      <c r="I1117" t="s">
        <v>3365</v>
      </c>
      <c r="J1117">
        <v>719</v>
      </c>
      <c r="K1117">
        <v>7</v>
      </c>
      <c r="L1117">
        <v>0</v>
      </c>
      <c r="M1117">
        <v>0</v>
      </c>
      <c r="N1117" t="s">
        <v>56</v>
      </c>
      <c r="O1117">
        <v>2022</v>
      </c>
      <c r="P1117" t="s">
        <v>18</v>
      </c>
    </row>
    <row r="1118" spans="1:16" x14ac:dyDescent="0.3">
      <c r="A1118">
        <v>7</v>
      </c>
      <c r="B1118" t="s">
        <v>1443</v>
      </c>
      <c r="C1118" t="s">
        <v>3378</v>
      </c>
      <c r="D1118" t="str">
        <f>VLOOKUP(YouTube_University_Data_Final[[#This Row],[Title]],[1]!YouTube_University_Data_Final[[Title]:[Title_language]],2,FALSE)</f>
        <v>Bilingual</v>
      </c>
      <c r="E1118" t="s">
        <v>3379</v>
      </c>
      <c r="F1118">
        <v>27</v>
      </c>
      <c r="G1118" s="1">
        <v>44757</v>
      </c>
      <c r="H1118">
        <v>93</v>
      </c>
      <c r="I1118" t="s">
        <v>3365</v>
      </c>
      <c r="J1118">
        <v>431</v>
      </c>
      <c r="K1118">
        <v>15</v>
      </c>
      <c r="L1118">
        <v>0</v>
      </c>
      <c r="M1118">
        <v>0</v>
      </c>
      <c r="N1118" t="s">
        <v>56</v>
      </c>
      <c r="O1118">
        <v>2022</v>
      </c>
      <c r="P1118" t="s">
        <v>18</v>
      </c>
    </row>
    <row r="1119" spans="1:16" x14ac:dyDescent="0.3">
      <c r="A1119">
        <v>8</v>
      </c>
      <c r="B1119" t="s">
        <v>1443</v>
      </c>
      <c r="C1119" t="s">
        <v>3380</v>
      </c>
      <c r="D1119" t="str">
        <f>VLOOKUP(YouTube_University_Data_Final[[#This Row],[Title]],[1]!YouTube_University_Data_Final[[Title]:[Title_language]],2,FALSE)</f>
        <v>Chinese</v>
      </c>
      <c r="E1119" t="s">
        <v>2944</v>
      </c>
      <c r="F1119">
        <v>10</v>
      </c>
      <c r="G1119" s="1">
        <v>44745</v>
      </c>
      <c r="H1119">
        <v>4773</v>
      </c>
      <c r="I1119" t="s">
        <v>3365</v>
      </c>
      <c r="J1119">
        <v>796</v>
      </c>
      <c r="K1119">
        <v>13</v>
      </c>
      <c r="L1119">
        <v>0</v>
      </c>
      <c r="M1119">
        <v>0</v>
      </c>
      <c r="N1119" t="s">
        <v>56</v>
      </c>
      <c r="O1119">
        <v>2022</v>
      </c>
      <c r="P1119" t="s">
        <v>1396</v>
      </c>
    </row>
    <row r="1120" spans="1:16" x14ac:dyDescent="0.3">
      <c r="A1120">
        <v>9</v>
      </c>
      <c r="B1120" t="s">
        <v>1443</v>
      </c>
      <c r="C1120" t="s">
        <v>3381</v>
      </c>
      <c r="D1120" t="str">
        <f>VLOOKUP(YouTube_University_Data_Final[[#This Row],[Title]],[1]!YouTube_University_Data_Final[[Title]:[Title_language]],2,FALSE)</f>
        <v>Chinese</v>
      </c>
      <c r="E1120" t="s">
        <v>3382</v>
      </c>
      <c r="F1120">
        <v>27</v>
      </c>
      <c r="G1120" s="1">
        <v>44743</v>
      </c>
      <c r="H1120">
        <v>398</v>
      </c>
      <c r="I1120" t="s">
        <v>3365</v>
      </c>
      <c r="J1120">
        <v>6902</v>
      </c>
      <c r="K1120">
        <v>109</v>
      </c>
      <c r="L1120">
        <v>0</v>
      </c>
      <c r="M1120">
        <v>0</v>
      </c>
      <c r="N1120" t="s">
        <v>56</v>
      </c>
      <c r="O1120">
        <v>2022</v>
      </c>
      <c r="P1120" t="s">
        <v>18</v>
      </c>
    </row>
    <row r="1121" spans="1:16" x14ac:dyDescent="0.3">
      <c r="A1121">
        <v>10</v>
      </c>
      <c r="B1121" t="s">
        <v>1443</v>
      </c>
      <c r="C1121" t="s">
        <v>3383</v>
      </c>
      <c r="D1121" t="str">
        <f>VLOOKUP(YouTube_University_Data_Final[[#This Row],[Title]],[1]!YouTube_University_Data_Final[[Title]:[Title_language]],2,FALSE)</f>
        <v>Chinese</v>
      </c>
      <c r="E1121" t="s">
        <v>3384</v>
      </c>
      <c r="F1121">
        <v>27</v>
      </c>
      <c r="G1121" s="1">
        <v>44743</v>
      </c>
      <c r="H1121">
        <v>137</v>
      </c>
      <c r="I1121" t="s">
        <v>3365</v>
      </c>
      <c r="J1121">
        <v>524</v>
      </c>
      <c r="K1121">
        <v>8</v>
      </c>
      <c r="L1121">
        <v>0</v>
      </c>
      <c r="M1121">
        <v>0</v>
      </c>
      <c r="N1121" t="s">
        <v>56</v>
      </c>
      <c r="O1121">
        <v>2022</v>
      </c>
      <c r="P1121" t="s">
        <v>18</v>
      </c>
    </row>
    <row r="1122" spans="1:16" x14ac:dyDescent="0.3">
      <c r="A1122">
        <v>11</v>
      </c>
      <c r="B1122" t="s">
        <v>1443</v>
      </c>
      <c r="C1122" t="s">
        <v>3385</v>
      </c>
      <c r="D1122" t="str">
        <f>VLOOKUP(YouTube_University_Data_Final[[#This Row],[Title]],[1]!YouTube_University_Data_Final[[Title]:[Title_language]],2,FALSE)</f>
        <v>Chinese</v>
      </c>
      <c r="E1122" t="s">
        <v>3386</v>
      </c>
      <c r="F1122">
        <v>27</v>
      </c>
      <c r="G1122" s="1">
        <v>44743</v>
      </c>
      <c r="H1122">
        <v>137</v>
      </c>
      <c r="I1122" t="s">
        <v>3365</v>
      </c>
      <c r="J1122">
        <v>171</v>
      </c>
      <c r="K1122">
        <v>2</v>
      </c>
      <c r="L1122">
        <v>0</v>
      </c>
      <c r="M1122">
        <v>0</v>
      </c>
      <c r="N1122" t="s">
        <v>56</v>
      </c>
      <c r="O1122">
        <v>2022</v>
      </c>
      <c r="P1122" t="s">
        <v>18</v>
      </c>
    </row>
    <row r="1123" spans="1:16" x14ac:dyDescent="0.3">
      <c r="A1123">
        <v>12</v>
      </c>
      <c r="B1123" t="s">
        <v>1443</v>
      </c>
      <c r="C1123" t="s">
        <v>1444</v>
      </c>
      <c r="D1123" t="str">
        <f>VLOOKUP(YouTube_University_Data_Final[[#This Row],[Title]],[1]!YouTube_University_Data_Final[[Title]:[Title_language]],2,FALSE)</f>
        <v>English</v>
      </c>
      <c r="E1123" t="s">
        <v>3387</v>
      </c>
      <c r="F1123">
        <v>27</v>
      </c>
      <c r="G1123" s="1">
        <v>44719</v>
      </c>
      <c r="H1123">
        <v>120</v>
      </c>
      <c r="I1123" t="s">
        <v>3365</v>
      </c>
      <c r="J1123">
        <v>238</v>
      </c>
      <c r="K1123">
        <v>3</v>
      </c>
      <c r="L1123">
        <v>0</v>
      </c>
      <c r="M1123">
        <v>0</v>
      </c>
      <c r="N1123" t="s">
        <v>78</v>
      </c>
      <c r="O1123">
        <v>2022</v>
      </c>
      <c r="P1123" t="s">
        <v>18</v>
      </c>
    </row>
    <row r="1124" spans="1:16" x14ac:dyDescent="0.3">
      <c r="A1124">
        <v>13</v>
      </c>
      <c r="B1124" t="s">
        <v>1443</v>
      </c>
      <c r="C1124" t="s">
        <v>3374</v>
      </c>
      <c r="D1124" t="str">
        <f>VLOOKUP(YouTube_University_Data_Final[[#This Row],[Title]],[1]!YouTube_University_Data_Final[[Title]:[Title_language]],2,FALSE)</f>
        <v>Chinese</v>
      </c>
      <c r="E1124" t="s">
        <v>3388</v>
      </c>
      <c r="F1124">
        <v>10</v>
      </c>
      <c r="G1124" s="1">
        <v>44709</v>
      </c>
      <c r="H1124">
        <v>3993</v>
      </c>
      <c r="I1124" t="s">
        <v>3365</v>
      </c>
      <c r="J1124">
        <v>907</v>
      </c>
      <c r="K1124">
        <v>21</v>
      </c>
      <c r="L1124">
        <v>0</v>
      </c>
      <c r="M1124">
        <v>0</v>
      </c>
      <c r="N1124" t="s">
        <v>81</v>
      </c>
      <c r="O1124">
        <v>2022</v>
      </c>
      <c r="P1124" t="s">
        <v>1396</v>
      </c>
    </row>
    <row r="1125" spans="1:16" x14ac:dyDescent="0.3">
      <c r="A1125">
        <v>14</v>
      </c>
      <c r="B1125" t="s">
        <v>1443</v>
      </c>
      <c r="C1125" t="s">
        <v>3389</v>
      </c>
      <c r="D1125" t="str">
        <f>VLOOKUP(YouTube_University_Data_Final[[#This Row],[Title]],[1]!YouTube_University_Data_Final[[Title]:[Title_language]],2,FALSE)</f>
        <v>Bilingual</v>
      </c>
      <c r="E1125" t="s">
        <v>3390</v>
      </c>
      <c r="F1125">
        <v>27</v>
      </c>
      <c r="G1125" s="1">
        <v>44708</v>
      </c>
      <c r="H1125">
        <v>332</v>
      </c>
      <c r="I1125" t="s">
        <v>3365</v>
      </c>
      <c r="J1125">
        <v>1405</v>
      </c>
      <c r="K1125">
        <v>15</v>
      </c>
      <c r="L1125">
        <v>0</v>
      </c>
      <c r="M1125">
        <v>0</v>
      </c>
      <c r="N1125" t="s">
        <v>81</v>
      </c>
      <c r="O1125">
        <v>2022</v>
      </c>
      <c r="P1125" t="s">
        <v>18</v>
      </c>
    </row>
    <row r="1126" spans="1:16" x14ac:dyDescent="0.3">
      <c r="A1126">
        <v>15</v>
      </c>
      <c r="B1126" t="s">
        <v>1443</v>
      </c>
      <c r="C1126" t="s">
        <v>3391</v>
      </c>
      <c r="D1126" t="str">
        <f>VLOOKUP(YouTube_University_Data_Final[[#This Row],[Title]],[1]!YouTube_University_Data_Final[[Title]:[Title_language]],2,FALSE)</f>
        <v>English</v>
      </c>
      <c r="E1126" t="s">
        <v>3392</v>
      </c>
      <c r="F1126">
        <v>27</v>
      </c>
      <c r="G1126" s="1">
        <v>44700</v>
      </c>
      <c r="H1126">
        <v>320</v>
      </c>
      <c r="I1126" t="s">
        <v>3365</v>
      </c>
      <c r="J1126">
        <v>3143</v>
      </c>
      <c r="K1126">
        <v>45</v>
      </c>
      <c r="L1126">
        <v>0</v>
      </c>
      <c r="M1126">
        <v>0</v>
      </c>
      <c r="N1126" t="s">
        <v>81</v>
      </c>
      <c r="O1126">
        <v>2022</v>
      </c>
      <c r="P1126" t="s">
        <v>18</v>
      </c>
    </row>
    <row r="1127" spans="1:16" x14ac:dyDescent="0.3">
      <c r="A1127">
        <v>16</v>
      </c>
      <c r="B1127" t="s">
        <v>1443</v>
      </c>
      <c r="C1127" t="s">
        <v>3393</v>
      </c>
      <c r="D1127" t="str">
        <f>VLOOKUP(YouTube_University_Data_Final[[#This Row],[Title]],[1]!YouTube_University_Data_Final[[Title]:[Title_language]],2,FALSE)</f>
        <v>Bilingual</v>
      </c>
      <c r="E1127" t="s">
        <v>3394</v>
      </c>
      <c r="F1127">
        <v>27</v>
      </c>
      <c r="G1127" s="1">
        <v>44684</v>
      </c>
      <c r="H1127">
        <v>67</v>
      </c>
      <c r="I1127" t="s">
        <v>3365</v>
      </c>
      <c r="J1127">
        <v>892</v>
      </c>
      <c r="K1127">
        <v>18</v>
      </c>
      <c r="L1127">
        <v>0</v>
      </c>
      <c r="M1127">
        <v>0</v>
      </c>
      <c r="N1127" t="s">
        <v>81</v>
      </c>
      <c r="O1127">
        <v>2022</v>
      </c>
      <c r="P1127" t="s">
        <v>18</v>
      </c>
    </row>
    <row r="1128" spans="1:16" x14ac:dyDescent="0.3">
      <c r="A1128">
        <v>17</v>
      </c>
      <c r="B1128" t="s">
        <v>1443</v>
      </c>
      <c r="C1128" t="s">
        <v>3374</v>
      </c>
      <c r="D1128" t="str">
        <f>VLOOKUP(YouTube_University_Data_Final[[#This Row],[Title]],[1]!YouTube_University_Data_Final[[Title]:[Title_language]],2,FALSE)</f>
        <v>Chinese</v>
      </c>
      <c r="E1128" t="s">
        <v>3395</v>
      </c>
      <c r="F1128">
        <v>10</v>
      </c>
      <c r="G1128" s="1">
        <v>44681</v>
      </c>
      <c r="H1128">
        <v>3933</v>
      </c>
      <c r="I1128" t="s">
        <v>3365</v>
      </c>
      <c r="J1128">
        <v>382</v>
      </c>
      <c r="K1128">
        <v>8</v>
      </c>
      <c r="L1128">
        <v>0</v>
      </c>
      <c r="M1128">
        <v>0</v>
      </c>
      <c r="N1128" t="s">
        <v>87</v>
      </c>
      <c r="O1128">
        <v>2022</v>
      </c>
      <c r="P1128" t="s">
        <v>1396</v>
      </c>
    </row>
    <row r="1129" spans="1:16" x14ac:dyDescent="0.3">
      <c r="A1129">
        <v>18</v>
      </c>
      <c r="B1129" t="s">
        <v>1443</v>
      </c>
      <c r="C1129" t="s">
        <v>3396</v>
      </c>
      <c r="D1129" t="str">
        <f>VLOOKUP(YouTube_University_Data_Final[[#This Row],[Title]],[1]!YouTube_University_Data_Final[[Title]:[Title_language]],2,FALSE)</f>
        <v>Chinese</v>
      </c>
      <c r="E1129" t="s">
        <v>3397</v>
      </c>
      <c r="F1129">
        <v>27</v>
      </c>
      <c r="G1129" s="1">
        <v>44673</v>
      </c>
      <c r="H1129">
        <v>135</v>
      </c>
      <c r="I1129" t="s">
        <v>3365</v>
      </c>
      <c r="J1129">
        <v>209</v>
      </c>
      <c r="K1129">
        <v>1</v>
      </c>
      <c r="L1129">
        <v>0</v>
      </c>
      <c r="M1129">
        <v>0</v>
      </c>
      <c r="N1129" t="s">
        <v>87</v>
      </c>
      <c r="O1129">
        <v>2022</v>
      </c>
      <c r="P1129" t="s">
        <v>18</v>
      </c>
    </row>
    <row r="1130" spans="1:16" x14ac:dyDescent="0.3">
      <c r="A1130">
        <v>19</v>
      </c>
      <c r="B1130" t="s">
        <v>1443</v>
      </c>
      <c r="C1130" t="s">
        <v>3398</v>
      </c>
      <c r="D1130" t="str">
        <f>VLOOKUP(YouTube_University_Data_Final[[#This Row],[Title]],[1]!YouTube_University_Data_Final[[Title]:[Title_language]],2,FALSE)</f>
        <v>English</v>
      </c>
      <c r="E1130" t="s">
        <v>3399</v>
      </c>
      <c r="F1130">
        <v>27</v>
      </c>
      <c r="G1130" s="1">
        <v>44673</v>
      </c>
      <c r="H1130">
        <v>140</v>
      </c>
      <c r="I1130" t="s">
        <v>3365</v>
      </c>
      <c r="J1130">
        <v>177</v>
      </c>
      <c r="K1130">
        <v>2</v>
      </c>
      <c r="L1130">
        <v>0</v>
      </c>
      <c r="M1130">
        <v>0</v>
      </c>
      <c r="N1130" t="s">
        <v>87</v>
      </c>
      <c r="O1130">
        <v>2022</v>
      </c>
      <c r="P1130" t="s">
        <v>18</v>
      </c>
    </row>
    <row r="1131" spans="1:16" x14ac:dyDescent="0.3">
      <c r="A1131">
        <v>20</v>
      </c>
      <c r="B1131" t="s">
        <v>1443</v>
      </c>
      <c r="C1131" t="s">
        <v>3400</v>
      </c>
      <c r="D1131" t="str">
        <f>VLOOKUP(YouTube_University_Data_Final[[#This Row],[Title]],[1]!YouTube_University_Data_Final[[Title]:[Title_language]],2,FALSE)</f>
        <v>Chinese</v>
      </c>
      <c r="E1131" t="s">
        <v>3401</v>
      </c>
      <c r="F1131">
        <v>27</v>
      </c>
      <c r="G1131" s="1">
        <v>44652</v>
      </c>
      <c r="H1131">
        <v>136</v>
      </c>
      <c r="I1131" t="s">
        <v>3365</v>
      </c>
      <c r="J1131">
        <v>240</v>
      </c>
      <c r="K1131">
        <v>1</v>
      </c>
      <c r="L1131">
        <v>0</v>
      </c>
      <c r="M1131">
        <v>0</v>
      </c>
      <c r="N1131" t="s">
        <v>87</v>
      </c>
      <c r="O1131">
        <v>2022</v>
      </c>
      <c r="P1131" t="s">
        <v>18</v>
      </c>
    </row>
    <row r="1132" spans="1:16" x14ac:dyDescent="0.3">
      <c r="A1132">
        <v>21</v>
      </c>
      <c r="B1132" t="s">
        <v>1443</v>
      </c>
      <c r="C1132" t="s">
        <v>3374</v>
      </c>
      <c r="D1132" t="str">
        <f>VLOOKUP(YouTube_University_Data_Final[[#This Row],[Title]],[1]!YouTube_University_Data_Final[[Title]:[Title_language]],2,FALSE)</f>
        <v>Chinese</v>
      </c>
      <c r="E1132" t="s">
        <v>3402</v>
      </c>
      <c r="F1132">
        <v>10</v>
      </c>
      <c r="G1132" s="1">
        <v>44646</v>
      </c>
      <c r="H1132">
        <v>3941</v>
      </c>
      <c r="I1132" t="s">
        <v>3365</v>
      </c>
      <c r="J1132">
        <v>754</v>
      </c>
      <c r="K1132">
        <v>25</v>
      </c>
      <c r="L1132">
        <v>0</v>
      </c>
      <c r="M1132">
        <v>0</v>
      </c>
      <c r="N1132" t="s">
        <v>90</v>
      </c>
      <c r="O1132">
        <v>2022</v>
      </c>
      <c r="P1132" t="s">
        <v>1396</v>
      </c>
    </row>
    <row r="1133" spans="1:16" x14ac:dyDescent="0.3">
      <c r="A1133">
        <v>22</v>
      </c>
      <c r="B1133" t="s">
        <v>1443</v>
      </c>
      <c r="C1133" t="s">
        <v>3403</v>
      </c>
      <c r="D1133" t="str">
        <f>VLOOKUP(YouTube_University_Data_Final[[#This Row],[Title]],[1]!YouTube_University_Data_Final[[Title]:[Title_language]],2,FALSE)</f>
        <v>Bilingual</v>
      </c>
      <c r="E1133" t="s">
        <v>3404</v>
      </c>
      <c r="F1133">
        <v>27</v>
      </c>
      <c r="G1133" s="1">
        <v>44631</v>
      </c>
      <c r="H1133">
        <v>89</v>
      </c>
      <c r="I1133" t="s">
        <v>3365</v>
      </c>
      <c r="J1133">
        <v>1012</v>
      </c>
      <c r="K1133">
        <v>24</v>
      </c>
      <c r="L1133">
        <v>0</v>
      </c>
      <c r="M1133">
        <v>0</v>
      </c>
      <c r="N1133" t="s">
        <v>90</v>
      </c>
      <c r="O1133">
        <v>2022</v>
      </c>
      <c r="P1133" t="s">
        <v>18</v>
      </c>
    </row>
    <row r="1134" spans="1:16" x14ac:dyDescent="0.3">
      <c r="A1134">
        <v>23</v>
      </c>
      <c r="B1134" t="s">
        <v>1443</v>
      </c>
      <c r="C1134" t="s">
        <v>3405</v>
      </c>
      <c r="D1134" t="str">
        <f>VLOOKUP(YouTube_University_Data_Final[[#This Row],[Title]],[1]!YouTube_University_Data_Final[[Title]:[Title_language]],2,FALSE)</f>
        <v>Bilingual</v>
      </c>
      <c r="E1134" t="s">
        <v>3406</v>
      </c>
      <c r="F1134">
        <v>27</v>
      </c>
      <c r="G1134" s="1">
        <v>44625</v>
      </c>
      <c r="H1134">
        <v>187</v>
      </c>
      <c r="I1134" t="s">
        <v>3365</v>
      </c>
      <c r="J1134">
        <v>1659</v>
      </c>
      <c r="K1134">
        <v>14</v>
      </c>
      <c r="L1134">
        <v>0</v>
      </c>
      <c r="M1134">
        <v>0</v>
      </c>
      <c r="N1134" t="s">
        <v>90</v>
      </c>
      <c r="O1134">
        <v>2022</v>
      </c>
      <c r="P1134" t="s">
        <v>18</v>
      </c>
    </row>
    <row r="1135" spans="1:16" x14ac:dyDescent="0.3">
      <c r="A1135">
        <v>24</v>
      </c>
      <c r="B1135" t="s">
        <v>1443</v>
      </c>
      <c r="C1135" t="s">
        <v>3407</v>
      </c>
      <c r="D1135" t="str">
        <f>VLOOKUP(YouTube_University_Data_Final[[#This Row],[Title]],[1]!YouTube_University_Data_Final[[Title]:[Title_language]],2,FALSE)</f>
        <v>Bilingual</v>
      </c>
      <c r="E1135" t="s">
        <v>3408</v>
      </c>
      <c r="F1135">
        <v>27</v>
      </c>
      <c r="G1135" s="1">
        <v>44579</v>
      </c>
      <c r="H1135">
        <v>346</v>
      </c>
      <c r="I1135" t="s">
        <v>3365</v>
      </c>
      <c r="J1135">
        <v>532</v>
      </c>
      <c r="K1135">
        <v>6</v>
      </c>
      <c r="L1135">
        <v>0</v>
      </c>
      <c r="M1135">
        <v>0</v>
      </c>
      <c r="N1135" t="s">
        <v>93</v>
      </c>
      <c r="O1135">
        <v>2022</v>
      </c>
      <c r="P1135" t="s">
        <v>18</v>
      </c>
    </row>
    <row r="1136" spans="1:16" x14ac:dyDescent="0.3">
      <c r="A1136">
        <v>25</v>
      </c>
      <c r="B1136" t="s">
        <v>1443</v>
      </c>
      <c r="C1136" t="s">
        <v>3409</v>
      </c>
      <c r="D1136" t="str">
        <f>VLOOKUP(YouTube_University_Data_Final[[#This Row],[Title]],[1]!YouTube_University_Data_Final[[Title]:[Title_language]],2,FALSE)</f>
        <v>Bilingual</v>
      </c>
      <c r="E1136" t="s">
        <v>3410</v>
      </c>
      <c r="F1136">
        <v>27</v>
      </c>
      <c r="G1136" s="1">
        <v>44566</v>
      </c>
      <c r="H1136">
        <v>363</v>
      </c>
      <c r="I1136" t="s">
        <v>3365</v>
      </c>
      <c r="J1136">
        <v>515</v>
      </c>
      <c r="K1136">
        <v>9</v>
      </c>
      <c r="L1136">
        <v>0</v>
      </c>
      <c r="M1136">
        <v>0</v>
      </c>
      <c r="N1136" t="s">
        <v>93</v>
      </c>
      <c r="O1136">
        <v>2022</v>
      </c>
      <c r="P1136" t="s">
        <v>18</v>
      </c>
    </row>
    <row r="1137" spans="1:16" x14ac:dyDescent="0.3">
      <c r="A1137">
        <v>26</v>
      </c>
      <c r="B1137" t="s">
        <v>1443</v>
      </c>
      <c r="C1137" t="s">
        <v>3411</v>
      </c>
      <c r="D1137" t="str">
        <f>VLOOKUP(YouTube_University_Data_Final[[#This Row],[Title]],[1]!YouTube_University_Data_Final[[Title]:[Title_language]],2,FALSE)</f>
        <v>Bilingual</v>
      </c>
      <c r="E1137" t="s">
        <v>3412</v>
      </c>
      <c r="F1137">
        <v>27</v>
      </c>
      <c r="G1137" s="1">
        <v>44565</v>
      </c>
      <c r="H1137">
        <v>331</v>
      </c>
      <c r="I1137" t="s">
        <v>3365</v>
      </c>
      <c r="J1137">
        <v>890</v>
      </c>
      <c r="K1137">
        <v>25</v>
      </c>
      <c r="L1137">
        <v>0</v>
      </c>
      <c r="M1137">
        <v>0</v>
      </c>
      <c r="N1137" t="s">
        <v>93</v>
      </c>
      <c r="O1137">
        <v>2022</v>
      </c>
      <c r="P1137" t="s">
        <v>18</v>
      </c>
    </row>
    <row r="1138" spans="1:16" x14ac:dyDescent="0.3">
      <c r="A1138">
        <v>27</v>
      </c>
      <c r="B1138" t="s">
        <v>1443</v>
      </c>
      <c r="C1138" t="s">
        <v>3413</v>
      </c>
      <c r="D1138" t="str">
        <f>VLOOKUP(YouTube_University_Data_Final[[#This Row],[Title]],[1]!YouTube_University_Data_Final[[Title]:[Title_language]],2,FALSE)</f>
        <v>Bilingual</v>
      </c>
      <c r="E1138" t="s">
        <v>3414</v>
      </c>
      <c r="F1138">
        <v>27</v>
      </c>
      <c r="G1138" s="1">
        <v>44553</v>
      </c>
      <c r="H1138">
        <v>143</v>
      </c>
      <c r="I1138" t="s">
        <v>3365</v>
      </c>
      <c r="J1138">
        <v>2845</v>
      </c>
      <c r="K1138">
        <v>51</v>
      </c>
      <c r="L1138">
        <v>0</v>
      </c>
      <c r="M1138">
        <v>0</v>
      </c>
      <c r="N1138" t="s">
        <v>98</v>
      </c>
      <c r="O1138">
        <v>2021</v>
      </c>
      <c r="P1138" t="s">
        <v>18</v>
      </c>
    </row>
    <row r="1139" spans="1:16" x14ac:dyDescent="0.3">
      <c r="A1139">
        <v>28</v>
      </c>
      <c r="B1139" t="s">
        <v>1443</v>
      </c>
      <c r="C1139" t="s">
        <v>3415</v>
      </c>
      <c r="D1139" t="str">
        <f>VLOOKUP(YouTube_University_Data_Final[[#This Row],[Title]],[1]!YouTube_University_Data_Final[[Title]:[Title_language]],2,FALSE)</f>
        <v>Bilingual</v>
      </c>
      <c r="E1139" t="s">
        <v>3416</v>
      </c>
      <c r="F1139">
        <v>27</v>
      </c>
      <c r="G1139" s="1">
        <v>44552</v>
      </c>
      <c r="H1139">
        <v>116</v>
      </c>
      <c r="I1139" t="s">
        <v>3365</v>
      </c>
      <c r="J1139">
        <v>256</v>
      </c>
      <c r="K1139">
        <v>2</v>
      </c>
      <c r="L1139">
        <v>0</v>
      </c>
      <c r="M1139">
        <v>0</v>
      </c>
      <c r="N1139" t="s">
        <v>98</v>
      </c>
      <c r="O1139">
        <v>2021</v>
      </c>
      <c r="P1139" t="s">
        <v>18</v>
      </c>
    </row>
    <row r="1140" spans="1:16" x14ac:dyDescent="0.3">
      <c r="A1140">
        <v>29</v>
      </c>
      <c r="B1140" t="s">
        <v>1443</v>
      </c>
      <c r="C1140" t="s">
        <v>3417</v>
      </c>
      <c r="D1140" t="str">
        <f>VLOOKUP(YouTube_University_Data_Final[[#This Row],[Title]],[1]!YouTube_University_Data_Final[[Title]:[Title_language]],2,FALSE)</f>
        <v>Bilingual</v>
      </c>
      <c r="E1140" t="s">
        <v>3418</v>
      </c>
      <c r="F1140">
        <v>27</v>
      </c>
      <c r="G1140" s="1">
        <v>44552</v>
      </c>
      <c r="H1140">
        <v>116</v>
      </c>
      <c r="I1140" t="s">
        <v>3365</v>
      </c>
      <c r="J1140">
        <v>227</v>
      </c>
      <c r="K1140">
        <v>2</v>
      </c>
      <c r="L1140">
        <v>0</v>
      </c>
      <c r="M1140">
        <v>0</v>
      </c>
      <c r="N1140" t="s">
        <v>98</v>
      </c>
      <c r="O1140">
        <v>2021</v>
      </c>
      <c r="P1140" t="s">
        <v>18</v>
      </c>
    </row>
    <row r="1141" spans="1:16" x14ac:dyDescent="0.3">
      <c r="A1141">
        <v>30</v>
      </c>
      <c r="B1141" t="s">
        <v>1443</v>
      </c>
      <c r="C1141" t="s">
        <v>3419</v>
      </c>
      <c r="D1141" t="str">
        <f>VLOOKUP(YouTube_University_Data_Final[[#This Row],[Title]],[1]!YouTube_University_Data_Final[[Title]:[Title_language]],2,FALSE)</f>
        <v>Bilingual</v>
      </c>
      <c r="E1141" t="s">
        <v>3420</v>
      </c>
      <c r="F1141">
        <v>27</v>
      </c>
      <c r="G1141" s="1">
        <v>44552</v>
      </c>
      <c r="H1141">
        <v>887</v>
      </c>
      <c r="I1141" t="s">
        <v>3365</v>
      </c>
      <c r="J1141">
        <v>694</v>
      </c>
      <c r="K1141">
        <v>12</v>
      </c>
      <c r="L1141">
        <v>0</v>
      </c>
      <c r="M1141">
        <v>0</v>
      </c>
      <c r="N1141" t="s">
        <v>98</v>
      </c>
      <c r="O1141">
        <v>2021</v>
      </c>
      <c r="P1141" t="s">
        <v>18</v>
      </c>
    </row>
    <row r="1142" spans="1:16" x14ac:dyDescent="0.3">
      <c r="A1142">
        <v>31</v>
      </c>
      <c r="B1142" t="s">
        <v>1443</v>
      </c>
      <c r="C1142" t="s">
        <v>3421</v>
      </c>
      <c r="D1142" t="str">
        <f>VLOOKUP(YouTube_University_Data_Final[[#This Row],[Title]],[1]!YouTube_University_Data_Final[[Title]:[Title_language]],2,FALSE)</f>
        <v>English</v>
      </c>
      <c r="E1142" t="s">
        <v>3422</v>
      </c>
      <c r="F1142">
        <v>27</v>
      </c>
      <c r="G1142" s="1">
        <v>44551</v>
      </c>
      <c r="H1142">
        <v>136</v>
      </c>
      <c r="I1142" t="s">
        <v>3365</v>
      </c>
      <c r="J1142">
        <v>250</v>
      </c>
      <c r="K1142">
        <v>3</v>
      </c>
      <c r="L1142">
        <v>0</v>
      </c>
      <c r="M1142">
        <v>0</v>
      </c>
      <c r="N1142" t="s">
        <v>98</v>
      </c>
      <c r="O1142">
        <v>2021</v>
      </c>
      <c r="P1142" t="s">
        <v>18</v>
      </c>
    </row>
    <row r="1143" spans="1:16" x14ac:dyDescent="0.3">
      <c r="A1143">
        <v>32</v>
      </c>
      <c r="B1143" t="s">
        <v>1443</v>
      </c>
      <c r="C1143" t="s">
        <v>3423</v>
      </c>
      <c r="D1143" t="str">
        <f>VLOOKUP(YouTube_University_Data_Final[[#This Row],[Title]],[1]!YouTube_University_Data_Final[[Title]:[Title_language]],2,FALSE)</f>
        <v>Bilingual</v>
      </c>
      <c r="E1143" t="s">
        <v>3424</v>
      </c>
      <c r="F1143">
        <v>27</v>
      </c>
      <c r="G1143" s="1">
        <v>44546</v>
      </c>
      <c r="H1143">
        <v>116</v>
      </c>
      <c r="I1143" t="s">
        <v>3365</v>
      </c>
      <c r="J1143">
        <v>247</v>
      </c>
      <c r="K1143">
        <v>0</v>
      </c>
      <c r="L1143">
        <v>0</v>
      </c>
      <c r="M1143">
        <v>0</v>
      </c>
      <c r="N1143" t="s">
        <v>98</v>
      </c>
      <c r="O1143">
        <v>2021</v>
      </c>
      <c r="P1143" t="s">
        <v>18</v>
      </c>
    </row>
    <row r="1144" spans="1:16" x14ac:dyDescent="0.3">
      <c r="A1144">
        <v>33</v>
      </c>
      <c r="B1144" t="s">
        <v>1443</v>
      </c>
      <c r="C1144" t="s">
        <v>3425</v>
      </c>
      <c r="D1144" t="str">
        <f>VLOOKUP(YouTube_University_Data_Final[[#This Row],[Title]],[1]!YouTube_University_Data_Final[[Title]:[Title_language]],2,FALSE)</f>
        <v>Bilingual</v>
      </c>
      <c r="E1144" t="s">
        <v>3426</v>
      </c>
      <c r="F1144">
        <v>27</v>
      </c>
      <c r="G1144" s="1">
        <v>44544</v>
      </c>
      <c r="H1144">
        <v>336</v>
      </c>
      <c r="I1144" t="s">
        <v>3365</v>
      </c>
      <c r="J1144">
        <v>420</v>
      </c>
      <c r="K1144">
        <v>5</v>
      </c>
      <c r="L1144">
        <v>0</v>
      </c>
      <c r="M1144">
        <v>0</v>
      </c>
      <c r="N1144" t="s">
        <v>98</v>
      </c>
      <c r="O1144">
        <v>2021</v>
      </c>
      <c r="P1144" t="s">
        <v>18</v>
      </c>
    </row>
    <row r="1145" spans="1:16" x14ac:dyDescent="0.3">
      <c r="A1145">
        <v>34</v>
      </c>
      <c r="B1145" t="s">
        <v>1443</v>
      </c>
      <c r="C1145" t="s">
        <v>3427</v>
      </c>
      <c r="D1145" t="str">
        <f>VLOOKUP(YouTube_University_Data_Final[[#This Row],[Title]],[1]!YouTube_University_Data_Final[[Title]:[Title_language]],2,FALSE)</f>
        <v>Bilingual</v>
      </c>
      <c r="E1145" t="s">
        <v>3428</v>
      </c>
      <c r="F1145">
        <v>27</v>
      </c>
      <c r="G1145" s="1">
        <v>44531</v>
      </c>
      <c r="H1145">
        <v>47</v>
      </c>
      <c r="I1145" t="s">
        <v>3365</v>
      </c>
      <c r="J1145">
        <v>2315</v>
      </c>
      <c r="K1145">
        <v>49</v>
      </c>
      <c r="L1145">
        <v>0</v>
      </c>
      <c r="M1145">
        <v>0</v>
      </c>
      <c r="N1145" t="s">
        <v>98</v>
      </c>
      <c r="O1145">
        <v>2021</v>
      </c>
      <c r="P1145" t="s">
        <v>18</v>
      </c>
    </row>
    <row r="1146" spans="1:16" x14ac:dyDescent="0.3">
      <c r="A1146">
        <v>35</v>
      </c>
      <c r="B1146" t="s">
        <v>1443</v>
      </c>
      <c r="C1146" t="s">
        <v>3429</v>
      </c>
      <c r="D1146" t="str">
        <f>VLOOKUP(YouTube_University_Data_Final[[#This Row],[Title]],[1]!YouTube_University_Data_Final[[Title]:[Title_language]],2,FALSE)</f>
        <v>Bilingual</v>
      </c>
      <c r="E1146" t="s">
        <v>3430</v>
      </c>
      <c r="F1146">
        <v>27</v>
      </c>
      <c r="G1146" s="1">
        <v>44530</v>
      </c>
      <c r="H1146">
        <v>308</v>
      </c>
      <c r="I1146" t="s">
        <v>3365</v>
      </c>
      <c r="J1146">
        <v>1554</v>
      </c>
      <c r="K1146">
        <v>40</v>
      </c>
      <c r="L1146">
        <v>0</v>
      </c>
      <c r="M1146">
        <v>0</v>
      </c>
      <c r="N1146" t="s">
        <v>101</v>
      </c>
      <c r="O1146">
        <v>2021</v>
      </c>
      <c r="P1146" t="s">
        <v>18</v>
      </c>
    </row>
    <row r="1147" spans="1:16" x14ac:dyDescent="0.3">
      <c r="A1147">
        <v>36</v>
      </c>
      <c r="B1147" t="s">
        <v>1443</v>
      </c>
      <c r="C1147" t="s">
        <v>3431</v>
      </c>
      <c r="D1147" t="str">
        <f>VLOOKUP(YouTube_University_Data_Final[[#This Row],[Title]],[1]!YouTube_University_Data_Final[[Title]:[Title_language]],2,FALSE)</f>
        <v>Bilingual</v>
      </c>
      <c r="E1147" t="s">
        <v>3432</v>
      </c>
      <c r="F1147">
        <v>27</v>
      </c>
      <c r="G1147" s="1">
        <v>44525</v>
      </c>
      <c r="H1147">
        <v>154</v>
      </c>
      <c r="I1147" t="s">
        <v>3365</v>
      </c>
      <c r="J1147">
        <v>2597</v>
      </c>
      <c r="K1147">
        <v>39</v>
      </c>
      <c r="L1147">
        <v>0</v>
      </c>
      <c r="M1147">
        <v>0</v>
      </c>
      <c r="N1147" t="s">
        <v>101</v>
      </c>
      <c r="O1147">
        <v>2021</v>
      </c>
      <c r="P1147" t="s">
        <v>18</v>
      </c>
    </row>
    <row r="1148" spans="1:16" x14ac:dyDescent="0.3">
      <c r="A1148">
        <v>37</v>
      </c>
      <c r="B1148" t="s">
        <v>1443</v>
      </c>
      <c r="C1148" t="s">
        <v>3433</v>
      </c>
      <c r="D1148" t="str">
        <f>VLOOKUP(YouTube_University_Data_Final[[#This Row],[Title]],[1]!YouTube_University_Data_Final[[Title]:[Title_language]],2,FALSE)</f>
        <v>Bilingual</v>
      </c>
      <c r="E1148" t="s">
        <v>3434</v>
      </c>
      <c r="F1148">
        <v>27</v>
      </c>
      <c r="G1148" s="1">
        <v>44524</v>
      </c>
      <c r="H1148">
        <v>25</v>
      </c>
      <c r="I1148" t="s">
        <v>3365</v>
      </c>
      <c r="J1148">
        <v>446</v>
      </c>
      <c r="K1148">
        <v>4</v>
      </c>
      <c r="L1148">
        <v>0</v>
      </c>
      <c r="M1148">
        <v>0</v>
      </c>
      <c r="N1148" t="s">
        <v>101</v>
      </c>
      <c r="O1148">
        <v>2021</v>
      </c>
      <c r="P1148" t="s">
        <v>18</v>
      </c>
    </row>
    <row r="1149" spans="1:16" x14ac:dyDescent="0.3">
      <c r="A1149">
        <v>38</v>
      </c>
      <c r="B1149" t="s">
        <v>1443</v>
      </c>
      <c r="C1149" t="s">
        <v>3435</v>
      </c>
      <c r="D1149" t="str">
        <f>VLOOKUP(YouTube_University_Data_Final[[#This Row],[Title]],[1]!YouTube_University_Data_Final[[Title]:[Title_language]],2,FALSE)</f>
        <v>Chinese</v>
      </c>
      <c r="E1149" t="s">
        <v>3436</v>
      </c>
      <c r="F1149">
        <v>27</v>
      </c>
      <c r="G1149" s="1">
        <v>44501</v>
      </c>
      <c r="H1149">
        <v>3345</v>
      </c>
      <c r="I1149" t="s">
        <v>3365</v>
      </c>
      <c r="J1149">
        <v>333</v>
      </c>
      <c r="K1149">
        <v>6</v>
      </c>
      <c r="L1149">
        <v>0</v>
      </c>
      <c r="M1149">
        <v>0</v>
      </c>
      <c r="N1149" t="s">
        <v>101</v>
      </c>
      <c r="O1149">
        <v>2021</v>
      </c>
      <c r="P1149" t="s">
        <v>18</v>
      </c>
    </row>
    <row r="1150" spans="1:16" x14ac:dyDescent="0.3">
      <c r="A1150">
        <v>39</v>
      </c>
      <c r="B1150" t="s">
        <v>1443</v>
      </c>
      <c r="C1150" t="s">
        <v>3437</v>
      </c>
      <c r="D1150" t="str">
        <f>VLOOKUP(YouTube_University_Data_Final[[#This Row],[Title]],[1]!YouTube_University_Data_Final[[Title]:[Title_language]],2,FALSE)</f>
        <v>Chinese</v>
      </c>
      <c r="E1150" t="s">
        <v>3438</v>
      </c>
      <c r="F1150">
        <v>27</v>
      </c>
      <c r="G1150" s="1">
        <v>44501</v>
      </c>
      <c r="H1150">
        <v>9571</v>
      </c>
      <c r="I1150" t="s">
        <v>3365</v>
      </c>
      <c r="J1150">
        <v>362</v>
      </c>
      <c r="K1150">
        <v>3</v>
      </c>
      <c r="L1150">
        <v>0</v>
      </c>
      <c r="M1150">
        <v>0</v>
      </c>
      <c r="N1150" t="s">
        <v>101</v>
      </c>
      <c r="O1150">
        <v>2021</v>
      </c>
      <c r="P1150" t="s">
        <v>18</v>
      </c>
    </row>
    <row r="1151" spans="1:16" x14ac:dyDescent="0.3">
      <c r="A1151">
        <v>40</v>
      </c>
      <c r="B1151" t="s">
        <v>1443</v>
      </c>
      <c r="C1151" t="s">
        <v>3439</v>
      </c>
      <c r="D1151" t="str">
        <f>VLOOKUP(YouTube_University_Data_Final[[#This Row],[Title]],[1]!YouTube_University_Data_Final[[Title]:[Title_language]],2,FALSE)</f>
        <v>Chinese</v>
      </c>
      <c r="E1151" t="s">
        <v>3440</v>
      </c>
      <c r="F1151">
        <v>27</v>
      </c>
      <c r="G1151" s="1">
        <v>44494</v>
      </c>
      <c r="H1151">
        <v>55</v>
      </c>
      <c r="I1151" t="s">
        <v>3365</v>
      </c>
      <c r="J1151">
        <v>208</v>
      </c>
      <c r="K1151">
        <v>2</v>
      </c>
      <c r="L1151">
        <v>0</v>
      </c>
      <c r="M1151">
        <v>0</v>
      </c>
      <c r="N1151" t="s">
        <v>17</v>
      </c>
      <c r="O1151">
        <v>2021</v>
      </c>
      <c r="P1151" t="s">
        <v>18</v>
      </c>
    </row>
    <row r="1152" spans="1:16" x14ac:dyDescent="0.3">
      <c r="A1152">
        <v>41</v>
      </c>
      <c r="B1152" t="s">
        <v>1443</v>
      </c>
      <c r="C1152" t="s">
        <v>3441</v>
      </c>
      <c r="D1152" t="str">
        <f>VLOOKUP(YouTube_University_Data_Final[[#This Row],[Title]],[1]!YouTube_University_Data_Final[[Title]:[Title_language]],2,FALSE)</f>
        <v>Bilingual</v>
      </c>
      <c r="E1152" t="s">
        <v>3442</v>
      </c>
      <c r="F1152">
        <v>27</v>
      </c>
      <c r="G1152" s="1">
        <v>44485</v>
      </c>
      <c r="H1152">
        <v>194</v>
      </c>
      <c r="I1152" t="s">
        <v>3365</v>
      </c>
      <c r="J1152">
        <v>2412</v>
      </c>
      <c r="K1152">
        <v>28</v>
      </c>
      <c r="L1152">
        <v>0</v>
      </c>
      <c r="M1152">
        <v>0</v>
      </c>
      <c r="N1152" t="s">
        <v>17</v>
      </c>
      <c r="O1152">
        <v>2021</v>
      </c>
      <c r="P1152" t="s">
        <v>18</v>
      </c>
    </row>
    <row r="1153" spans="1:16" x14ac:dyDescent="0.3">
      <c r="A1153">
        <v>42</v>
      </c>
      <c r="B1153" t="s">
        <v>1443</v>
      </c>
      <c r="C1153" t="s">
        <v>3443</v>
      </c>
      <c r="D1153" t="str">
        <f>VLOOKUP(YouTube_University_Data_Final[[#This Row],[Title]],[1]!YouTube_University_Data_Final[[Title]:[Title_language]],2,FALSE)</f>
        <v>Bilingual</v>
      </c>
      <c r="E1153" t="s">
        <v>3444</v>
      </c>
      <c r="F1153">
        <v>27</v>
      </c>
      <c r="G1153" s="1">
        <v>44484</v>
      </c>
      <c r="H1153">
        <v>168</v>
      </c>
      <c r="I1153" t="s">
        <v>3365</v>
      </c>
      <c r="J1153">
        <v>1410</v>
      </c>
      <c r="K1153">
        <v>30</v>
      </c>
      <c r="L1153">
        <v>0</v>
      </c>
      <c r="M1153">
        <v>0</v>
      </c>
      <c r="N1153" t="s">
        <v>17</v>
      </c>
      <c r="O1153">
        <v>2021</v>
      </c>
      <c r="P1153" t="s">
        <v>18</v>
      </c>
    </row>
    <row r="1154" spans="1:16" x14ac:dyDescent="0.3">
      <c r="A1154">
        <v>43</v>
      </c>
      <c r="B1154" t="s">
        <v>1443</v>
      </c>
      <c r="C1154" t="s">
        <v>3445</v>
      </c>
      <c r="D1154" t="str">
        <f>VLOOKUP(YouTube_University_Data_Final[[#This Row],[Title]],[1]!YouTube_University_Data_Final[[Title]:[Title_language]],2,FALSE)</f>
        <v>Bilingual</v>
      </c>
      <c r="E1154" t="s">
        <v>3446</v>
      </c>
      <c r="F1154">
        <v>27</v>
      </c>
      <c r="G1154" s="1">
        <v>44482</v>
      </c>
      <c r="H1154">
        <v>253</v>
      </c>
      <c r="I1154" t="s">
        <v>3365</v>
      </c>
      <c r="J1154">
        <v>856</v>
      </c>
      <c r="K1154">
        <v>12</v>
      </c>
      <c r="L1154">
        <v>0</v>
      </c>
      <c r="M1154">
        <v>0</v>
      </c>
      <c r="N1154" t="s">
        <v>17</v>
      </c>
      <c r="O1154">
        <v>2021</v>
      </c>
      <c r="P1154" t="s">
        <v>18</v>
      </c>
    </row>
    <row r="1155" spans="1:16" x14ac:dyDescent="0.3">
      <c r="A1155">
        <v>44</v>
      </c>
      <c r="B1155" t="s">
        <v>1443</v>
      </c>
      <c r="C1155" t="s">
        <v>3447</v>
      </c>
      <c r="D1155" t="str">
        <f>VLOOKUP(YouTube_University_Data_Final[[#This Row],[Title]],[1]!YouTube_University_Data_Final[[Title]:[Title_language]],2,FALSE)</f>
        <v>Chinese</v>
      </c>
      <c r="E1155" t="s">
        <v>3448</v>
      </c>
      <c r="F1155">
        <v>27</v>
      </c>
      <c r="G1155" s="1">
        <v>44481</v>
      </c>
      <c r="H1155">
        <v>53</v>
      </c>
      <c r="I1155" t="s">
        <v>3365</v>
      </c>
      <c r="J1155">
        <v>452</v>
      </c>
      <c r="K1155">
        <v>4</v>
      </c>
      <c r="L1155">
        <v>0</v>
      </c>
      <c r="M1155">
        <v>0</v>
      </c>
      <c r="N1155" t="s">
        <v>17</v>
      </c>
      <c r="O1155">
        <v>2021</v>
      </c>
      <c r="P1155" t="s">
        <v>18</v>
      </c>
    </row>
    <row r="1156" spans="1:16" x14ac:dyDescent="0.3">
      <c r="A1156">
        <v>45</v>
      </c>
      <c r="B1156" t="s">
        <v>1443</v>
      </c>
      <c r="C1156" t="s">
        <v>3449</v>
      </c>
      <c r="D1156" t="str">
        <f>VLOOKUP(YouTube_University_Data_Final[[#This Row],[Title]],[1]!YouTube_University_Data_Final[[Title]:[Title_language]],2,FALSE)</f>
        <v>Bilingual</v>
      </c>
      <c r="E1156" t="s">
        <v>3450</v>
      </c>
      <c r="F1156">
        <v>27</v>
      </c>
      <c r="G1156" s="1">
        <v>44473</v>
      </c>
      <c r="H1156">
        <v>151</v>
      </c>
      <c r="I1156" t="s">
        <v>3365</v>
      </c>
      <c r="J1156">
        <v>46041</v>
      </c>
      <c r="K1156">
        <v>929</v>
      </c>
      <c r="L1156">
        <v>0</v>
      </c>
      <c r="M1156">
        <v>0</v>
      </c>
      <c r="N1156" t="s">
        <v>17</v>
      </c>
      <c r="O1156">
        <v>2021</v>
      </c>
      <c r="P1156" t="s">
        <v>18</v>
      </c>
    </row>
    <row r="1157" spans="1:16" x14ac:dyDescent="0.3">
      <c r="A1157">
        <v>46</v>
      </c>
      <c r="B1157" t="s">
        <v>1443</v>
      </c>
      <c r="C1157" t="s">
        <v>3451</v>
      </c>
      <c r="D1157" t="str">
        <f>VLOOKUP(YouTube_University_Data_Final[[#This Row],[Title]],[1]!YouTube_University_Data_Final[[Title]:[Title_language]],2,FALSE)</f>
        <v>Bilingual</v>
      </c>
      <c r="E1157" t="s">
        <v>3452</v>
      </c>
      <c r="F1157">
        <v>27</v>
      </c>
      <c r="G1157" s="1">
        <v>44456</v>
      </c>
      <c r="H1157">
        <v>55</v>
      </c>
      <c r="I1157" t="s">
        <v>3365</v>
      </c>
      <c r="J1157">
        <v>3006</v>
      </c>
      <c r="K1157">
        <v>137</v>
      </c>
      <c r="L1157">
        <v>0</v>
      </c>
      <c r="M1157">
        <v>0</v>
      </c>
      <c r="N1157" t="s">
        <v>21</v>
      </c>
      <c r="O1157">
        <v>2021</v>
      </c>
      <c r="P1157" t="s">
        <v>18</v>
      </c>
    </row>
    <row r="1158" spans="1:16" x14ac:dyDescent="0.3">
      <c r="A1158">
        <v>47</v>
      </c>
      <c r="B1158" t="s">
        <v>1443</v>
      </c>
      <c r="C1158" t="s">
        <v>3453</v>
      </c>
      <c r="D1158" t="str">
        <f>VLOOKUP(YouTube_University_Data_Final[[#This Row],[Title]],[1]!YouTube_University_Data_Final[[Title]:[Title_language]],2,FALSE)</f>
        <v>Bilingual</v>
      </c>
      <c r="E1158" t="s">
        <v>3454</v>
      </c>
      <c r="F1158">
        <v>27</v>
      </c>
      <c r="G1158" s="1">
        <v>44452</v>
      </c>
      <c r="H1158">
        <v>243</v>
      </c>
      <c r="I1158" t="s">
        <v>3365</v>
      </c>
      <c r="J1158">
        <v>1417</v>
      </c>
      <c r="K1158">
        <v>98</v>
      </c>
      <c r="L1158">
        <v>0</v>
      </c>
      <c r="M1158">
        <v>0</v>
      </c>
      <c r="N1158" t="s">
        <v>21</v>
      </c>
      <c r="O1158">
        <v>2021</v>
      </c>
      <c r="P1158" t="s">
        <v>18</v>
      </c>
    </row>
    <row r="1159" spans="1:16" x14ac:dyDescent="0.3">
      <c r="A1159">
        <v>48</v>
      </c>
      <c r="B1159" t="s">
        <v>1443</v>
      </c>
      <c r="C1159" t="s">
        <v>3455</v>
      </c>
      <c r="D1159" t="str">
        <f>VLOOKUP(YouTube_University_Data_Final[[#This Row],[Title]],[1]!YouTube_University_Data_Final[[Title]:[Title_language]],2,FALSE)</f>
        <v>Bilingual</v>
      </c>
      <c r="E1159" t="s">
        <v>3456</v>
      </c>
      <c r="F1159">
        <v>27</v>
      </c>
      <c r="G1159" s="1">
        <v>44452</v>
      </c>
      <c r="H1159">
        <v>43</v>
      </c>
      <c r="I1159" t="s">
        <v>3365</v>
      </c>
      <c r="J1159">
        <v>1199</v>
      </c>
      <c r="K1159">
        <v>85</v>
      </c>
      <c r="L1159">
        <v>0</v>
      </c>
      <c r="M1159">
        <v>0</v>
      </c>
      <c r="N1159" t="s">
        <v>21</v>
      </c>
      <c r="O1159">
        <v>2021</v>
      </c>
      <c r="P1159" t="s">
        <v>18</v>
      </c>
    </row>
    <row r="1160" spans="1:16" x14ac:dyDescent="0.3">
      <c r="A1160">
        <v>49</v>
      </c>
      <c r="B1160" t="s">
        <v>1443</v>
      </c>
      <c r="C1160" t="s">
        <v>3457</v>
      </c>
      <c r="D1160" t="str">
        <f>VLOOKUP(YouTube_University_Data_Final[[#This Row],[Title]],[1]!YouTube_University_Data_Final[[Title]:[Title_language]],2,FALSE)</f>
        <v>Bilingual</v>
      </c>
      <c r="E1160" t="s">
        <v>3458</v>
      </c>
      <c r="F1160">
        <v>27</v>
      </c>
      <c r="G1160" s="1">
        <v>44445</v>
      </c>
      <c r="H1160">
        <v>409</v>
      </c>
      <c r="I1160" t="s">
        <v>3365</v>
      </c>
      <c r="J1160">
        <v>1454</v>
      </c>
      <c r="K1160">
        <v>18</v>
      </c>
      <c r="L1160">
        <v>0</v>
      </c>
      <c r="M1160">
        <v>0</v>
      </c>
      <c r="N1160" t="s">
        <v>21</v>
      </c>
      <c r="O1160">
        <v>2021</v>
      </c>
      <c r="P1160" t="s">
        <v>18</v>
      </c>
    </row>
    <row r="1161" spans="1:16" x14ac:dyDescent="0.3">
      <c r="A1161">
        <v>50</v>
      </c>
      <c r="B1161" t="s">
        <v>1443</v>
      </c>
      <c r="C1161" t="s">
        <v>3459</v>
      </c>
      <c r="D1161" t="str">
        <f>VLOOKUP(YouTube_University_Data_Final[[#This Row],[Title]],[1]!YouTube_University_Data_Final[[Title]:[Title_language]],2,FALSE)</f>
        <v>Bilingual</v>
      </c>
      <c r="E1161" t="s">
        <v>3460</v>
      </c>
      <c r="F1161">
        <v>27</v>
      </c>
      <c r="G1161" s="1">
        <v>44435</v>
      </c>
      <c r="H1161">
        <v>65</v>
      </c>
      <c r="I1161" t="s">
        <v>3365</v>
      </c>
      <c r="J1161">
        <v>593</v>
      </c>
      <c r="K1161">
        <v>4</v>
      </c>
      <c r="L1161">
        <v>0</v>
      </c>
      <c r="M1161">
        <v>0</v>
      </c>
      <c r="N1161" t="s">
        <v>48</v>
      </c>
      <c r="O1161">
        <v>2021</v>
      </c>
      <c r="P1161" t="s">
        <v>18</v>
      </c>
    </row>
    <row r="1162" spans="1:16" x14ac:dyDescent="0.3">
      <c r="A1162">
        <v>51</v>
      </c>
      <c r="B1162" t="s">
        <v>1443</v>
      </c>
      <c r="C1162" t="s">
        <v>3461</v>
      </c>
      <c r="D1162" t="str">
        <f>VLOOKUP(YouTube_University_Data_Final[[#This Row],[Title]],[1]!YouTube_University_Data_Final[[Title]:[Title_language]],2,FALSE)</f>
        <v>Bilingual</v>
      </c>
      <c r="E1162" t="s">
        <v>3462</v>
      </c>
      <c r="F1162">
        <v>27</v>
      </c>
      <c r="G1162" s="1">
        <v>44427</v>
      </c>
      <c r="H1162">
        <v>39</v>
      </c>
      <c r="I1162" t="s">
        <v>3365</v>
      </c>
      <c r="J1162">
        <v>1469</v>
      </c>
      <c r="K1162">
        <v>55</v>
      </c>
      <c r="L1162">
        <v>0</v>
      </c>
      <c r="M1162">
        <v>0</v>
      </c>
      <c r="N1162" t="s">
        <v>48</v>
      </c>
      <c r="O1162">
        <v>2021</v>
      </c>
      <c r="P1162" t="s">
        <v>18</v>
      </c>
    </row>
    <row r="1163" spans="1:16" x14ac:dyDescent="0.3">
      <c r="A1163">
        <v>52</v>
      </c>
      <c r="B1163" t="s">
        <v>1443</v>
      </c>
      <c r="C1163" t="s">
        <v>3463</v>
      </c>
      <c r="D1163" t="str">
        <f>VLOOKUP(YouTube_University_Data_Final[[#This Row],[Title]],[1]!YouTube_University_Data_Final[[Title]:[Title_language]],2,FALSE)</f>
        <v>Bilingual</v>
      </c>
      <c r="E1163" t="s">
        <v>3464</v>
      </c>
      <c r="F1163">
        <v>27</v>
      </c>
      <c r="G1163" s="1">
        <v>44412</v>
      </c>
      <c r="H1163">
        <v>311</v>
      </c>
      <c r="I1163" t="s">
        <v>3365</v>
      </c>
      <c r="J1163">
        <v>620</v>
      </c>
      <c r="K1163">
        <v>6</v>
      </c>
      <c r="L1163">
        <v>0</v>
      </c>
      <c r="M1163">
        <v>0</v>
      </c>
      <c r="N1163" t="s">
        <v>48</v>
      </c>
      <c r="O1163">
        <v>2021</v>
      </c>
      <c r="P1163" t="s">
        <v>18</v>
      </c>
    </row>
    <row r="1164" spans="1:16" x14ac:dyDescent="0.3">
      <c r="A1164">
        <v>53</v>
      </c>
      <c r="B1164" t="s">
        <v>1443</v>
      </c>
      <c r="C1164" t="s">
        <v>3465</v>
      </c>
      <c r="D1164" t="str">
        <f>VLOOKUP(YouTube_University_Data_Final[[#This Row],[Title]],[1]!YouTube_University_Data_Final[[Title]:[Title_language]],2,FALSE)</f>
        <v>Bilingual</v>
      </c>
      <c r="E1164" t="s">
        <v>3466</v>
      </c>
      <c r="F1164">
        <v>27</v>
      </c>
      <c r="G1164" s="1">
        <v>44412</v>
      </c>
      <c r="H1164">
        <v>296</v>
      </c>
      <c r="I1164" t="s">
        <v>3365</v>
      </c>
      <c r="J1164">
        <v>1710</v>
      </c>
      <c r="K1164">
        <v>16</v>
      </c>
      <c r="L1164">
        <v>0</v>
      </c>
      <c r="M1164">
        <v>0</v>
      </c>
      <c r="N1164" t="s">
        <v>48</v>
      </c>
      <c r="O1164">
        <v>2021</v>
      </c>
      <c r="P1164" t="s">
        <v>18</v>
      </c>
    </row>
    <row r="1165" spans="1:16" x14ac:dyDescent="0.3">
      <c r="A1165">
        <v>54</v>
      </c>
      <c r="B1165" t="s">
        <v>1443</v>
      </c>
      <c r="C1165" t="s">
        <v>3467</v>
      </c>
      <c r="D1165" t="str">
        <f>VLOOKUP(YouTube_University_Data_Final[[#This Row],[Title]],[1]!YouTube_University_Data_Final[[Title]:[Title_language]],2,FALSE)</f>
        <v>Bilingual</v>
      </c>
      <c r="E1165" t="s">
        <v>3468</v>
      </c>
      <c r="F1165">
        <v>27</v>
      </c>
      <c r="G1165" s="1">
        <v>44412</v>
      </c>
      <c r="H1165">
        <v>315</v>
      </c>
      <c r="I1165" t="s">
        <v>3365</v>
      </c>
      <c r="J1165">
        <v>806</v>
      </c>
      <c r="K1165">
        <v>11</v>
      </c>
      <c r="L1165">
        <v>0</v>
      </c>
      <c r="M1165">
        <v>0</v>
      </c>
      <c r="N1165" t="s">
        <v>48</v>
      </c>
      <c r="O1165">
        <v>2021</v>
      </c>
      <c r="P1165" t="s">
        <v>18</v>
      </c>
    </row>
    <row r="1166" spans="1:16" x14ac:dyDescent="0.3">
      <c r="A1166">
        <v>55</v>
      </c>
      <c r="B1166" t="s">
        <v>1443</v>
      </c>
      <c r="C1166" t="s">
        <v>3469</v>
      </c>
      <c r="D1166" t="str">
        <f>VLOOKUP(YouTube_University_Data_Final[[#This Row],[Title]],[1]!YouTube_University_Data_Final[[Title]:[Title_language]],2,FALSE)</f>
        <v>Bilingual</v>
      </c>
      <c r="E1166" t="s">
        <v>3470</v>
      </c>
      <c r="F1166">
        <v>27</v>
      </c>
      <c r="G1166" s="1">
        <v>44410</v>
      </c>
      <c r="H1166">
        <v>49</v>
      </c>
      <c r="I1166" t="s">
        <v>3365</v>
      </c>
      <c r="J1166">
        <v>1879</v>
      </c>
      <c r="K1166">
        <v>87</v>
      </c>
      <c r="L1166">
        <v>0</v>
      </c>
      <c r="M1166">
        <v>0</v>
      </c>
      <c r="N1166" t="s">
        <v>48</v>
      </c>
      <c r="O1166">
        <v>2021</v>
      </c>
      <c r="P1166" t="s">
        <v>18</v>
      </c>
    </row>
    <row r="1167" spans="1:16" x14ac:dyDescent="0.3">
      <c r="A1167">
        <v>56</v>
      </c>
      <c r="B1167" t="s">
        <v>1443</v>
      </c>
      <c r="C1167" t="s">
        <v>3471</v>
      </c>
      <c r="D1167" t="str">
        <f>VLOOKUP(YouTube_University_Data_Final[[#This Row],[Title]],[1]!YouTube_University_Data_Final[[Title]:[Title_language]],2,FALSE)</f>
        <v>Bilingual</v>
      </c>
      <c r="E1167" t="s">
        <v>3472</v>
      </c>
      <c r="F1167">
        <v>27</v>
      </c>
      <c r="G1167" s="1">
        <v>44400</v>
      </c>
      <c r="H1167">
        <v>301</v>
      </c>
      <c r="I1167" t="s">
        <v>3365</v>
      </c>
      <c r="J1167">
        <v>10638</v>
      </c>
      <c r="K1167">
        <v>26</v>
      </c>
      <c r="L1167">
        <v>0</v>
      </c>
      <c r="M1167">
        <v>0</v>
      </c>
      <c r="N1167" t="s">
        <v>56</v>
      </c>
      <c r="O1167">
        <v>2021</v>
      </c>
      <c r="P1167" t="s">
        <v>18</v>
      </c>
    </row>
    <row r="1168" spans="1:16" x14ac:dyDescent="0.3">
      <c r="A1168">
        <v>57</v>
      </c>
      <c r="B1168" t="s">
        <v>1443</v>
      </c>
      <c r="C1168" t="s">
        <v>3473</v>
      </c>
      <c r="D1168" t="str">
        <f>VLOOKUP(YouTube_University_Data_Final[[#This Row],[Title]],[1]!YouTube_University_Data_Final[[Title]:[Title_language]],2,FALSE)</f>
        <v>Bilingual</v>
      </c>
      <c r="E1168" t="s">
        <v>3474</v>
      </c>
      <c r="F1168">
        <v>27</v>
      </c>
      <c r="G1168" s="1">
        <v>44397</v>
      </c>
      <c r="H1168">
        <v>321</v>
      </c>
      <c r="I1168" t="s">
        <v>3365</v>
      </c>
      <c r="J1168">
        <v>860</v>
      </c>
      <c r="K1168">
        <v>12</v>
      </c>
      <c r="L1168">
        <v>0</v>
      </c>
      <c r="M1168">
        <v>0</v>
      </c>
      <c r="N1168" t="s">
        <v>56</v>
      </c>
      <c r="O1168">
        <v>2021</v>
      </c>
      <c r="P1168" t="s">
        <v>18</v>
      </c>
    </row>
    <row r="1169" spans="1:16" x14ac:dyDescent="0.3">
      <c r="A1169">
        <v>58</v>
      </c>
      <c r="B1169" t="s">
        <v>1443</v>
      </c>
      <c r="C1169" t="s">
        <v>3475</v>
      </c>
      <c r="D1169" t="str">
        <f>VLOOKUP(YouTube_University_Data_Final[[#This Row],[Title]],[1]!YouTube_University_Data_Final[[Title]:[Title_language]],2,FALSE)</f>
        <v>Bilingual</v>
      </c>
      <c r="E1169" t="s">
        <v>3476</v>
      </c>
      <c r="F1169">
        <v>27</v>
      </c>
      <c r="G1169" s="1">
        <v>44394</v>
      </c>
      <c r="H1169">
        <v>255</v>
      </c>
      <c r="I1169" t="s">
        <v>3365</v>
      </c>
      <c r="J1169">
        <v>389</v>
      </c>
      <c r="K1169">
        <v>9</v>
      </c>
      <c r="L1169">
        <v>0</v>
      </c>
      <c r="M1169">
        <v>0</v>
      </c>
      <c r="N1169" t="s">
        <v>56</v>
      </c>
      <c r="O1169">
        <v>2021</v>
      </c>
      <c r="P1169" t="s">
        <v>18</v>
      </c>
    </row>
    <row r="1170" spans="1:16" x14ac:dyDescent="0.3">
      <c r="A1170">
        <v>59</v>
      </c>
      <c r="B1170" t="s">
        <v>1443</v>
      </c>
      <c r="C1170" t="s">
        <v>3477</v>
      </c>
      <c r="D1170" t="str">
        <f>VLOOKUP(YouTube_University_Data_Final[[#This Row],[Title]],[1]!YouTube_University_Data_Final[[Title]:[Title_language]],2,FALSE)</f>
        <v>Bilingual</v>
      </c>
      <c r="E1170" t="s">
        <v>3478</v>
      </c>
      <c r="F1170">
        <v>27</v>
      </c>
      <c r="G1170" s="1">
        <v>44368</v>
      </c>
      <c r="H1170">
        <v>192</v>
      </c>
      <c r="I1170" t="s">
        <v>3365</v>
      </c>
      <c r="J1170">
        <v>768</v>
      </c>
      <c r="K1170">
        <v>16</v>
      </c>
      <c r="L1170">
        <v>0</v>
      </c>
      <c r="M1170">
        <v>0</v>
      </c>
      <c r="N1170" t="s">
        <v>78</v>
      </c>
      <c r="O1170">
        <v>2021</v>
      </c>
      <c r="P1170" t="s">
        <v>18</v>
      </c>
    </row>
    <row r="1171" spans="1:16" x14ac:dyDescent="0.3">
      <c r="A1171">
        <v>60</v>
      </c>
      <c r="B1171" t="s">
        <v>1443</v>
      </c>
      <c r="C1171" t="s">
        <v>3479</v>
      </c>
      <c r="D1171" t="str">
        <f>VLOOKUP(YouTube_University_Data_Final[[#This Row],[Title]],[1]!YouTube_University_Data_Final[[Title]:[Title_language]],2,FALSE)</f>
        <v>Bilingual</v>
      </c>
      <c r="E1171" t="s">
        <v>3480</v>
      </c>
      <c r="F1171">
        <v>27</v>
      </c>
      <c r="G1171" s="1">
        <v>44366</v>
      </c>
      <c r="H1171">
        <v>127</v>
      </c>
      <c r="I1171" t="s">
        <v>3365</v>
      </c>
      <c r="J1171">
        <v>337</v>
      </c>
      <c r="K1171">
        <v>8</v>
      </c>
      <c r="L1171">
        <v>0</v>
      </c>
      <c r="M1171">
        <v>0</v>
      </c>
      <c r="N1171" t="s">
        <v>78</v>
      </c>
      <c r="O1171">
        <v>2021</v>
      </c>
      <c r="P1171" t="s">
        <v>18</v>
      </c>
    </row>
    <row r="1172" spans="1:16" x14ac:dyDescent="0.3">
      <c r="A1172">
        <v>61</v>
      </c>
      <c r="B1172" t="s">
        <v>1443</v>
      </c>
      <c r="C1172" t="s">
        <v>3481</v>
      </c>
      <c r="D1172" t="str">
        <f>VLOOKUP(YouTube_University_Data_Final[[#This Row],[Title]],[1]!YouTube_University_Data_Final[[Title]:[Title_language]],2,FALSE)</f>
        <v>Bilingual</v>
      </c>
      <c r="E1172" t="s">
        <v>3482</v>
      </c>
      <c r="F1172">
        <v>27</v>
      </c>
      <c r="G1172" s="1">
        <v>44365</v>
      </c>
      <c r="H1172">
        <v>207</v>
      </c>
      <c r="I1172" t="s">
        <v>3365</v>
      </c>
      <c r="J1172">
        <v>3784</v>
      </c>
      <c r="K1172">
        <v>18</v>
      </c>
      <c r="L1172">
        <v>0</v>
      </c>
      <c r="M1172">
        <v>0</v>
      </c>
      <c r="N1172" t="s">
        <v>78</v>
      </c>
      <c r="O1172">
        <v>2021</v>
      </c>
      <c r="P1172" t="s">
        <v>18</v>
      </c>
    </row>
    <row r="1173" spans="1:16" x14ac:dyDescent="0.3">
      <c r="A1173">
        <v>62</v>
      </c>
      <c r="B1173" t="s">
        <v>1443</v>
      </c>
      <c r="C1173" t="s">
        <v>3483</v>
      </c>
      <c r="D1173" t="str">
        <f>VLOOKUP(YouTube_University_Data_Final[[#This Row],[Title]],[1]!YouTube_University_Data_Final[[Title]:[Title_language]],2,FALSE)</f>
        <v>Bilingual</v>
      </c>
      <c r="E1173" t="s">
        <v>3484</v>
      </c>
      <c r="F1173">
        <v>27</v>
      </c>
      <c r="G1173" s="1">
        <v>44358</v>
      </c>
      <c r="H1173">
        <v>250</v>
      </c>
      <c r="I1173" t="s">
        <v>3365</v>
      </c>
      <c r="J1173">
        <v>3849</v>
      </c>
      <c r="K1173">
        <v>23</v>
      </c>
      <c r="L1173">
        <v>0</v>
      </c>
      <c r="M1173">
        <v>0</v>
      </c>
      <c r="N1173" t="s">
        <v>78</v>
      </c>
      <c r="O1173">
        <v>2021</v>
      </c>
      <c r="P1173" t="s">
        <v>18</v>
      </c>
    </row>
    <row r="1174" spans="1:16" x14ac:dyDescent="0.3">
      <c r="A1174">
        <v>63</v>
      </c>
      <c r="B1174" t="s">
        <v>1443</v>
      </c>
      <c r="C1174" t="s">
        <v>3485</v>
      </c>
      <c r="D1174" t="str">
        <f>VLOOKUP(YouTube_University_Data_Final[[#This Row],[Title]],[1]!YouTube_University_Data_Final[[Title]:[Title_language]],2,FALSE)</f>
        <v>Bilingual</v>
      </c>
      <c r="E1174" t="s">
        <v>3486</v>
      </c>
      <c r="F1174">
        <v>27</v>
      </c>
      <c r="G1174" s="1">
        <v>44354</v>
      </c>
      <c r="H1174">
        <v>250</v>
      </c>
      <c r="I1174" t="s">
        <v>3365</v>
      </c>
      <c r="J1174">
        <v>14060</v>
      </c>
      <c r="K1174">
        <v>10</v>
      </c>
      <c r="L1174">
        <v>0</v>
      </c>
      <c r="M1174">
        <v>0</v>
      </c>
      <c r="N1174" t="s">
        <v>78</v>
      </c>
      <c r="O1174">
        <v>2021</v>
      </c>
      <c r="P1174" t="s">
        <v>18</v>
      </c>
    </row>
    <row r="1175" spans="1:16" x14ac:dyDescent="0.3">
      <c r="A1175">
        <v>64</v>
      </c>
      <c r="B1175" t="s">
        <v>1443</v>
      </c>
      <c r="C1175" t="s">
        <v>3487</v>
      </c>
      <c r="D1175" t="str">
        <f>VLOOKUP(YouTube_University_Data_Final[[#This Row],[Title]],[1]!YouTube_University_Data_Final[[Title]:[Title_language]],2,FALSE)</f>
        <v>Bilingual</v>
      </c>
      <c r="E1175" t="s">
        <v>3488</v>
      </c>
      <c r="F1175">
        <v>27</v>
      </c>
      <c r="G1175" s="1">
        <v>44344</v>
      </c>
      <c r="H1175">
        <v>246</v>
      </c>
      <c r="I1175" t="s">
        <v>3365</v>
      </c>
      <c r="J1175">
        <v>4693</v>
      </c>
      <c r="K1175">
        <v>35</v>
      </c>
      <c r="L1175">
        <v>0</v>
      </c>
      <c r="M1175">
        <v>0</v>
      </c>
      <c r="N1175" t="s">
        <v>81</v>
      </c>
      <c r="O1175">
        <v>2021</v>
      </c>
      <c r="P1175" t="s">
        <v>18</v>
      </c>
    </row>
    <row r="1176" spans="1:16" x14ac:dyDescent="0.3">
      <c r="A1176">
        <v>65</v>
      </c>
      <c r="B1176" t="s">
        <v>1443</v>
      </c>
      <c r="C1176" t="s">
        <v>3489</v>
      </c>
      <c r="D1176" t="str">
        <f>VLOOKUP(YouTube_University_Data_Final[[#This Row],[Title]],[1]!YouTube_University_Data_Final[[Title]:[Title_language]],2,FALSE)</f>
        <v>Bilingual</v>
      </c>
      <c r="E1176" t="s">
        <v>3490</v>
      </c>
      <c r="F1176">
        <v>27</v>
      </c>
      <c r="G1176" s="1">
        <v>44337</v>
      </c>
      <c r="H1176">
        <v>97</v>
      </c>
      <c r="I1176" t="s">
        <v>3365</v>
      </c>
      <c r="J1176">
        <v>2288</v>
      </c>
      <c r="K1176">
        <v>76</v>
      </c>
      <c r="L1176">
        <v>0</v>
      </c>
      <c r="M1176">
        <v>0</v>
      </c>
      <c r="N1176" t="s">
        <v>81</v>
      </c>
      <c r="O1176">
        <v>2021</v>
      </c>
      <c r="P1176" t="s">
        <v>18</v>
      </c>
    </row>
    <row r="1177" spans="1:16" x14ac:dyDescent="0.3">
      <c r="A1177">
        <v>66</v>
      </c>
      <c r="B1177" t="s">
        <v>1443</v>
      </c>
      <c r="C1177" t="s">
        <v>3491</v>
      </c>
      <c r="D1177" t="str">
        <f>VLOOKUP(YouTube_University_Data_Final[[#This Row],[Title]],[1]!YouTube_University_Data_Final[[Title]:[Title_language]],2,FALSE)</f>
        <v>Chinese</v>
      </c>
      <c r="E1177" t="s">
        <v>3492</v>
      </c>
      <c r="F1177">
        <v>27</v>
      </c>
      <c r="G1177" s="1">
        <v>44337</v>
      </c>
      <c r="H1177">
        <v>82</v>
      </c>
      <c r="I1177" t="s">
        <v>3365</v>
      </c>
      <c r="J1177">
        <v>416</v>
      </c>
      <c r="K1177">
        <v>7</v>
      </c>
      <c r="L1177">
        <v>0</v>
      </c>
      <c r="M1177">
        <v>0</v>
      </c>
      <c r="N1177" t="s">
        <v>81</v>
      </c>
      <c r="O1177">
        <v>2021</v>
      </c>
      <c r="P1177" t="s">
        <v>18</v>
      </c>
    </row>
    <row r="1178" spans="1:16" x14ac:dyDescent="0.3">
      <c r="A1178">
        <v>67</v>
      </c>
      <c r="B1178" t="s">
        <v>1443</v>
      </c>
      <c r="C1178" t="s">
        <v>3493</v>
      </c>
      <c r="D1178" t="str">
        <f>VLOOKUP(YouTube_University_Data_Final[[#This Row],[Title]],[1]!YouTube_University_Data_Final[[Title]:[Title_language]],2,FALSE)</f>
        <v>Bilingual</v>
      </c>
      <c r="E1178" t="s">
        <v>3494</v>
      </c>
      <c r="F1178">
        <v>27</v>
      </c>
      <c r="G1178" s="1">
        <v>44321</v>
      </c>
      <c r="H1178">
        <v>592</v>
      </c>
      <c r="I1178" t="s">
        <v>3365</v>
      </c>
      <c r="J1178">
        <v>774</v>
      </c>
      <c r="K1178">
        <v>16</v>
      </c>
      <c r="L1178">
        <v>0</v>
      </c>
      <c r="M1178">
        <v>0</v>
      </c>
      <c r="N1178" t="s">
        <v>81</v>
      </c>
      <c r="O1178">
        <v>2021</v>
      </c>
      <c r="P1178" t="s">
        <v>18</v>
      </c>
    </row>
    <row r="1179" spans="1:16" x14ac:dyDescent="0.3">
      <c r="A1179">
        <v>68</v>
      </c>
      <c r="B1179" t="s">
        <v>1443</v>
      </c>
      <c r="C1179" t="s">
        <v>3495</v>
      </c>
      <c r="D1179" t="str">
        <f>VLOOKUP(YouTube_University_Data_Final[[#This Row],[Title]],[1]!YouTube_University_Data_Final[[Title]:[Title_language]],2,FALSE)</f>
        <v>Bilingual</v>
      </c>
      <c r="E1179" t="s">
        <v>3496</v>
      </c>
      <c r="F1179">
        <v>27</v>
      </c>
      <c r="G1179" s="1">
        <v>44320</v>
      </c>
      <c r="H1179">
        <v>101</v>
      </c>
      <c r="I1179" t="s">
        <v>3365</v>
      </c>
      <c r="J1179">
        <v>482</v>
      </c>
      <c r="K1179">
        <v>3</v>
      </c>
      <c r="L1179">
        <v>0</v>
      </c>
      <c r="M1179">
        <v>0</v>
      </c>
      <c r="N1179" t="s">
        <v>81</v>
      </c>
      <c r="O1179">
        <v>2021</v>
      </c>
      <c r="P1179" t="s">
        <v>18</v>
      </c>
    </row>
    <row r="1180" spans="1:16" x14ac:dyDescent="0.3">
      <c r="A1180">
        <v>69</v>
      </c>
      <c r="B1180" t="s">
        <v>1443</v>
      </c>
      <c r="C1180" t="s">
        <v>3497</v>
      </c>
      <c r="D1180" t="str">
        <f>VLOOKUP(YouTube_University_Data_Final[[#This Row],[Title]],[1]!YouTube_University_Data_Final[[Title]:[Title_language]],2,FALSE)</f>
        <v>Bilingual</v>
      </c>
      <c r="E1180" t="s">
        <v>3498</v>
      </c>
      <c r="F1180">
        <v>27</v>
      </c>
      <c r="G1180" s="1">
        <v>44309</v>
      </c>
      <c r="H1180">
        <v>8</v>
      </c>
      <c r="I1180" t="s">
        <v>3365</v>
      </c>
      <c r="J1180">
        <v>544</v>
      </c>
      <c r="K1180">
        <v>10</v>
      </c>
      <c r="L1180">
        <v>0</v>
      </c>
      <c r="M1180">
        <v>0</v>
      </c>
      <c r="N1180" t="s">
        <v>87</v>
      </c>
      <c r="O1180">
        <v>2021</v>
      </c>
      <c r="P1180" t="s">
        <v>18</v>
      </c>
    </row>
    <row r="1181" spans="1:16" x14ac:dyDescent="0.3">
      <c r="A1181">
        <v>70</v>
      </c>
      <c r="B1181" t="s">
        <v>1443</v>
      </c>
      <c r="C1181" t="s">
        <v>3499</v>
      </c>
      <c r="D1181" t="str">
        <f>VLOOKUP(YouTube_University_Data_Final[[#This Row],[Title]],[1]!YouTube_University_Data_Final[[Title]:[Title_language]],2,FALSE)</f>
        <v>Bilingual</v>
      </c>
      <c r="E1181" t="s">
        <v>3500</v>
      </c>
      <c r="F1181">
        <v>27</v>
      </c>
      <c r="G1181" s="1">
        <v>44308</v>
      </c>
      <c r="H1181">
        <v>133</v>
      </c>
      <c r="I1181" t="s">
        <v>3365</v>
      </c>
      <c r="J1181">
        <v>566</v>
      </c>
      <c r="K1181">
        <v>8</v>
      </c>
      <c r="L1181">
        <v>0</v>
      </c>
      <c r="M1181">
        <v>0</v>
      </c>
      <c r="N1181" t="s">
        <v>87</v>
      </c>
      <c r="O1181">
        <v>2021</v>
      </c>
      <c r="P1181" t="s">
        <v>18</v>
      </c>
    </row>
    <row r="1182" spans="1:16" x14ac:dyDescent="0.3">
      <c r="A1182">
        <v>71</v>
      </c>
      <c r="B1182" t="s">
        <v>1443</v>
      </c>
      <c r="C1182" t="s">
        <v>3501</v>
      </c>
      <c r="D1182" t="str">
        <f>VLOOKUP(YouTube_University_Data_Final[[#This Row],[Title]],[1]!YouTube_University_Data_Final[[Title]:[Title_language]],2,FALSE)</f>
        <v>Chinese</v>
      </c>
      <c r="E1182" t="s">
        <v>3502</v>
      </c>
      <c r="F1182">
        <v>27</v>
      </c>
      <c r="G1182" s="1">
        <v>44294</v>
      </c>
      <c r="H1182">
        <v>368</v>
      </c>
      <c r="I1182" t="s">
        <v>3365</v>
      </c>
      <c r="J1182">
        <v>816</v>
      </c>
      <c r="K1182">
        <v>13</v>
      </c>
      <c r="L1182">
        <v>0</v>
      </c>
      <c r="M1182">
        <v>0</v>
      </c>
      <c r="N1182" t="s">
        <v>87</v>
      </c>
      <c r="O1182">
        <v>2021</v>
      </c>
      <c r="P1182" t="s">
        <v>18</v>
      </c>
    </row>
    <row r="1183" spans="1:16" x14ac:dyDescent="0.3">
      <c r="A1183">
        <v>72</v>
      </c>
      <c r="B1183" t="s">
        <v>1443</v>
      </c>
      <c r="C1183" t="s">
        <v>3503</v>
      </c>
      <c r="D1183" t="str">
        <f>VLOOKUP(YouTube_University_Data_Final[[#This Row],[Title]],[1]!YouTube_University_Data_Final[[Title]:[Title_language]],2,FALSE)</f>
        <v>Bilingual</v>
      </c>
      <c r="E1183" t="s">
        <v>3504</v>
      </c>
      <c r="F1183">
        <v>27</v>
      </c>
      <c r="G1183" s="1">
        <v>44284</v>
      </c>
      <c r="H1183">
        <v>4</v>
      </c>
      <c r="I1183" t="s">
        <v>3365</v>
      </c>
      <c r="J1183">
        <v>333</v>
      </c>
      <c r="K1183">
        <v>5</v>
      </c>
      <c r="L1183">
        <v>0</v>
      </c>
      <c r="M1183">
        <v>0</v>
      </c>
      <c r="N1183" t="s">
        <v>90</v>
      </c>
      <c r="O1183">
        <v>2021</v>
      </c>
      <c r="P1183" t="s">
        <v>18</v>
      </c>
    </row>
    <row r="1184" spans="1:16" x14ac:dyDescent="0.3">
      <c r="A1184">
        <v>73</v>
      </c>
      <c r="B1184" t="s">
        <v>1443</v>
      </c>
      <c r="C1184" t="s">
        <v>3505</v>
      </c>
      <c r="D1184" t="str">
        <f>VLOOKUP(YouTube_University_Data_Final[[#This Row],[Title]],[1]!YouTube_University_Data_Final[[Title]:[Title_language]],2,FALSE)</f>
        <v>Bilingual</v>
      </c>
      <c r="E1184" t="s">
        <v>3506</v>
      </c>
      <c r="F1184">
        <v>27</v>
      </c>
      <c r="G1184" s="1">
        <v>44281</v>
      </c>
      <c r="H1184">
        <v>135</v>
      </c>
      <c r="I1184" t="s">
        <v>3365</v>
      </c>
      <c r="J1184">
        <v>418</v>
      </c>
      <c r="K1184">
        <v>0</v>
      </c>
      <c r="L1184">
        <v>0</v>
      </c>
      <c r="M1184">
        <v>0</v>
      </c>
      <c r="N1184" t="s">
        <v>90</v>
      </c>
      <c r="O1184">
        <v>2021</v>
      </c>
      <c r="P1184" t="s">
        <v>18</v>
      </c>
    </row>
    <row r="1185" spans="1:16" x14ac:dyDescent="0.3">
      <c r="A1185">
        <v>74</v>
      </c>
      <c r="B1185" t="s">
        <v>1443</v>
      </c>
      <c r="C1185" t="s">
        <v>3507</v>
      </c>
      <c r="D1185" t="str">
        <f>VLOOKUP(YouTube_University_Data_Final[[#This Row],[Title]],[1]!YouTube_University_Data_Final[[Title]:[Title_language]],2,FALSE)</f>
        <v>Bilingual</v>
      </c>
      <c r="E1185" t="s">
        <v>3508</v>
      </c>
      <c r="F1185">
        <v>27</v>
      </c>
      <c r="G1185" s="1">
        <v>44273</v>
      </c>
      <c r="H1185">
        <v>211</v>
      </c>
      <c r="I1185" t="s">
        <v>3365</v>
      </c>
      <c r="J1185">
        <v>372</v>
      </c>
      <c r="K1185">
        <v>8</v>
      </c>
      <c r="L1185">
        <v>0</v>
      </c>
      <c r="M1185">
        <v>0</v>
      </c>
      <c r="N1185" t="s">
        <v>90</v>
      </c>
      <c r="O1185">
        <v>2021</v>
      </c>
      <c r="P1185" t="s">
        <v>18</v>
      </c>
    </row>
    <row r="1186" spans="1:16" x14ac:dyDescent="0.3">
      <c r="A1186">
        <v>75</v>
      </c>
      <c r="B1186" t="s">
        <v>1443</v>
      </c>
      <c r="C1186" t="s">
        <v>3509</v>
      </c>
      <c r="D1186" t="str">
        <f>VLOOKUP(YouTube_University_Data_Final[[#This Row],[Title]],[1]!YouTube_University_Data_Final[[Title]:[Title_language]],2,FALSE)</f>
        <v>Bilingual</v>
      </c>
      <c r="E1186" t="s">
        <v>3510</v>
      </c>
      <c r="F1186">
        <v>27</v>
      </c>
      <c r="G1186" s="1">
        <v>44237</v>
      </c>
      <c r="H1186">
        <v>66</v>
      </c>
      <c r="I1186" t="s">
        <v>3365</v>
      </c>
      <c r="J1186">
        <v>125</v>
      </c>
      <c r="K1186">
        <v>2</v>
      </c>
      <c r="L1186">
        <v>0</v>
      </c>
      <c r="M1186">
        <v>0</v>
      </c>
      <c r="N1186" t="s">
        <v>162</v>
      </c>
      <c r="O1186">
        <v>2021</v>
      </c>
      <c r="P1186" t="s">
        <v>18</v>
      </c>
    </row>
    <row r="1187" spans="1:16" x14ac:dyDescent="0.3">
      <c r="A1187">
        <v>76</v>
      </c>
      <c r="B1187" t="s">
        <v>1443</v>
      </c>
      <c r="C1187" t="s">
        <v>3511</v>
      </c>
      <c r="D1187" t="str">
        <f>VLOOKUP(YouTube_University_Data_Final[[#This Row],[Title]],[1]!YouTube_University_Data_Final[[Title]:[Title_language]],2,FALSE)</f>
        <v>Bilingual</v>
      </c>
      <c r="E1187" t="s">
        <v>3512</v>
      </c>
      <c r="F1187">
        <v>27</v>
      </c>
      <c r="G1187" s="1">
        <v>44235</v>
      </c>
      <c r="H1187">
        <v>239</v>
      </c>
      <c r="I1187" t="s">
        <v>3365</v>
      </c>
      <c r="J1187">
        <v>391</v>
      </c>
      <c r="K1187">
        <v>9</v>
      </c>
      <c r="L1187">
        <v>0</v>
      </c>
      <c r="M1187">
        <v>0</v>
      </c>
      <c r="N1187" t="s">
        <v>162</v>
      </c>
      <c r="O1187">
        <v>2021</v>
      </c>
      <c r="P1187" t="s">
        <v>18</v>
      </c>
    </row>
    <row r="1188" spans="1:16" x14ac:dyDescent="0.3">
      <c r="A1188">
        <v>77</v>
      </c>
      <c r="B1188" t="s">
        <v>1443</v>
      </c>
      <c r="C1188" t="s">
        <v>3513</v>
      </c>
      <c r="D1188" t="str">
        <f>VLOOKUP(YouTube_University_Data_Final[[#This Row],[Title]],[1]!YouTube_University_Data_Final[[Title]:[Title_language]],2,FALSE)</f>
        <v>Bilingual</v>
      </c>
      <c r="E1188" t="s">
        <v>3514</v>
      </c>
      <c r="F1188">
        <v>27</v>
      </c>
      <c r="G1188" s="1">
        <v>44225</v>
      </c>
      <c r="H1188">
        <v>202</v>
      </c>
      <c r="I1188" t="s">
        <v>3365</v>
      </c>
      <c r="J1188">
        <v>325</v>
      </c>
      <c r="K1188">
        <v>2</v>
      </c>
      <c r="L1188">
        <v>0</v>
      </c>
      <c r="M1188">
        <v>0</v>
      </c>
      <c r="N1188" t="s">
        <v>93</v>
      </c>
      <c r="O1188">
        <v>2021</v>
      </c>
      <c r="P1188" t="s">
        <v>18</v>
      </c>
    </row>
    <row r="1189" spans="1:16" x14ac:dyDescent="0.3">
      <c r="A1189">
        <v>78</v>
      </c>
      <c r="B1189" t="s">
        <v>1443</v>
      </c>
      <c r="C1189" t="s">
        <v>3515</v>
      </c>
      <c r="D1189" t="str">
        <f>VLOOKUP(YouTube_University_Data_Final[[#This Row],[Title]],[1]!YouTube_University_Data_Final[[Title]:[Title_language]],2,FALSE)</f>
        <v>Bilingual</v>
      </c>
      <c r="E1189" t="s">
        <v>3516</v>
      </c>
      <c r="F1189">
        <v>27</v>
      </c>
      <c r="G1189" s="1">
        <v>44224</v>
      </c>
      <c r="H1189">
        <v>156</v>
      </c>
      <c r="I1189" t="s">
        <v>3365</v>
      </c>
      <c r="J1189">
        <v>766</v>
      </c>
      <c r="K1189">
        <v>6</v>
      </c>
      <c r="L1189">
        <v>0</v>
      </c>
      <c r="M1189">
        <v>0</v>
      </c>
      <c r="N1189" t="s">
        <v>93</v>
      </c>
      <c r="O1189">
        <v>2021</v>
      </c>
      <c r="P1189" t="s">
        <v>18</v>
      </c>
    </row>
    <row r="1190" spans="1:16" x14ac:dyDescent="0.3">
      <c r="A1190">
        <v>79</v>
      </c>
      <c r="B1190" t="s">
        <v>1443</v>
      </c>
      <c r="C1190" t="s">
        <v>3517</v>
      </c>
      <c r="D1190" t="str">
        <f>VLOOKUP(YouTube_University_Data_Final[[#This Row],[Title]],[1]!YouTube_University_Data_Final[[Title]:[Title_language]],2,FALSE)</f>
        <v>Bilingual</v>
      </c>
      <c r="E1190" t="s">
        <v>3518</v>
      </c>
      <c r="F1190">
        <v>27</v>
      </c>
      <c r="G1190" s="1">
        <v>44212</v>
      </c>
      <c r="H1190">
        <v>170</v>
      </c>
      <c r="I1190" t="s">
        <v>3365</v>
      </c>
      <c r="J1190">
        <v>13426</v>
      </c>
      <c r="K1190">
        <v>268</v>
      </c>
      <c r="L1190">
        <v>0</v>
      </c>
      <c r="M1190">
        <v>0</v>
      </c>
      <c r="N1190" t="s">
        <v>93</v>
      </c>
      <c r="O1190">
        <v>2021</v>
      </c>
      <c r="P1190" t="s">
        <v>18</v>
      </c>
    </row>
    <row r="1191" spans="1:16" x14ac:dyDescent="0.3">
      <c r="A1191">
        <v>80</v>
      </c>
      <c r="B1191" t="s">
        <v>1443</v>
      </c>
      <c r="C1191" t="s">
        <v>3519</v>
      </c>
      <c r="D1191" t="str">
        <f>VLOOKUP(YouTube_University_Data_Final[[#This Row],[Title]],[1]!YouTube_University_Data_Final[[Title]:[Title_language]],2,FALSE)</f>
        <v>Bilingual</v>
      </c>
      <c r="E1191" t="s">
        <v>3520</v>
      </c>
      <c r="F1191">
        <v>27</v>
      </c>
      <c r="G1191" s="1">
        <v>44204</v>
      </c>
      <c r="H1191">
        <v>189</v>
      </c>
      <c r="I1191" t="s">
        <v>3365</v>
      </c>
      <c r="J1191">
        <v>703</v>
      </c>
      <c r="K1191">
        <v>9</v>
      </c>
      <c r="L1191">
        <v>0</v>
      </c>
      <c r="M1191">
        <v>0</v>
      </c>
      <c r="N1191" t="s">
        <v>93</v>
      </c>
      <c r="O1191">
        <v>2021</v>
      </c>
      <c r="P1191" t="s">
        <v>18</v>
      </c>
    </row>
    <row r="1192" spans="1:16" x14ac:dyDescent="0.3">
      <c r="A1192">
        <v>81</v>
      </c>
      <c r="B1192" t="s">
        <v>1443</v>
      </c>
      <c r="C1192" t="s">
        <v>3521</v>
      </c>
      <c r="D1192" t="str">
        <f>VLOOKUP(YouTube_University_Data_Final[[#This Row],[Title]],[1]!YouTube_University_Data_Final[[Title]:[Title_language]],2,FALSE)</f>
        <v>Bilingual</v>
      </c>
      <c r="E1192" t="s">
        <v>3522</v>
      </c>
      <c r="F1192">
        <v>27</v>
      </c>
      <c r="G1192" s="1">
        <v>44196</v>
      </c>
      <c r="H1192">
        <v>86</v>
      </c>
      <c r="I1192" t="s">
        <v>3365</v>
      </c>
      <c r="J1192">
        <v>1008</v>
      </c>
      <c r="K1192">
        <v>14</v>
      </c>
      <c r="L1192">
        <v>0</v>
      </c>
      <c r="M1192">
        <v>0</v>
      </c>
      <c r="N1192" t="s">
        <v>98</v>
      </c>
      <c r="O1192">
        <v>2020</v>
      </c>
      <c r="P1192" t="s">
        <v>18</v>
      </c>
    </row>
    <row r="1193" spans="1:16" x14ac:dyDescent="0.3">
      <c r="A1193">
        <v>82</v>
      </c>
      <c r="B1193" t="s">
        <v>1443</v>
      </c>
      <c r="C1193" t="s">
        <v>3523</v>
      </c>
      <c r="D1193" t="str">
        <f>VLOOKUP(YouTube_University_Data_Final[[#This Row],[Title]],[1]!YouTube_University_Data_Final[[Title]:[Title_language]],2,FALSE)</f>
        <v>Bilingual</v>
      </c>
      <c r="E1193" t="s">
        <v>3524</v>
      </c>
      <c r="F1193">
        <v>27</v>
      </c>
      <c r="G1193" s="1">
        <v>44195</v>
      </c>
      <c r="H1193">
        <v>182</v>
      </c>
      <c r="I1193" t="s">
        <v>3365</v>
      </c>
      <c r="J1193">
        <v>870</v>
      </c>
      <c r="K1193">
        <v>17</v>
      </c>
      <c r="L1193">
        <v>0</v>
      </c>
      <c r="M1193">
        <v>0</v>
      </c>
      <c r="N1193" t="s">
        <v>98</v>
      </c>
      <c r="O1193">
        <v>2020</v>
      </c>
      <c r="P1193" t="s">
        <v>18</v>
      </c>
    </row>
    <row r="1194" spans="1:16" x14ac:dyDescent="0.3">
      <c r="A1194">
        <v>83</v>
      </c>
      <c r="B1194" t="s">
        <v>1443</v>
      </c>
      <c r="C1194" t="s">
        <v>3525</v>
      </c>
      <c r="D1194" t="str">
        <f>VLOOKUP(YouTube_University_Data_Final[[#This Row],[Title]],[1]!YouTube_University_Data_Final[[Title]:[Title_language]],2,FALSE)</f>
        <v>Bilingual</v>
      </c>
      <c r="E1194" t="s">
        <v>3526</v>
      </c>
      <c r="F1194">
        <v>27</v>
      </c>
      <c r="G1194" s="1">
        <v>44161</v>
      </c>
      <c r="H1194">
        <v>51</v>
      </c>
      <c r="I1194" t="s">
        <v>3365</v>
      </c>
      <c r="J1194">
        <v>613</v>
      </c>
      <c r="K1194">
        <v>6</v>
      </c>
      <c r="L1194">
        <v>0</v>
      </c>
      <c r="M1194">
        <v>0</v>
      </c>
      <c r="N1194" t="s">
        <v>101</v>
      </c>
      <c r="O1194">
        <v>2020</v>
      </c>
      <c r="P1194" t="s">
        <v>18</v>
      </c>
    </row>
    <row r="1195" spans="1:16" x14ac:dyDescent="0.3">
      <c r="A1195">
        <v>84</v>
      </c>
      <c r="B1195" t="s">
        <v>1443</v>
      </c>
      <c r="C1195" t="s">
        <v>1445</v>
      </c>
      <c r="D1195" t="str">
        <f>VLOOKUP(YouTube_University_Data_Final[[#This Row],[Title]],[1]!YouTube_University_Data_Final[[Title]:[Title_language]],2,FALSE)</f>
        <v>English</v>
      </c>
      <c r="E1195" t="s">
        <v>3527</v>
      </c>
      <c r="F1195">
        <v>27</v>
      </c>
      <c r="G1195" s="1">
        <v>44146</v>
      </c>
      <c r="H1195">
        <v>642</v>
      </c>
      <c r="I1195" t="s">
        <v>3365</v>
      </c>
      <c r="J1195">
        <v>1500</v>
      </c>
      <c r="K1195">
        <v>40</v>
      </c>
      <c r="L1195">
        <v>0</v>
      </c>
      <c r="M1195">
        <v>0</v>
      </c>
      <c r="N1195" t="s">
        <v>101</v>
      </c>
      <c r="O1195">
        <v>2020</v>
      </c>
      <c r="P1195" t="s">
        <v>18</v>
      </c>
    </row>
    <row r="1196" spans="1:16" x14ac:dyDescent="0.3">
      <c r="A1196">
        <v>85</v>
      </c>
      <c r="B1196" t="s">
        <v>1443</v>
      </c>
      <c r="C1196" t="s">
        <v>3528</v>
      </c>
      <c r="D1196" t="str">
        <f>VLOOKUP(YouTube_University_Data_Final[[#This Row],[Title]],[1]!YouTube_University_Data_Final[[Title]:[Title_language]],2,FALSE)</f>
        <v>Chinese</v>
      </c>
      <c r="E1196" t="s">
        <v>3529</v>
      </c>
      <c r="F1196">
        <v>27</v>
      </c>
      <c r="G1196" s="1">
        <v>44141</v>
      </c>
      <c r="H1196">
        <v>6038</v>
      </c>
      <c r="I1196" t="s">
        <v>3365</v>
      </c>
      <c r="J1196">
        <v>222</v>
      </c>
      <c r="K1196">
        <v>2</v>
      </c>
      <c r="L1196">
        <v>0</v>
      </c>
      <c r="M1196">
        <v>0</v>
      </c>
      <c r="N1196" t="s">
        <v>101</v>
      </c>
      <c r="O1196">
        <v>2020</v>
      </c>
      <c r="P1196" t="s">
        <v>18</v>
      </c>
    </row>
    <row r="1197" spans="1:16" x14ac:dyDescent="0.3">
      <c r="A1197">
        <v>86</v>
      </c>
      <c r="B1197" t="s">
        <v>1443</v>
      </c>
      <c r="C1197" t="s">
        <v>3530</v>
      </c>
      <c r="D1197" t="str">
        <f>VLOOKUP(YouTube_University_Data_Final[[#This Row],[Title]],[1]!YouTube_University_Data_Final[[Title]:[Title_language]],2,FALSE)</f>
        <v>Bilingual</v>
      </c>
      <c r="E1197" t="s">
        <v>3531</v>
      </c>
      <c r="F1197">
        <v>27</v>
      </c>
      <c r="G1197" s="1">
        <v>44134</v>
      </c>
      <c r="H1197">
        <v>162</v>
      </c>
      <c r="I1197" t="s">
        <v>3365</v>
      </c>
      <c r="J1197">
        <v>466</v>
      </c>
      <c r="K1197">
        <v>2</v>
      </c>
      <c r="L1197">
        <v>0</v>
      </c>
      <c r="M1197">
        <v>0</v>
      </c>
      <c r="N1197" t="s">
        <v>17</v>
      </c>
      <c r="O1197">
        <v>2020</v>
      </c>
      <c r="P1197" t="s">
        <v>18</v>
      </c>
    </row>
    <row r="1198" spans="1:16" x14ac:dyDescent="0.3">
      <c r="A1198">
        <v>87</v>
      </c>
      <c r="B1198" t="s">
        <v>1443</v>
      </c>
      <c r="C1198" t="s">
        <v>3532</v>
      </c>
      <c r="D1198" t="str">
        <f>VLOOKUP(YouTube_University_Data_Final[[#This Row],[Title]],[1]!YouTube_University_Data_Final[[Title]:[Title_language]],2,FALSE)</f>
        <v>Bilingual</v>
      </c>
      <c r="E1198" t="s">
        <v>3533</v>
      </c>
      <c r="F1198">
        <v>27</v>
      </c>
      <c r="G1198" s="1">
        <v>44120</v>
      </c>
      <c r="H1198">
        <v>104</v>
      </c>
      <c r="I1198" t="s">
        <v>3365</v>
      </c>
      <c r="J1198">
        <v>287</v>
      </c>
      <c r="K1198">
        <v>2</v>
      </c>
      <c r="L1198">
        <v>0</v>
      </c>
      <c r="M1198">
        <v>0</v>
      </c>
      <c r="N1198" t="s">
        <v>17</v>
      </c>
      <c r="O1198">
        <v>2020</v>
      </c>
      <c r="P1198" t="s">
        <v>18</v>
      </c>
    </row>
    <row r="1199" spans="1:16" x14ac:dyDescent="0.3">
      <c r="A1199">
        <v>88</v>
      </c>
      <c r="B1199" t="s">
        <v>1443</v>
      </c>
      <c r="C1199" t="s">
        <v>3534</v>
      </c>
      <c r="D1199" t="str">
        <f>VLOOKUP(YouTube_University_Data_Final[[#This Row],[Title]],[1]!YouTube_University_Data_Final[[Title]:[Title_language]],2,FALSE)</f>
        <v>Bilingual</v>
      </c>
      <c r="E1199" t="s">
        <v>3535</v>
      </c>
      <c r="F1199">
        <v>27</v>
      </c>
      <c r="G1199" s="1">
        <v>44110</v>
      </c>
      <c r="H1199">
        <v>184</v>
      </c>
      <c r="I1199" t="s">
        <v>3365</v>
      </c>
      <c r="J1199">
        <v>436</v>
      </c>
      <c r="K1199">
        <v>3</v>
      </c>
      <c r="L1199">
        <v>0</v>
      </c>
      <c r="M1199">
        <v>0</v>
      </c>
      <c r="N1199" t="s">
        <v>17</v>
      </c>
      <c r="O1199">
        <v>2020</v>
      </c>
      <c r="P1199" t="s">
        <v>18</v>
      </c>
    </row>
    <row r="1200" spans="1:16" x14ac:dyDescent="0.3">
      <c r="A1200">
        <v>89</v>
      </c>
      <c r="B1200" t="s">
        <v>1443</v>
      </c>
      <c r="C1200" t="s">
        <v>3536</v>
      </c>
      <c r="D1200" t="str">
        <f>VLOOKUP(YouTube_University_Data_Final[[#This Row],[Title]],[1]!YouTube_University_Data_Final[[Title]:[Title_language]],2,FALSE)</f>
        <v>Bilingual</v>
      </c>
      <c r="E1200" t="s">
        <v>3537</v>
      </c>
      <c r="F1200">
        <v>27</v>
      </c>
      <c r="G1200" s="1">
        <v>44104</v>
      </c>
      <c r="H1200">
        <v>135</v>
      </c>
      <c r="I1200" t="s">
        <v>3365</v>
      </c>
      <c r="J1200">
        <v>3720</v>
      </c>
      <c r="K1200">
        <v>44</v>
      </c>
      <c r="L1200">
        <v>0</v>
      </c>
      <c r="M1200">
        <v>0</v>
      </c>
      <c r="N1200" t="s">
        <v>21</v>
      </c>
      <c r="O1200">
        <v>2020</v>
      </c>
      <c r="P1200" t="s">
        <v>18</v>
      </c>
    </row>
    <row r="1201" spans="1:16" x14ac:dyDescent="0.3">
      <c r="A1201">
        <v>90</v>
      </c>
      <c r="B1201" t="s">
        <v>1443</v>
      </c>
      <c r="C1201" t="s">
        <v>3538</v>
      </c>
      <c r="D1201" t="str">
        <f>VLOOKUP(YouTube_University_Data_Final[[#This Row],[Title]],[1]!YouTube_University_Data_Final[[Title]:[Title_language]],2,FALSE)</f>
        <v>Bilingual</v>
      </c>
      <c r="E1201" t="s">
        <v>3539</v>
      </c>
      <c r="F1201">
        <v>27</v>
      </c>
      <c r="G1201" s="1">
        <v>44092</v>
      </c>
      <c r="H1201">
        <v>201</v>
      </c>
      <c r="I1201" t="s">
        <v>3365</v>
      </c>
      <c r="J1201">
        <v>1226</v>
      </c>
      <c r="K1201">
        <v>23</v>
      </c>
      <c r="L1201">
        <v>0</v>
      </c>
      <c r="M1201">
        <v>0</v>
      </c>
      <c r="N1201" t="s">
        <v>21</v>
      </c>
      <c r="O1201">
        <v>2020</v>
      </c>
      <c r="P1201" t="s">
        <v>18</v>
      </c>
    </row>
    <row r="1202" spans="1:16" x14ac:dyDescent="0.3">
      <c r="A1202">
        <v>91</v>
      </c>
      <c r="B1202" t="s">
        <v>1443</v>
      </c>
      <c r="C1202" t="s">
        <v>3540</v>
      </c>
      <c r="D1202" t="str">
        <f>VLOOKUP(YouTube_University_Data_Final[[#This Row],[Title]],[1]!YouTube_University_Data_Final[[Title]:[Title_language]],2,FALSE)</f>
        <v>Bilingual</v>
      </c>
      <c r="E1202" t="s">
        <v>3541</v>
      </c>
      <c r="F1202">
        <v>27</v>
      </c>
      <c r="G1202" s="1">
        <v>44081</v>
      </c>
      <c r="H1202">
        <v>697</v>
      </c>
      <c r="I1202" t="s">
        <v>3365</v>
      </c>
      <c r="J1202">
        <v>1886</v>
      </c>
      <c r="K1202">
        <v>28</v>
      </c>
      <c r="L1202">
        <v>0</v>
      </c>
      <c r="M1202">
        <v>0</v>
      </c>
      <c r="N1202" t="s">
        <v>21</v>
      </c>
      <c r="O1202">
        <v>2020</v>
      </c>
      <c r="P1202" t="s">
        <v>18</v>
      </c>
    </row>
    <row r="1203" spans="1:16" x14ac:dyDescent="0.3">
      <c r="A1203">
        <v>92</v>
      </c>
      <c r="B1203" t="s">
        <v>1443</v>
      </c>
      <c r="C1203" t="s">
        <v>3542</v>
      </c>
      <c r="D1203" t="str">
        <f>VLOOKUP(YouTube_University_Data_Final[[#This Row],[Title]],[1]!YouTube_University_Data_Final[[Title]:[Title_language]],2,FALSE)</f>
        <v>Bilingual</v>
      </c>
      <c r="E1203" t="s">
        <v>3543</v>
      </c>
      <c r="F1203">
        <v>27</v>
      </c>
      <c r="G1203" s="1">
        <v>44078</v>
      </c>
      <c r="H1203">
        <v>120</v>
      </c>
      <c r="I1203" t="s">
        <v>3365</v>
      </c>
      <c r="J1203">
        <v>364</v>
      </c>
      <c r="K1203">
        <v>4</v>
      </c>
      <c r="L1203">
        <v>0</v>
      </c>
      <c r="M1203">
        <v>0</v>
      </c>
      <c r="N1203" t="s">
        <v>21</v>
      </c>
      <c r="O1203">
        <v>2020</v>
      </c>
      <c r="P1203" t="s">
        <v>18</v>
      </c>
    </row>
    <row r="1204" spans="1:16" x14ac:dyDescent="0.3">
      <c r="A1204">
        <v>93</v>
      </c>
      <c r="B1204" t="s">
        <v>1443</v>
      </c>
      <c r="C1204" t="s">
        <v>3544</v>
      </c>
      <c r="D1204" t="str">
        <f>VLOOKUP(YouTube_University_Data_Final[[#This Row],[Title]],[1]!YouTube_University_Data_Final[[Title]:[Title_language]],2,FALSE)</f>
        <v>Bilingual</v>
      </c>
      <c r="E1204" t="s">
        <v>3545</v>
      </c>
      <c r="F1204">
        <v>27</v>
      </c>
      <c r="G1204" s="1">
        <v>44075</v>
      </c>
      <c r="H1204">
        <v>30</v>
      </c>
      <c r="I1204" t="s">
        <v>3365</v>
      </c>
      <c r="J1204">
        <v>164</v>
      </c>
      <c r="K1204">
        <v>2</v>
      </c>
      <c r="L1204">
        <v>0</v>
      </c>
      <c r="M1204">
        <v>0</v>
      </c>
      <c r="N1204" t="s">
        <v>21</v>
      </c>
      <c r="O1204">
        <v>2020</v>
      </c>
      <c r="P1204" t="s">
        <v>18</v>
      </c>
    </row>
    <row r="1205" spans="1:16" x14ac:dyDescent="0.3">
      <c r="A1205">
        <v>94</v>
      </c>
      <c r="B1205" t="s">
        <v>1443</v>
      </c>
      <c r="C1205" t="s">
        <v>3546</v>
      </c>
      <c r="D1205" t="str">
        <f>VLOOKUP(YouTube_University_Data_Final[[#This Row],[Title]],[1]!YouTube_University_Data_Final[[Title]:[Title_language]],2,FALSE)</f>
        <v>Bilingual</v>
      </c>
      <c r="E1205" t="s">
        <v>3547</v>
      </c>
      <c r="F1205">
        <v>27</v>
      </c>
      <c r="G1205" s="1">
        <v>44071</v>
      </c>
      <c r="H1205">
        <v>98</v>
      </c>
      <c r="I1205" t="s">
        <v>3365</v>
      </c>
      <c r="J1205">
        <v>493</v>
      </c>
      <c r="K1205">
        <v>5</v>
      </c>
      <c r="L1205">
        <v>0</v>
      </c>
      <c r="M1205">
        <v>0</v>
      </c>
      <c r="N1205" t="s">
        <v>48</v>
      </c>
      <c r="O1205">
        <v>2020</v>
      </c>
      <c r="P1205" t="s">
        <v>18</v>
      </c>
    </row>
    <row r="1206" spans="1:16" x14ac:dyDescent="0.3">
      <c r="A1206">
        <v>95</v>
      </c>
      <c r="B1206" t="s">
        <v>1443</v>
      </c>
      <c r="C1206" t="s">
        <v>3548</v>
      </c>
      <c r="D1206" t="str">
        <f>VLOOKUP(YouTube_University_Data_Final[[#This Row],[Title]],[1]!YouTube_University_Data_Final[[Title]:[Title_language]],2,FALSE)</f>
        <v>Chinese</v>
      </c>
      <c r="E1206" t="s">
        <v>3549</v>
      </c>
      <c r="F1206">
        <v>27</v>
      </c>
      <c r="G1206" s="1">
        <v>44057</v>
      </c>
      <c r="H1206">
        <v>46</v>
      </c>
      <c r="I1206" t="s">
        <v>3365</v>
      </c>
      <c r="J1206">
        <v>1606</v>
      </c>
      <c r="K1206">
        <v>25</v>
      </c>
      <c r="L1206">
        <v>0</v>
      </c>
      <c r="M1206">
        <v>0</v>
      </c>
      <c r="N1206" t="s">
        <v>48</v>
      </c>
      <c r="O1206">
        <v>2020</v>
      </c>
      <c r="P1206" t="s">
        <v>18</v>
      </c>
    </row>
    <row r="1207" spans="1:16" x14ac:dyDescent="0.3">
      <c r="A1207">
        <v>96</v>
      </c>
      <c r="B1207" t="s">
        <v>1443</v>
      </c>
      <c r="C1207" t="s">
        <v>3550</v>
      </c>
      <c r="D1207" t="str">
        <f>VLOOKUP(YouTube_University_Data_Final[[#This Row],[Title]],[1]!YouTube_University_Data_Final[[Title]:[Title_language]],2,FALSE)</f>
        <v>Bilingual</v>
      </c>
      <c r="E1207" t="s">
        <v>3551</v>
      </c>
      <c r="F1207">
        <v>27</v>
      </c>
      <c r="G1207" s="1">
        <v>44048</v>
      </c>
      <c r="H1207">
        <v>901</v>
      </c>
      <c r="I1207" t="s">
        <v>3365</v>
      </c>
      <c r="J1207">
        <v>251</v>
      </c>
      <c r="K1207">
        <v>5</v>
      </c>
      <c r="L1207">
        <v>0</v>
      </c>
      <c r="M1207">
        <v>0</v>
      </c>
      <c r="N1207" t="s">
        <v>48</v>
      </c>
      <c r="O1207">
        <v>2020</v>
      </c>
      <c r="P1207" t="s">
        <v>18</v>
      </c>
    </row>
    <row r="1208" spans="1:16" x14ac:dyDescent="0.3">
      <c r="A1208">
        <v>97</v>
      </c>
      <c r="B1208" t="s">
        <v>1443</v>
      </c>
      <c r="C1208" t="s">
        <v>3552</v>
      </c>
      <c r="D1208" t="str">
        <f>VLOOKUP(YouTube_University_Data_Final[[#This Row],[Title]],[1]!YouTube_University_Data_Final[[Title]:[Title_language]],2,FALSE)</f>
        <v>Bilingual</v>
      </c>
      <c r="E1208" t="s">
        <v>3553</v>
      </c>
      <c r="F1208">
        <v>27</v>
      </c>
      <c r="G1208" s="1">
        <v>44040</v>
      </c>
      <c r="H1208">
        <v>2573</v>
      </c>
      <c r="I1208" t="s">
        <v>3365</v>
      </c>
      <c r="J1208">
        <v>413</v>
      </c>
      <c r="K1208">
        <v>6</v>
      </c>
      <c r="L1208">
        <v>0</v>
      </c>
      <c r="M1208">
        <v>0</v>
      </c>
      <c r="N1208" t="s">
        <v>56</v>
      </c>
      <c r="O1208">
        <v>2020</v>
      </c>
      <c r="P1208" t="s">
        <v>18</v>
      </c>
    </row>
    <row r="1209" spans="1:16" x14ac:dyDescent="0.3">
      <c r="A1209">
        <v>98</v>
      </c>
      <c r="B1209" t="s">
        <v>1443</v>
      </c>
      <c r="C1209" t="s">
        <v>3554</v>
      </c>
      <c r="D1209" t="str">
        <f>VLOOKUP(YouTube_University_Data_Final[[#This Row],[Title]],[1]!YouTube_University_Data_Final[[Title]:[Title_language]],2,FALSE)</f>
        <v>Bilingual</v>
      </c>
      <c r="E1209" t="s">
        <v>3555</v>
      </c>
      <c r="F1209">
        <v>27</v>
      </c>
      <c r="G1209" s="1">
        <v>44040</v>
      </c>
      <c r="H1209">
        <v>2408</v>
      </c>
      <c r="I1209" t="s">
        <v>3365</v>
      </c>
      <c r="J1209">
        <v>372</v>
      </c>
      <c r="K1209">
        <v>6</v>
      </c>
      <c r="L1209">
        <v>0</v>
      </c>
      <c r="M1209">
        <v>0</v>
      </c>
      <c r="N1209" t="s">
        <v>56</v>
      </c>
      <c r="O1209">
        <v>2020</v>
      </c>
      <c r="P1209" t="s">
        <v>18</v>
      </c>
    </row>
    <row r="1210" spans="1:16" x14ac:dyDescent="0.3">
      <c r="A1210">
        <v>99</v>
      </c>
      <c r="B1210" t="s">
        <v>1443</v>
      </c>
      <c r="C1210" t="s">
        <v>3556</v>
      </c>
      <c r="D1210" t="str">
        <f>VLOOKUP(YouTube_University_Data_Final[[#This Row],[Title]],[1]!YouTube_University_Data_Final[[Title]:[Title_language]],2,FALSE)</f>
        <v>Bilingual</v>
      </c>
      <c r="E1210" t="s">
        <v>3557</v>
      </c>
      <c r="F1210">
        <v>27</v>
      </c>
      <c r="G1210" s="1">
        <v>44040</v>
      </c>
      <c r="H1210">
        <v>2433</v>
      </c>
      <c r="I1210" t="s">
        <v>3365</v>
      </c>
      <c r="J1210">
        <v>206</v>
      </c>
      <c r="K1210">
        <v>3</v>
      </c>
      <c r="L1210">
        <v>0</v>
      </c>
      <c r="M1210">
        <v>0</v>
      </c>
      <c r="N1210" t="s">
        <v>56</v>
      </c>
      <c r="O1210">
        <v>2020</v>
      </c>
      <c r="P1210" t="s">
        <v>18</v>
      </c>
    </row>
    <row r="1211" spans="1:16" x14ac:dyDescent="0.3">
      <c r="A1211">
        <v>100</v>
      </c>
      <c r="B1211" t="s">
        <v>1443</v>
      </c>
      <c r="C1211" t="s">
        <v>3558</v>
      </c>
      <c r="D1211" t="str">
        <f>VLOOKUP(YouTube_University_Data_Final[[#This Row],[Title]],[1]!YouTube_University_Data_Final[[Title]:[Title_language]],2,FALSE)</f>
        <v>Bilingual</v>
      </c>
      <c r="E1211" t="s">
        <v>3559</v>
      </c>
      <c r="F1211">
        <v>27</v>
      </c>
      <c r="G1211" s="1">
        <v>44040</v>
      </c>
      <c r="H1211">
        <v>1990</v>
      </c>
      <c r="I1211" t="s">
        <v>3365</v>
      </c>
      <c r="J1211">
        <v>265</v>
      </c>
      <c r="K1211">
        <v>2</v>
      </c>
      <c r="L1211">
        <v>0</v>
      </c>
      <c r="M1211">
        <v>0</v>
      </c>
      <c r="N1211" t="s">
        <v>56</v>
      </c>
      <c r="O1211">
        <v>2020</v>
      </c>
      <c r="P1211" t="s">
        <v>18</v>
      </c>
    </row>
    <row r="1212" spans="1:16" x14ac:dyDescent="0.3">
      <c r="A1212">
        <v>101</v>
      </c>
      <c r="B1212" t="s">
        <v>1443</v>
      </c>
      <c r="C1212" t="s">
        <v>3560</v>
      </c>
      <c r="D1212" t="str">
        <f>VLOOKUP(YouTube_University_Data_Final[[#This Row],[Title]],[1]!YouTube_University_Data_Final[[Title]:[Title_language]],2,FALSE)</f>
        <v>Bilingual</v>
      </c>
      <c r="E1212" t="s">
        <v>3561</v>
      </c>
      <c r="F1212">
        <v>27</v>
      </c>
      <c r="G1212" s="1">
        <v>44029</v>
      </c>
      <c r="H1212">
        <v>566</v>
      </c>
      <c r="I1212" t="s">
        <v>3365</v>
      </c>
      <c r="J1212">
        <v>167</v>
      </c>
      <c r="K1212">
        <v>5</v>
      </c>
      <c r="L1212">
        <v>0</v>
      </c>
      <c r="M1212">
        <v>0</v>
      </c>
      <c r="N1212" t="s">
        <v>56</v>
      </c>
      <c r="O1212">
        <v>2020</v>
      </c>
      <c r="P1212" t="s">
        <v>18</v>
      </c>
    </row>
    <row r="1213" spans="1:16" x14ac:dyDescent="0.3">
      <c r="A1213">
        <v>102</v>
      </c>
      <c r="B1213" t="s">
        <v>1443</v>
      </c>
      <c r="C1213" t="s">
        <v>3562</v>
      </c>
      <c r="D1213" t="str">
        <f>VLOOKUP(YouTube_University_Data_Final[[#This Row],[Title]],[1]!YouTube_University_Data_Final[[Title]:[Title_language]],2,FALSE)</f>
        <v>Bilingual</v>
      </c>
      <c r="E1213" t="s">
        <v>3563</v>
      </c>
      <c r="F1213">
        <v>27</v>
      </c>
      <c r="G1213" s="1">
        <v>44029</v>
      </c>
      <c r="H1213">
        <v>198</v>
      </c>
      <c r="I1213" t="s">
        <v>3365</v>
      </c>
      <c r="J1213">
        <v>100</v>
      </c>
      <c r="K1213">
        <v>0</v>
      </c>
      <c r="L1213">
        <v>0</v>
      </c>
      <c r="M1213">
        <v>0</v>
      </c>
      <c r="N1213" t="s">
        <v>56</v>
      </c>
      <c r="O1213">
        <v>2020</v>
      </c>
      <c r="P1213" t="s">
        <v>18</v>
      </c>
    </row>
    <row r="1214" spans="1:16" x14ac:dyDescent="0.3">
      <c r="A1214">
        <v>103</v>
      </c>
      <c r="B1214" t="s">
        <v>1443</v>
      </c>
      <c r="C1214" t="s">
        <v>3564</v>
      </c>
      <c r="D1214" t="str">
        <f>VLOOKUP(YouTube_University_Data_Final[[#This Row],[Title]],[1]!YouTube_University_Data_Final[[Title]:[Title_language]],2,FALSE)</f>
        <v>Bilingual</v>
      </c>
      <c r="E1214" t="s">
        <v>3565</v>
      </c>
      <c r="F1214">
        <v>27</v>
      </c>
      <c r="G1214" s="1">
        <v>44026</v>
      </c>
      <c r="H1214">
        <v>208</v>
      </c>
      <c r="I1214" t="s">
        <v>3365</v>
      </c>
      <c r="J1214">
        <v>255</v>
      </c>
      <c r="K1214">
        <v>2</v>
      </c>
      <c r="L1214">
        <v>0</v>
      </c>
      <c r="M1214">
        <v>0</v>
      </c>
      <c r="N1214" t="s">
        <v>56</v>
      </c>
      <c r="O1214">
        <v>2020</v>
      </c>
      <c r="P1214" t="s">
        <v>18</v>
      </c>
    </row>
    <row r="1215" spans="1:16" x14ac:dyDescent="0.3">
      <c r="A1215">
        <v>104</v>
      </c>
      <c r="B1215" t="s">
        <v>1443</v>
      </c>
      <c r="C1215" t="s">
        <v>3566</v>
      </c>
      <c r="D1215" t="str">
        <f>VLOOKUP(YouTube_University_Data_Final[[#This Row],[Title]],[1]!YouTube_University_Data_Final[[Title]:[Title_language]],2,FALSE)</f>
        <v>Bilingual</v>
      </c>
      <c r="E1215" t="s">
        <v>3567</v>
      </c>
      <c r="F1215">
        <v>27</v>
      </c>
      <c r="G1215" s="1">
        <v>44022</v>
      </c>
      <c r="H1215">
        <v>628</v>
      </c>
      <c r="I1215" t="s">
        <v>3365</v>
      </c>
      <c r="J1215">
        <v>160</v>
      </c>
      <c r="K1215">
        <v>5</v>
      </c>
      <c r="L1215">
        <v>0</v>
      </c>
      <c r="M1215">
        <v>0</v>
      </c>
      <c r="N1215" t="s">
        <v>56</v>
      </c>
      <c r="O1215">
        <v>2020</v>
      </c>
      <c r="P1215" t="s">
        <v>18</v>
      </c>
    </row>
    <row r="1216" spans="1:16" x14ac:dyDescent="0.3">
      <c r="A1216">
        <v>105</v>
      </c>
      <c r="B1216" t="s">
        <v>1443</v>
      </c>
      <c r="C1216" t="s">
        <v>3568</v>
      </c>
      <c r="D1216" t="str">
        <f>VLOOKUP(YouTube_University_Data_Final[[#This Row],[Title]],[1]!YouTube_University_Data_Final[[Title]:[Title_language]],2,FALSE)</f>
        <v>Bilingual</v>
      </c>
      <c r="E1216" t="s">
        <v>3569</v>
      </c>
      <c r="F1216">
        <v>27</v>
      </c>
      <c r="G1216" s="1">
        <v>44022</v>
      </c>
      <c r="H1216">
        <v>181</v>
      </c>
      <c r="I1216" t="s">
        <v>3365</v>
      </c>
      <c r="J1216">
        <v>397</v>
      </c>
      <c r="K1216">
        <v>10</v>
      </c>
      <c r="L1216">
        <v>0</v>
      </c>
      <c r="M1216">
        <v>0</v>
      </c>
      <c r="N1216" t="s">
        <v>56</v>
      </c>
      <c r="O1216">
        <v>2020</v>
      </c>
      <c r="P1216" t="s">
        <v>18</v>
      </c>
    </row>
    <row r="1217" spans="1:16" x14ac:dyDescent="0.3">
      <c r="A1217">
        <v>106</v>
      </c>
      <c r="B1217" t="s">
        <v>1443</v>
      </c>
      <c r="C1217" t="s">
        <v>3570</v>
      </c>
      <c r="D1217" t="str">
        <f>VLOOKUP(YouTube_University_Data_Final[[#This Row],[Title]],[1]!YouTube_University_Data_Final[[Title]:[Title_language]],2,FALSE)</f>
        <v>Bilingual</v>
      </c>
      <c r="E1217" t="s">
        <v>3571</v>
      </c>
      <c r="F1217">
        <v>27</v>
      </c>
      <c r="G1217" s="1">
        <v>44018</v>
      </c>
      <c r="H1217">
        <v>96</v>
      </c>
      <c r="I1217" t="s">
        <v>3365</v>
      </c>
      <c r="J1217">
        <v>282</v>
      </c>
      <c r="K1217">
        <v>3</v>
      </c>
      <c r="L1217">
        <v>0</v>
      </c>
      <c r="M1217">
        <v>0</v>
      </c>
      <c r="N1217" t="s">
        <v>56</v>
      </c>
      <c r="O1217">
        <v>2020</v>
      </c>
      <c r="P1217" t="s">
        <v>18</v>
      </c>
    </row>
    <row r="1218" spans="1:16" x14ac:dyDescent="0.3">
      <c r="A1218">
        <v>107</v>
      </c>
      <c r="B1218" t="s">
        <v>1443</v>
      </c>
      <c r="C1218" t="s">
        <v>3572</v>
      </c>
      <c r="D1218" t="str">
        <f>VLOOKUP(YouTube_University_Data_Final[[#This Row],[Title]],[1]!YouTube_University_Data_Final[[Title]:[Title_language]],2,FALSE)</f>
        <v>Bilingual</v>
      </c>
      <c r="E1218" t="s">
        <v>3573</v>
      </c>
      <c r="F1218">
        <v>27</v>
      </c>
      <c r="G1218" s="1">
        <v>44015</v>
      </c>
      <c r="H1218">
        <v>696</v>
      </c>
      <c r="I1218" t="s">
        <v>3365</v>
      </c>
      <c r="J1218">
        <v>163</v>
      </c>
      <c r="K1218">
        <v>3</v>
      </c>
      <c r="L1218">
        <v>0</v>
      </c>
      <c r="M1218">
        <v>0</v>
      </c>
      <c r="N1218" t="s">
        <v>56</v>
      </c>
      <c r="O1218">
        <v>2020</v>
      </c>
      <c r="P1218" t="s">
        <v>18</v>
      </c>
    </row>
    <row r="1219" spans="1:16" x14ac:dyDescent="0.3">
      <c r="A1219">
        <v>108</v>
      </c>
      <c r="B1219" t="s">
        <v>1443</v>
      </c>
      <c r="C1219" t="s">
        <v>3574</v>
      </c>
      <c r="D1219" t="str">
        <f>VLOOKUP(YouTube_University_Data_Final[[#This Row],[Title]],[1]!YouTube_University_Data_Final[[Title]:[Title_language]],2,FALSE)</f>
        <v>Chinese</v>
      </c>
      <c r="E1219" t="s">
        <v>3575</v>
      </c>
      <c r="F1219">
        <v>27</v>
      </c>
      <c r="G1219" s="1">
        <v>44014</v>
      </c>
      <c r="H1219">
        <v>666</v>
      </c>
      <c r="I1219" t="s">
        <v>3365</v>
      </c>
      <c r="J1219">
        <v>125</v>
      </c>
      <c r="K1219">
        <v>1</v>
      </c>
      <c r="L1219">
        <v>0</v>
      </c>
      <c r="M1219">
        <v>0</v>
      </c>
      <c r="N1219" t="s">
        <v>56</v>
      </c>
      <c r="O1219">
        <v>2020</v>
      </c>
      <c r="P1219" t="s">
        <v>18</v>
      </c>
    </row>
    <row r="1220" spans="1:16" x14ac:dyDescent="0.3">
      <c r="A1220">
        <v>109</v>
      </c>
      <c r="B1220" t="s">
        <v>1443</v>
      </c>
      <c r="C1220" t="s">
        <v>3576</v>
      </c>
      <c r="D1220" t="str">
        <f>VLOOKUP(YouTube_University_Data_Final[[#This Row],[Title]],[1]!YouTube_University_Data_Final[[Title]:[Title_language]],2,FALSE)</f>
        <v>Chinese</v>
      </c>
      <c r="E1220" t="s">
        <v>3577</v>
      </c>
      <c r="F1220">
        <v>27</v>
      </c>
      <c r="G1220" s="1">
        <v>44008</v>
      </c>
      <c r="H1220">
        <v>621</v>
      </c>
      <c r="I1220" t="s">
        <v>3365</v>
      </c>
      <c r="J1220">
        <v>109</v>
      </c>
      <c r="K1220">
        <v>1</v>
      </c>
      <c r="L1220">
        <v>0</v>
      </c>
      <c r="M1220">
        <v>0</v>
      </c>
      <c r="N1220" t="s">
        <v>78</v>
      </c>
      <c r="O1220">
        <v>2020</v>
      </c>
      <c r="P1220" t="s">
        <v>18</v>
      </c>
    </row>
    <row r="1221" spans="1:16" x14ac:dyDescent="0.3">
      <c r="A1221">
        <v>110</v>
      </c>
      <c r="B1221" t="s">
        <v>1443</v>
      </c>
      <c r="C1221" t="s">
        <v>3578</v>
      </c>
      <c r="D1221" t="str">
        <f>VLOOKUP(YouTube_University_Data_Final[[#This Row],[Title]],[1]!YouTube_University_Data_Final[[Title]:[Title_language]],2,FALSE)</f>
        <v>Bilingual</v>
      </c>
      <c r="E1221" t="s">
        <v>3579</v>
      </c>
      <c r="F1221">
        <v>27</v>
      </c>
      <c r="G1221" s="1">
        <v>44008</v>
      </c>
      <c r="H1221">
        <v>200</v>
      </c>
      <c r="I1221" t="s">
        <v>3365</v>
      </c>
      <c r="J1221">
        <v>102749</v>
      </c>
      <c r="K1221">
        <v>36</v>
      </c>
      <c r="L1221">
        <v>0</v>
      </c>
      <c r="M1221">
        <v>0</v>
      </c>
      <c r="N1221" t="s">
        <v>78</v>
      </c>
      <c r="O1221">
        <v>2020</v>
      </c>
      <c r="P1221" t="s">
        <v>18</v>
      </c>
    </row>
    <row r="1222" spans="1:16" x14ac:dyDescent="0.3">
      <c r="A1222">
        <v>111</v>
      </c>
      <c r="B1222" t="s">
        <v>1443</v>
      </c>
      <c r="C1222" t="s">
        <v>3580</v>
      </c>
      <c r="D1222" t="str">
        <f>VLOOKUP(YouTube_University_Data_Final[[#This Row],[Title]],[1]!YouTube_University_Data_Final[[Title]:[Title_language]],2,FALSE)</f>
        <v>Bilingual</v>
      </c>
      <c r="E1222" t="s">
        <v>3581</v>
      </c>
      <c r="F1222">
        <v>27</v>
      </c>
      <c r="G1222" s="1">
        <v>44005</v>
      </c>
      <c r="H1222">
        <v>221</v>
      </c>
      <c r="I1222" t="s">
        <v>3365</v>
      </c>
      <c r="J1222">
        <v>278</v>
      </c>
      <c r="K1222">
        <v>4</v>
      </c>
      <c r="L1222">
        <v>0</v>
      </c>
      <c r="M1222">
        <v>0</v>
      </c>
      <c r="N1222" t="s">
        <v>78</v>
      </c>
      <c r="O1222">
        <v>2020</v>
      </c>
      <c r="P1222" t="s">
        <v>18</v>
      </c>
    </row>
    <row r="1223" spans="1:16" x14ac:dyDescent="0.3">
      <c r="A1223">
        <v>112</v>
      </c>
      <c r="B1223" t="s">
        <v>1443</v>
      </c>
      <c r="C1223" t="s">
        <v>3582</v>
      </c>
      <c r="D1223" t="str">
        <f>VLOOKUP(YouTube_University_Data_Final[[#This Row],[Title]],[1]!YouTube_University_Data_Final[[Title]:[Title_language]],2,FALSE)</f>
        <v>Bilingual</v>
      </c>
      <c r="E1223" t="s">
        <v>3583</v>
      </c>
      <c r="F1223">
        <v>27</v>
      </c>
      <c r="G1223" s="1">
        <v>44004</v>
      </c>
      <c r="H1223">
        <v>181</v>
      </c>
      <c r="I1223" t="s">
        <v>3365</v>
      </c>
      <c r="J1223">
        <v>364</v>
      </c>
      <c r="K1223">
        <v>12</v>
      </c>
      <c r="L1223">
        <v>0</v>
      </c>
      <c r="M1223">
        <v>0</v>
      </c>
      <c r="N1223" t="s">
        <v>78</v>
      </c>
      <c r="O1223">
        <v>2020</v>
      </c>
      <c r="P1223" t="s">
        <v>18</v>
      </c>
    </row>
    <row r="1224" spans="1:16" x14ac:dyDescent="0.3">
      <c r="A1224">
        <v>113</v>
      </c>
      <c r="B1224" t="s">
        <v>1443</v>
      </c>
      <c r="C1224" t="s">
        <v>3584</v>
      </c>
      <c r="D1224" t="str">
        <f>VLOOKUP(YouTube_University_Data_Final[[#This Row],[Title]],[1]!YouTube_University_Data_Final[[Title]:[Title_language]],2,FALSE)</f>
        <v>Bilingual</v>
      </c>
      <c r="E1224" t="s">
        <v>3585</v>
      </c>
      <c r="F1224">
        <v>27</v>
      </c>
      <c r="G1224" s="1">
        <v>44001</v>
      </c>
      <c r="H1224">
        <v>630</v>
      </c>
      <c r="I1224" t="s">
        <v>3365</v>
      </c>
      <c r="J1224">
        <v>345</v>
      </c>
      <c r="K1224">
        <v>12</v>
      </c>
      <c r="L1224">
        <v>0</v>
      </c>
      <c r="M1224">
        <v>0</v>
      </c>
      <c r="N1224" t="s">
        <v>78</v>
      </c>
      <c r="O1224">
        <v>2020</v>
      </c>
      <c r="P1224" t="s">
        <v>18</v>
      </c>
    </row>
    <row r="1225" spans="1:16" x14ac:dyDescent="0.3">
      <c r="A1225">
        <v>114</v>
      </c>
      <c r="B1225" t="s">
        <v>1443</v>
      </c>
      <c r="C1225" t="s">
        <v>3586</v>
      </c>
      <c r="D1225" t="str">
        <f>VLOOKUP(YouTube_University_Data_Final[[#This Row],[Title]],[1]!YouTube_University_Data_Final[[Title]:[Title_language]],2,FALSE)</f>
        <v>Bilingual</v>
      </c>
      <c r="E1225" t="s">
        <v>3587</v>
      </c>
      <c r="F1225">
        <v>27</v>
      </c>
      <c r="G1225" s="1">
        <v>44001</v>
      </c>
      <c r="H1225">
        <v>71</v>
      </c>
      <c r="I1225" t="s">
        <v>3365</v>
      </c>
      <c r="J1225">
        <v>124246</v>
      </c>
      <c r="K1225">
        <v>48</v>
      </c>
      <c r="L1225">
        <v>0</v>
      </c>
      <c r="M1225">
        <v>0</v>
      </c>
      <c r="N1225" t="s">
        <v>78</v>
      </c>
      <c r="O1225">
        <v>2020</v>
      </c>
      <c r="P1225" t="s">
        <v>18</v>
      </c>
    </row>
    <row r="1226" spans="1:16" x14ac:dyDescent="0.3">
      <c r="A1226">
        <v>115</v>
      </c>
      <c r="B1226" t="s">
        <v>1443</v>
      </c>
      <c r="C1226" t="s">
        <v>3588</v>
      </c>
      <c r="D1226" t="str">
        <f>VLOOKUP(YouTube_University_Data_Final[[#This Row],[Title]],[1]!YouTube_University_Data_Final[[Title]:[Title_language]],2,FALSE)</f>
        <v>Bilingual</v>
      </c>
      <c r="E1226" t="s">
        <v>3589</v>
      </c>
      <c r="F1226">
        <v>27</v>
      </c>
      <c r="G1226" s="1">
        <v>44001</v>
      </c>
      <c r="H1226">
        <v>1152</v>
      </c>
      <c r="I1226" t="s">
        <v>3365</v>
      </c>
      <c r="J1226">
        <v>68</v>
      </c>
      <c r="K1226">
        <v>2</v>
      </c>
      <c r="L1226">
        <v>0</v>
      </c>
      <c r="M1226">
        <v>0</v>
      </c>
      <c r="N1226" t="s">
        <v>78</v>
      </c>
      <c r="O1226">
        <v>2020</v>
      </c>
      <c r="P1226" t="s">
        <v>18</v>
      </c>
    </row>
    <row r="1227" spans="1:16" x14ac:dyDescent="0.3">
      <c r="A1227">
        <v>116</v>
      </c>
      <c r="B1227" t="s">
        <v>1443</v>
      </c>
      <c r="C1227" t="s">
        <v>3590</v>
      </c>
      <c r="D1227" t="str">
        <f>VLOOKUP(YouTube_University_Data_Final[[#This Row],[Title]],[1]!YouTube_University_Data_Final[[Title]:[Title_language]],2,FALSE)</f>
        <v>Bilingual</v>
      </c>
      <c r="E1227" t="s">
        <v>3591</v>
      </c>
      <c r="F1227">
        <v>27</v>
      </c>
      <c r="G1227" s="1">
        <v>44001</v>
      </c>
      <c r="H1227">
        <v>1152</v>
      </c>
      <c r="I1227" t="s">
        <v>3365</v>
      </c>
      <c r="J1227">
        <v>142</v>
      </c>
      <c r="K1227">
        <v>3</v>
      </c>
      <c r="L1227">
        <v>0</v>
      </c>
      <c r="M1227">
        <v>0</v>
      </c>
      <c r="N1227" t="s">
        <v>78</v>
      </c>
      <c r="O1227">
        <v>2020</v>
      </c>
      <c r="P1227" t="s">
        <v>18</v>
      </c>
    </row>
    <row r="1228" spans="1:16" x14ac:dyDescent="0.3">
      <c r="A1228">
        <v>117</v>
      </c>
      <c r="B1228" t="s">
        <v>1443</v>
      </c>
      <c r="C1228" t="s">
        <v>3592</v>
      </c>
      <c r="D1228" t="str">
        <f>VLOOKUP(YouTube_University_Data_Final[[#This Row],[Title]],[1]!YouTube_University_Data_Final[[Title]:[Title_language]],2,FALSE)</f>
        <v>Bilingual</v>
      </c>
      <c r="E1228" t="s">
        <v>3593</v>
      </c>
      <c r="F1228">
        <v>27</v>
      </c>
      <c r="G1228" s="1">
        <v>44001</v>
      </c>
      <c r="H1228">
        <v>221</v>
      </c>
      <c r="I1228" t="s">
        <v>3365</v>
      </c>
      <c r="J1228">
        <v>682</v>
      </c>
      <c r="K1228">
        <v>7</v>
      </c>
      <c r="L1228">
        <v>0</v>
      </c>
      <c r="M1228">
        <v>0</v>
      </c>
      <c r="N1228" t="s">
        <v>78</v>
      </c>
      <c r="O1228">
        <v>2020</v>
      </c>
      <c r="P1228" t="s">
        <v>18</v>
      </c>
    </row>
    <row r="1229" spans="1:16" x14ac:dyDescent="0.3">
      <c r="A1229">
        <v>118</v>
      </c>
      <c r="B1229" t="s">
        <v>1443</v>
      </c>
      <c r="C1229" t="s">
        <v>3594</v>
      </c>
      <c r="D1229" t="str">
        <f>VLOOKUP(YouTube_University_Data_Final[[#This Row],[Title]],[1]!YouTube_University_Data_Final[[Title]:[Title_language]],2,FALSE)</f>
        <v>Bilingual</v>
      </c>
      <c r="E1229" t="s">
        <v>3595</v>
      </c>
      <c r="F1229">
        <v>27</v>
      </c>
      <c r="G1229" s="1">
        <v>43998</v>
      </c>
      <c r="H1229">
        <v>199</v>
      </c>
      <c r="I1229" t="s">
        <v>3365</v>
      </c>
      <c r="J1229">
        <v>932</v>
      </c>
      <c r="K1229">
        <v>9</v>
      </c>
      <c r="L1229">
        <v>0</v>
      </c>
      <c r="M1229">
        <v>0</v>
      </c>
      <c r="N1229" t="s">
        <v>78</v>
      </c>
      <c r="O1229">
        <v>2020</v>
      </c>
      <c r="P1229" t="s">
        <v>18</v>
      </c>
    </row>
    <row r="1230" spans="1:16" x14ac:dyDescent="0.3">
      <c r="A1230">
        <v>119</v>
      </c>
      <c r="B1230" t="s">
        <v>1443</v>
      </c>
      <c r="C1230" t="s">
        <v>3596</v>
      </c>
      <c r="D1230" t="str">
        <f>VLOOKUP(YouTube_University_Data_Final[[#This Row],[Title]],[1]!YouTube_University_Data_Final[[Title]:[Title_language]],2,FALSE)</f>
        <v>Bilingual</v>
      </c>
      <c r="E1230" t="s">
        <v>3597</v>
      </c>
      <c r="F1230">
        <v>27</v>
      </c>
      <c r="G1230" s="1">
        <v>43993</v>
      </c>
      <c r="H1230">
        <v>208</v>
      </c>
      <c r="I1230" t="s">
        <v>3365</v>
      </c>
      <c r="J1230">
        <v>759</v>
      </c>
      <c r="K1230">
        <v>6</v>
      </c>
      <c r="L1230">
        <v>0</v>
      </c>
      <c r="M1230">
        <v>0</v>
      </c>
      <c r="N1230" t="s">
        <v>78</v>
      </c>
      <c r="O1230">
        <v>2020</v>
      </c>
      <c r="P1230" t="s">
        <v>18</v>
      </c>
    </row>
    <row r="1231" spans="1:16" x14ac:dyDescent="0.3">
      <c r="A1231">
        <v>120</v>
      </c>
      <c r="B1231" t="s">
        <v>1443</v>
      </c>
      <c r="C1231" t="s">
        <v>3598</v>
      </c>
      <c r="D1231" t="str">
        <f>VLOOKUP(YouTube_University_Data_Final[[#This Row],[Title]],[1]!YouTube_University_Data_Final[[Title]:[Title_language]],2,FALSE)</f>
        <v>Bilingual</v>
      </c>
      <c r="E1231" t="s">
        <v>3599</v>
      </c>
      <c r="F1231">
        <v>27</v>
      </c>
      <c r="G1231" s="1">
        <v>43993</v>
      </c>
      <c r="H1231">
        <v>187</v>
      </c>
      <c r="I1231" t="s">
        <v>3365</v>
      </c>
      <c r="J1231">
        <v>47091</v>
      </c>
      <c r="K1231">
        <v>16</v>
      </c>
      <c r="L1231">
        <v>0</v>
      </c>
      <c r="M1231">
        <v>0</v>
      </c>
      <c r="N1231" t="s">
        <v>78</v>
      </c>
      <c r="O1231">
        <v>2020</v>
      </c>
      <c r="P1231" t="s">
        <v>18</v>
      </c>
    </row>
    <row r="1232" spans="1:16" x14ac:dyDescent="0.3">
      <c r="A1232">
        <v>121</v>
      </c>
      <c r="B1232" t="s">
        <v>1443</v>
      </c>
      <c r="C1232" t="s">
        <v>3600</v>
      </c>
      <c r="D1232" t="str">
        <f>VLOOKUP(YouTube_University_Data_Final[[#This Row],[Title]],[1]!YouTube_University_Data_Final[[Title]:[Title_language]],2,FALSE)</f>
        <v>Bilingual</v>
      </c>
      <c r="E1232" t="s">
        <v>1446</v>
      </c>
      <c r="F1232">
        <v>27</v>
      </c>
      <c r="G1232" s="1">
        <v>43991</v>
      </c>
      <c r="H1232">
        <v>221</v>
      </c>
      <c r="I1232" t="s">
        <v>3365</v>
      </c>
      <c r="J1232">
        <v>1435</v>
      </c>
      <c r="K1232">
        <v>17</v>
      </c>
      <c r="L1232">
        <v>0</v>
      </c>
      <c r="M1232">
        <v>0</v>
      </c>
      <c r="N1232" t="s">
        <v>78</v>
      </c>
      <c r="O1232">
        <v>2020</v>
      </c>
      <c r="P1232" t="s">
        <v>18</v>
      </c>
    </row>
    <row r="1233" spans="1:16" x14ac:dyDescent="0.3">
      <c r="A1233">
        <v>122</v>
      </c>
      <c r="B1233" t="s">
        <v>1443</v>
      </c>
      <c r="C1233" t="s">
        <v>3601</v>
      </c>
      <c r="D1233" t="str">
        <f>VLOOKUP(YouTube_University_Data_Final[[#This Row],[Title]],[1]!YouTube_University_Data_Final[[Title]:[Title_language]],2,FALSE)</f>
        <v>Chinese</v>
      </c>
      <c r="E1233" t="s">
        <v>3602</v>
      </c>
      <c r="F1233">
        <v>27</v>
      </c>
      <c r="G1233" s="1">
        <v>43987</v>
      </c>
      <c r="H1233">
        <v>599</v>
      </c>
      <c r="I1233" t="s">
        <v>3365</v>
      </c>
      <c r="J1233">
        <v>216</v>
      </c>
      <c r="K1233">
        <v>7</v>
      </c>
      <c r="L1233">
        <v>0</v>
      </c>
      <c r="M1233">
        <v>0</v>
      </c>
      <c r="N1233" t="s">
        <v>78</v>
      </c>
      <c r="O1233">
        <v>2020</v>
      </c>
      <c r="P1233" t="s">
        <v>18</v>
      </c>
    </row>
    <row r="1234" spans="1:16" x14ac:dyDescent="0.3">
      <c r="A1234">
        <v>123</v>
      </c>
      <c r="B1234" t="s">
        <v>1443</v>
      </c>
      <c r="C1234" t="s">
        <v>3603</v>
      </c>
      <c r="D1234" t="str">
        <f>VLOOKUP(YouTube_University_Data_Final[[#This Row],[Title]],[1]!YouTube_University_Data_Final[[Title]:[Title_language]],2,FALSE)</f>
        <v>Bilingual</v>
      </c>
      <c r="E1234" t="s">
        <v>3604</v>
      </c>
      <c r="F1234">
        <v>27</v>
      </c>
      <c r="G1234" s="1">
        <v>43987</v>
      </c>
      <c r="H1234">
        <v>224</v>
      </c>
      <c r="I1234" t="s">
        <v>3365</v>
      </c>
      <c r="J1234">
        <v>54169</v>
      </c>
      <c r="K1234">
        <v>28</v>
      </c>
      <c r="L1234">
        <v>0</v>
      </c>
      <c r="M1234">
        <v>0</v>
      </c>
      <c r="N1234" t="s">
        <v>78</v>
      </c>
      <c r="O1234">
        <v>2020</v>
      </c>
      <c r="P1234" t="s">
        <v>18</v>
      </c>
    </row>
    <row r="1235" spans="1:16" x14ac:dyDescent="0.3">
      <c r="A1235">
        <v>124</v>
      </c>
      <c r="B1235" t="s">
        <v>1443</v>
      </c>
      <c r="C1235" t="s">
        <v>1447</v>
      </c>
      <c r="D1235" t="str">
        <f>VLOOKUP(YouTube_University_Data_Final[[#This Row],[Title]],[1]!YouTube_University_Data_Final[[Title]:[Title_language]],2,FALSE)</f>
        <v>English</v>
      </c>
      <c r="E1235" t="s">
        <v>3605</v>
      </c>
      <c r="F1235">
        <v>27</v>
      </c>
      <c r="G1235" s="1">
        <v>43987</v>
      </c>
      <c r="H1235">
        <v>67</v>
      </c>
      <c r="I1235" t="s">
        <v>3365</v>
      </c>
      <c r="J1235">
        <v>243</v>
      </c>
      <c r="K1235">
        <v>3</v>
      </c>
      <c r="L1235">
        <v>0</v>
      </c>
      <c r="M1235">
        <v>0</v>
      </c>
      <c r="N1235" t="s">
        <v>78</v>
      </c>
      <c r="O1235">
        <v>2020</v>
      </c>
      <c r="P1235" t="s">
        <v>18</v>
      </c>
    </row>
    <row r="1236" spans="1:16" x14ac:dyDescent="0.3">
      <c r="A1236">
        <v>125</v>
      </c>
      <c r="B1236" t="s">
        <v>1443</v>
      </c>
      <c r="C1236" t="s">
        <v>3606</v>
      </c>
      <c r="D1236" t="str">
        <f>VLOOKUP(YouTube_University_Data_Final[[#This Row],[Title]],[1]!YouTube_University_Data_Final[[Title]:[Title_language]],2,FALSE)</f>
        <v>Chinese</v>
      </c>
      <c r="E1236" t="s">
        <v>3607</v>
      </c>
      <c r="F1236">
        <v>27</v>
      </c>
      <c r="G1236" s="1">
        <v>43983</v>
      </c>
      <c r="H1236">
        <v>797</v>
      </c>
      <c r="I1236" t="s">
        <v>3365</v>
      </c>
      <c r="J1236">
        <v>105</v>
      </c>
      <c r="K1236">
        <v>2</v>
      </c>
      <c r="L1236">
        <v>0</v>
      </c>
      <c r="M1236">
        <v>0</v>
      </c>
      <c r="N1236" t="s">
        <v>78</v>
      </c>
      <c r="O1236">
        <v>2020</v>
      </c>
      <c r="P1236" t="s">
        <v>18</v>
      </c>
    </row>
    <row r="1237" spans="1:16" x14ac:dyDescent="0.3">
      <c r="A1237">
        <v>126</v>
      </c>
      <c r="B1237" t="s">
        <v>1443</v>
      </c>
      <c r="C1237" t="s">
        <v>1448</v>
      </c>
      <c r="D1237" t="str">
        <f>VLOOKUP(YouTube_University_Data_Final[[#This Row],[Title]],[1]!YouTube_University_Data_Final[[Title]:[Title_language]],2,FALSE)</f>
        <v>English</v>
      </c>
      <c r="E1237" t="s">
        <v>3608</v>
      </c>
      <c r="F1237">
        <v>27</v>
      </c>
      <c r="G1237" s="1">
        <v>43983</v>
      </c>
      <c r="H1237">
        <v>797</v>
      </c>
      <c r="I1237" t="s">
        <v>3365</v>
      </c>
      <c r="J1237">
        <v>212</v>
      </c>
      <c r="K1237">
        <v>2</v>
      </c>
      <c r="L1237">
        <v>0</v>
      </c>
      <c r="M1237">
        <v>0</v>
      </c>
      <c r="N1237" t="s">
        <v>78</v>
      </c>
      <c r="O1237">
        <v>2020</v>
      </c>
      <c r="P1237" t="s">
        <v>18</v>
      </c>
    </row>
    <row r="1238" spans="1:16" x14ac:dyDescent="0.3">
      <c r="A1238">
        <v>127</v>
      </c>
      <c r="B1238" t="s">
        <v>1443</v>
      </c>
      <c r="C1238" t="s">
        <v>3609</v>
      </c>
      <c r="D1238" t="str">
        <f>VLOOKUP(YouTube_University_Data_Final[[#This Row],[Title]],[1]!YouTube_University_Data_Final[[Title]:[Title_language]],2,FALSE)</f>
        <v>Bilingual</v>
      </c>
      <c r="E1238" t="s">
        <v>3610</v>
      </c>
      <c r="F1238">
        <v>27</v>
      </c>
      <c r="G1238" s="1">
        <v>43980</v>
      </c>
      <c r="H1238">
        <v>231</v>
      </c>
      <c r="I1238" t="s">
        <v>3365</v>
      </c>
      <c r="J1238">
        <v>4217</v>
      </c>
      <c r="K1238">
        <v>66</v>
      </c>
      <c r="L1238">
        <v>0</v>
      </c>
      <c r="M1238">
        <v>0</v>
      </c>
      <c r="N1238" t="s">
        <v>81</v>
      </c>
      <c r="O1238">
        <v>2020</v>
      </c>
      <c r="P1238" t="s">
        <v>18</v>
      </c>
    </row>
    <row r="1239" spans="1:16" x14ac:dyDescent="0.3">
      <c r="A1239">
        <v>128</v>
      </c>
      <c r="B1239" t="s">
        <v>1443</v>
      </c>
      <c r="C1239" t="s">
        <v>3611</v>
      </c>
      <c r="D1239" t="str">
        <f>VLOOKUP(YouTube_University_Data_Final[[#This Row],[Title]],[1]!YouTube_University_Data_Final[[Title]:[Title_language]],2,FALSE)</f>
        <v>Bilingual</v>
      </c>
      <c r="E1239" t="s">
        <v>3612</v>
      </c>
      <c r="F1239">
        <v>27</v>
      </c>
      <c r="G1239" s="1">
        <v>43980</v>
      </c>
      <c r="H1239">
        <v>736</v>
      </c>
      <c r="I1239" t="s">
        <v>3365</v>
      </c>
      <c r="J1239">
        <v>167</v>
      </c>
      <c r="K1239">
        <v>4</v>
      </c>
      <c r="L1239">
        <v>0</v>
      </c>
      <c r="M1239">
        <v>0</v>
      </c>
      <c r="N1239" t="s">
        <v>81</v>
      </c>
      <c r="O1239">
        <v>2020</v>
      </c>
      <c r="P1239" t="s">
        <v>18</v>
      </c>
    </row>
    <row r="1240" spans="1:16" x14ac:dyDescent="0.3">
      <c r="A1240">
        <v>129</v>
      </c>
      <c r="B1240" t="s">
        <v>1443</v>
      </c>
      <c r="C1240" t="s">
        <v>3613</v>
      </c>
      <c r="D1240" t="str">
        <f>VLOOKUP(YouTube_University_Data_Final[[#This Row],[Title]],[1]!YouTube_University_Data_Final[[Title]:[Title_language]],2,FALSE)</f>
        <v>Bilingual</v>
      </c>
      <c r="E1240" t="s">
        <v>3614</v>
      </c>
      <c r="F1240">
        <v>27</v>
      </c>
      <c r="G1240" s="1">
        <v>43980</v>
      </c>
      <c r="H1240">
        <v>207</v>
      </c>
      <c r="I1240" t="s">
        <v>3365</v>
      </c>
      <c r="J1240">
        <v>1585</v>
      </c>
      <c r="K1240">
        <v>16</v>
      </c>
      <c r="L1240">
        <v>0</v>
      </c>
      <c r="M1240">
        <v>0</v>
      </c>
      <c r="N1240" t="s">
        <v>81</v>
      </c>
      <c r="O1240">
        <v>2020</v>
      </c>
      <c r="P1240" t="s">
        <v>18</v>
      </c>
    </row>
    <row r="1241" spans="1:16" x14ac:dyDescent="0.3">
      <c r="A1241">
        <v>130</v>
      </c>
      <c r="B1241" t="s">
        <v>1443</v>
      </c>
      <c r="C1241" t="s">
        <v>3615</v>
      </c>
      <c r="D1241" t="str">
        <f>VLOOKUP(YouTube_University_Data_Final[[#This Row],[Title]],[1]!YouTube_University_Data_Final[[Title]:[Title_language]],2,FALSE)</f>
        <v>Bilingual</v>
      </c>
      <c r="E1241" t="s">
        <v>3616</v>
      </c>
      <c r="F1241">
        <v>27</v>
      </c>
      <c r="G1241" s="1">
        <v>43977</v>
      </c>
      <c r="H1241">
        <v>79</v>
      </c>
      <c r="I1241" t="s">
        <v>3365</v>
      </c>
      <c r="J1241">
        <v>103</v>
      </c>
      <c r="K1241">
        <v>4</v>
      </c>
      <c r="L1241">
        <v>0</v>
      </c>
      <c r="M1241">
        <v>0</v>
      </c>
      <c r="N1241" t="s">
        <v>81</v>
      </c>
      <c r="O1241">
        <v>2020</v>
      </c>
      <c r="P1241" t="s">
        <v>18</v>
      </c>
    </row>
    <row r="1242" spans="1:16" x14ac:dyDescent="0.3">
      <c r="A1242">
        <v>131</v>
      </c>
      <c r="B1242" t="s">
        <v>1443</v>
      </c>
      <c r="C1242" t="s">
        <v>3617</v>
      </c>
      <c r="D1242" t="str">
        <f>VLOOKUP(YouTube_University_Data_Final[[#This Row],[Title]],[1]!YouTube_University_Data_Final[[Title]:[Title_language]],2,FALSE)</f>
        <v>Bilingual</v>
      </c>
      <c r="E1242" t="s">
        <v>3618</v>
      </c>
      <c r="F1242">
        <v>27</v>
      </c>
      <c r="G1242" s="1">
        <v>43976</v>
      </c>
      <c r="H1242">
        <v>180</v>
      </c>
      <c r="I1242" t="s">
        <v>3365</v>
      </c>
      <c r="J1242">
        <v>24730</v>
      </c>
      <c r="K1242">
        <v>185</v>
      </c>
      <c r="L1242">
        <v>0</v>
      </c>
      <c r="M1242">
        <v>0</v>
      </c>
      <c r="N1242" t="s">
        <v>81</v>
      </c>
      <c r="O1242">
        <v>2020</v>
      </c>
      <c r="P1242" t="s">
        <v>18</v>
      </c>
    </row>
    <row r="1243" spans="1:16" x14ac:dyDescent="0.3">
      <c r="A1243">
        <v>132</v>
      </c>
      <c r="B1243" t="s">
        <v>1443</v>
      </c>
      <c r="C1243" t="s">
        <v>3619</v>
      </c>
      <c r="D1243" t="str">
        <f>VLOOKUP(YouTube_University_Data_Final[[#This Row],[Title]],[1]!YouTube_University_Data_Final[[Title]:[Title_language]],2,FALSE)</f>
        <v>Bilingual</v>
      </c>
      <c r="E1243" t="s">
        <v>3620</v>
      </c>
      <c r="F1243">
        <v>27</v>
      </c>
      <c r="G1243" s="1">
        <v>43966</v>
      </c>
      <c r="H1243">
        <v>73</v>
      </c>
      <c r="I1243" t="s">
        <v>3365</v>
      </c>
      <c r="J1243">
        <v>540</v>
      </c>
      <c r="K1243">
        <v>6</v>
      </c>
      <c r="L1243">
        <v>0</v>
      </c>
      <c r="M1243">
        <v>0</v>
      </c>
      <c r="N1243" t="s">
        <v>81</v>
      </c>
      <c r="O1243">
        <v>2020</v>
      </c>
      <c r="P1243" t="s">
        <v>18</v>
      </c>
    </row>
    <row r="1244" spans="1:16" x14ac:dyDescent="0.3">
      <c r="A1244">
        <v>133</v>
      </c>
      <c r="B1244" t="s">
        <v>1443</v>
      </c>
      <c r="C1244" t="s">
        <v>3621</v>
      </c>
      <c r="D1244" t="str">
        <f>VLOOKUP(YouTube_University_Data_Final[[#This Row],[Title]],[1]!YouTube_University_Data_Final[[Title]:[Title_language]],2,FALSE)</f>
        <v>Bilingual</v>
      </c>
      <c r="E1244" t="s">
        <v>3622</v>
      </c>
      <c r="F1244">
        <v>27</v>
      </c>
      <c r="G1244" s="1">
        <v>43966</v>
      </c>
      <c r="H1244">
        <v>1241</v>
      </c>
      <c r="I1244" t="s">
        <v>3365</v>
      </c>
      <c r="J1244">
        <v>220</v>
      </c>
      <c r="K1244">
        <v>1</v>
      </c>
      <c r="L1244">
        <v>0</v>
      </c>
      <c r="M1244">
        <v>0</v>
      </c>
      <c r="N1244" t="s">
        <v>81</v>
      </c>
      <c r="O1244">
        <v>2020</v>
      </c>
      <c r="P1244" t="s">
        <v>18</v>
      </c>
    </row>
    <row r="1245" spans="1:16" x14ac:dyDescent="0.3">
      <c r="A1245">
        <v>134</v>
      </c>
      <c r="B1245" t="s">
        <v>1443</v>
      </c>
      <c r="C1245" t="s">
        <v>3623</v>
      </c>
      <c r="D1245" t="str">
        <f>VLOOKUP(YouTube_University_Data_Final[[#This Row],[Title]],[1]!YouTube_University_Data_Final[[Title]:[Title_language]],2,FALSE)</f>
        <v>Bilingual</v>
      </c>
      <c r="E1245" t="s">
        <v>3624</v>
      </c>
      <c r="F1245">
        <v>27</v>
      </c>
      <c r="G1245" s="1">
        <v>43966</v>
      </c>
      <c r="H1245">
        <v>1241</v>
      </c>
      <c r="I1245" t="s">
        <v>3365</v>
      </c>
      <c r="J1245">
        <v>191</v>
      </c>
      <c r="K1245">
        <v>3</v>
      </c>
      <c r="L1245">
        <v>0</v>
      </c>
      <c r="M1245">
        <v>0</v>
      </c>
      <c r="N1245" t="s">
        <v>81</v>
      </c>
      <c r="O1245">
        <v>2020</v>
      </c>
      <c r="P1245" t="s">
        <v>18</v>
      </c>
    </row>
    <row r="1246" spans="1:16" x14ac:dyDescent="0.3">
      <c r="A1246">
        <v>135</v>
      </c>
      <c r="B1246" t="s">
        <v>1443</v>
      </c>
      <c r="C1246" t="s">
        <v>3625</v>
      </c>
      <c r="D1246" t="str">
        <f>VLOOKUP(YouTube_University_Data_Final[[#This Row],[Title]],[1]!YouTube_University_Data_Final[[Title]:[Title_language]],2,FALSE)</f>
        <v>Bilingual</v>
      </c>
      <c r="E1246" t="s">
        <v>3626</v>
      </c>
      <c r="F1246">
        <v>27</v>
      </c>
      <c r="G1246" s="1">
        <v>43962</v>
      </c>
      <c r="H1246">
        <v>1796</v>
      </c>
      <c r="I1246" t="s">
        <v>3365</v>
      </c>
      <c r="J1246">
        <v>3018</v>
      </c>
      <c r="K1246">
        <v>55</v>
      </c>
      <c r="L1246">
        <v>0</v>
      </c>
      <c r="M1246">
        <v>0</v>
      </c>
      <c r="N1246" t="s">
        <v>81</v>
      </c>
      <c r="O1246">
        <v>2020</v>
      </c>
      <c r="P1246" t="s">
        <v>18</v>
      </c>
    </row>
    <row r="1247" spans="1:16" x14ac:dyDescent="0.3">
      <c r="A1247">
        <v>136</v>
      </c>
      <c r="B1247" t="s">
        <v>1443</v>
      </c>
      <c r="C1247" t="s">
        <v>3627</v>
      </c>
      <c r="D1247" t="str">
        <f>VLOOKUP(YouTube_University_Data_Final[[#This Row],[Title]],[1]!YouTube_University_Data_Final[[Title]:[Title_language]],2,FALSE)</f>
        <v>Bilingual</v>
      </c>
      <c r="E1247" t="s">
        <v>3628</v>
      </c>
      <c r="F1247">
        <v>27</v>
      </c>
      <c r="G1247" s="1">
        <v>43956</v>
      </c>
      <c r="H1247">
        <v>1307</v>
      </c>
      <c r="I1247" t="s">
        <v>3365</v>
      </c>
      <c r="J1247">
        <v>2205</v>
      </c>
      <c r="K1247">
        <v>45</v>
      </c>
      <c r="L1247">
        <v>0</v>
      </c>
      <c r="M1247">
        <v>0</v>
      </c>
      <c r="N1247" t="s">
        <v>81</v>
      </c>
      <c r="O1247">
        <v>2020</v>
      </c>
      <c r="P1247" t="s">
        <v>18</v>
      </c>
    </row>
    <row r="1248" spans="1:16" x14ac:dyDescent="0.3">
      <c r="A1248">
        <v>137</v>
      </c>
      <c r="B1248" t="s">
        <v>1443</v>
      </c>
      <c r="C1248" t="s">
        <v>3629</v>
      </c>
      <c r="D1248" t="str">
        <f>VLOOKUP(YouTube_University_Data_Final[[#This Row],[Title]],[1]!YouTube_University_Data_Final[[Title]:[Title_language]],2,FALSE)</f>
        <v>Bilingual</v>
      </c>
      <c r="E1248" t="s">
        <v>3630</v>
      </c>
      <c r="F1248">
        <v>27</v>
      </c>
      <c r="G1248" s="1">
        <v>43956</v>
      </c>
      <c r="H1248">
        <v>38</v>
      </c>
      <c r="I1248" t="s">
        <v>3365</v>
      </c>
      <c r="J1248">
        <v>1400</v>
      </c>
      <c r="K1248">
        <v>19</v>
      </c>
      <c r="L1248">
        <v>0</v>
      </c>
      <c r="M1248">
        <v>0</v>
      </c>
      <c r="N1248" t="s">
        <v>81</v>
      </c>
      <c r="O1248">
        <v>2020</v>
      </c>
      <c r="P1248" t="s">
        <v>18</v>
      </c>
    </row>
    <row r="1249" spans="1:16" x14ac:dyDescent="0.3">
      <c r="A1249">
        <v>138</v>
      </c>
      <c r="B1249" t="s">
        <v>1443</v>
      </c>
      <c r="C1249" t="s">
        <v>1449</v>
      </c>
      <c r="D1249" t="str">
        <f>VLOOKUP(YouTube_University_Data_Final[[#This Row],[Title]],[1]!YouTube_University_Data_Final[[Title]:[Title_language]],2,FALSE)</f>
        <v>English</v>
      </c>
      <c r="E1249" t="s">
        <v>3631</v>
      </c>
      <c r="F1249">
        <v>27</v>
      </c>
      <c r="G1249" s="1">
        <v>43950</v>
      </c>
      <c r="H1249">
        <v>1759</v>
      </c>
      <c r="I1249" t="s">
        <v>3365</v>
      </c>
      <c r="J1249">
        <v>1685</v>
      </c>
      <c r="K1249">
        <v>53</v>
      </c>
      <c r="L1249">
        <v>0</v>
      </c>
      <c r="M1249">
        <v>0</v>
      </c>
      <c r="N1249" t="s">
        <v>87</v>
      </c>
      <c r="O1249">
        <v>2020</v>
      </c>
      <c r="P1249" t="s">
        <v>18</v>
      </c>
    </row>
    <row r="1250" spans="1:16" x14ac:dyDescent="0.3">
      <c r="A1250">
        <v>139</v>
      </c>
      <c r="B1250" t="s">
        <v>1443</v>
      </c>
      <c r="C1250" t="s">
        <v>3632</v>
      </c>
      <c r="D1250" t="str">
        <f>VLOOKUP(YouTube_University_Data_Final[[#This Row],[Title]],[1]!YouTube_University_Data_Final[[Title]:[Title_language]],2,FALSE)</f>
        <v>Bilingual</v>
      </c>
      <c r="E1250" t="s">
        <v>3633</v>
      </c>
      <c r="F1250">
        <v>27</v>
      </c>
      <c r="G1250" s="1">
        <v>43950</v>
      </c>
      <c r="H1250">
        <v>33</v>
      </c>
      <c r="I1250" t="s">
        <v>3365</v>
      </c>
      <c r="J1250">
        <v>450</v>
      </c>
      <c r="K1250">
        <v>6</v>
      </c>
      <c r="L1250">
        <v>0</v>
      </c>
      <c r="M1250">
        <v>0</v>
      </c>
      <c r="N1250" t="s">
        <v>87</v>
      </c>
      <c r="O1250">
        <v>2020</v>
      </c>
      <c r="P1250" t="s">
        <v>18</v>
      </c>
    </row>
    <row r="1251" spans="1:16" x14ac:dyDescent="0.3">
      <c r="A1251">
        <v>140</v>
      </c>
      <c r="B1251" t="s">
        <v>1443</v>
      </c>
      <c r="C1251" t="s">
        <v>3634</v>
      </c>
      <c r="D1251" t="str">
        <f>VLOOKUP(YouTube_University_Data_Final[[#This Row],[Title]],[1]!YouTube_University_Data_Final[[Title]:[Title_language]],2,FALSE)</f>
        <v>Bilingual</v>
      </c>
      <c r="E1251" t="s">
        <v>3635</v>
      </c>
      <c r="F1251">
        <v>27</v>
      </c>
      <c r="G1251" s="1">
        <v>43949</v>
      </c>
      <c r="H1251">
        <v>614</v>
      </c>
      <c r="I1251" t="s">
        <v>3365</v>
      </c>
      <c r="J1251">
        <v>171</v>
      </c>
      <c r="K1251">
        <v>3</v>
      </c>
      <c r="L1251">
        <v>0</v>
      </c>
      <c r="M1251">
        <v>0</v>
      </c>
      <c r="N1251" t="s">
        <v>87</v>
      </c>
      <c r="O1251">
        <v>2020</v>
      </c>
      <c r="P1251" t="s">
        <v>18</v>
      </c>
    </row>
    <row r="1252" spans="1:16" x14ac:dyDescent="0.3">
      <c r="A1252">
        <v>141</v>
      </c>
      <c r="B1252" t="s">
        <v>1443</v>
      </c>
      <c r="C1252" t="s">
        <v>3636</v>
      </c>
      <c r="D1252" t="str">
        <f>VLOOKUP(YouTube_University_Data_Final[[#This Row],[Title]],[1]!YouTube_University_Data_Final[[Title]:[Title_language]],2,FALSE)</f>
        <v>Bilingual</v>
      </c>
      <c r="E1252" t="s">
        <v>3637</v>
      </c>
      <c r="F1252">
        <v>27</v>
      </c>
      <c r="G1252" s="1">
        <v>43949</v>
      </c>
      <c r="H1252">
        <v>614</v>
      </c>
      <c r="I1252" t="s">
        <v>3365</v>
      </c>
      <c r="J1252">
        <v>104</v>
      </c>
      <c r="K1252">
        <v>1</v>
      </c>
      <c r="L1252">
        <v>0</v>
      </c>
      <c r="M1252">
        <v>0</v>
      </c>
      <c r="N1252" t="s">
        <v>87</v>
      </c>
      <c r="O1252">
        <v>2020</v>
      </c>
      <c r="P1252" t="s">
        <v>18</v>
      </c>
    </row>
    <row r="1253" spans="1:16" x14ac:dyDescent="0.3">
      <c r="A1253">
        <v>142</v>
      </c>
      <c r="B1253" t="s">
        <v>1443</v>
      </c>
      <c r="C1253" t="s">
        <v>3638</v>
      </c>
      <c r="D1253" t="str">
        <f>VLOOKUP(YouTube_University_Data_Final[[#This Row],[Title]],[1]!YouTube_University_Data_Final[[Title]:[Title_language]],2,FALSE)</f>
        <v>Bilingual</v>
      </c>
      <c r="E1253" t="s">
        <v>3639</v>
      </c>
      <c r="F1253">
        <v>27</v>
      </c>
      <c r="G1253" s="1">
        <v>43949</v>
      </c>
      <c r="H1253">
        <v>1670</v>
      </c>
      <c r="I1253" t="s">
        <v>3365</v>
      </c>
      <c r="J1253">
        <v>821</v>
      </c>
      <c r="K1253">
        <v>17</v>
      </c>
      <c r="L1253">
        <v>0</v>
      </c>
      <c r="M1253">
        <v>0</v>
      </c>
      <c r="N1253" t="s">
        <v>87</v>
      </c>
      <c r="O1253">
        <v>2020</v>
      </c>
      <c r="P1253" t="s">
        <v>18</v>
      </c>
    </row>
    <row r="1254" spans="1:16" x14ac:dyDescent="0.3">
      <c r="A1254">
        <v>143</v>
      </c>
      <c r="B1254" t="s">
        <v>1443</v>
      </c>
      <c r="C1254" t="s">
        <v>3640</v>
      </c>
      <c r="D1254" t="str">
        <f>VLOOKUP(YouTube_University_Data_Final[[#This Row],[Title]],[1]!YouTube_University_Data_Final[[Title]:[Title_language]],2,FALSE)</f>
        <v>Bilingual</v>
      </c>
      <c r="E1254" t="s">
        <v>3641</v>
      </c>
      <c r="F1254">
        <v>27</v>
      </c>
      <c r="G1254" s="1">
        <v>43948</v>
      </c>
      <c r="H1254">
        <v>2362</v>
      </c>
      <c r="I1254" t="s">
        <v>3365</v>
      </c>
      <c r="J1254">
        <v>1068</v>
      </c>
      <c r="K1254">
        <v>19</v>
      </c>
      <c r="L1254">
        <v>0</v>
      </c>
      <c r="M1254">
        <v>0</v>
      </c>
      <c r="N1254" t="s">
        <v>87</v>
      </c>
      <c r="O1254">
        <v>2020</v>
      </c>
      <c r="P1254" t="s">
        <v>18</v>
      </c>
    </row>
    <row r="1255" spans="1:16" x14ac:dyDescent="0.3">
      <c r="A1255">
        <v>144</v>
      </c>
      <c r="B1255" t="s">
        <v>1443</v>
      </c>
      <c r="C1255" t="s">
        <v>3642</v>
      </c>
      <c r="D1255" t="str">
        <f>VLOOKUP(YouTube_University_Data_Final[[#This Row],[Title]],[1]!YouTube_University_Data_Final[[Title]:[Title_language]],2,FALSE)</f>
        <v>Bilingual</v>
      </c>
      <c r="E1255" t="s">
        <v>3643</v>
      </c>
      <c r="F1255">
        <v>27</v>
      </c>
      <c r="G1255" s="1">
        <v>43945</v>
      </c>
      <c r="H1255">
        <v>39</v>
      </c>
      <c r="I1255" t="s">
        <v>3365</v>
      </c>
      <c r="J1255">
        <v>912</v>
      </c>
      <c r="K1255">
        <v>15</v>
      </c>
      <c r="L1255">
        <v>0</v>
      </c>
      <c r="M1255">
        <v>0</v>
      </c>
      <c r="N1255" t="s">
        <v>87</v>
      </c>
      <c r="O1255">
        <v>2020</v>
      </c>
      <c r="P1255" t="s">
        <v>18</v>
      </c>
    </row>
    <row r="1256" spans="1:16" x14ac:dyDescent="0.3">
      <c r="A1256">
        <v>145</v>
      </c>
      <c r="B1256" t="s">
        <v>1443</v>
      </c>
      <c r="C1256" t="s">
        <v>1450</v>
      </c>
      <c r="D1256" t="str">
        <f>VLOOKUP(YouTube_University_Data_Final[[#This Row],[Title]],[1]!YouTube_University_Data_Final[[Title]:[Title_language]],2,FALSE)</f>
        <v>English</v>
      </c>
      <c r="E1256" t="s">
        <v>3644</v>
      </c>
      <c r="F1256">
        <v>27</v>
      </c>
      <c r="G1256" s="1">
        <v>43944</v>
      </c>
      <c r="H1256">
        <v>1471</v>
      </c>
      <c r="I1256" t="s">
        <v>3365</v>
      </c>
      <c r="J1256">
        <v>487</v>
      </c>
      <c r="K1256">
        <v>15</v>
      </c>
      <c r="L1256">
        <v>0</v>
      </c>
      <c r="M1256">
        <v>0</v>
      </c>
      <c r="N1256" t="s">
        <v>87</v>
      </c>
      <c r="O1256">
        <v>2020</v>
      </c>
      <c r="P1256" t="s">
        <v>18</v>
      </c>
    </row>
    <row r="1257" spans="1:16" x14ac:dyDescent="0.3">
      <c r="A1257">
        <v>146</v>
      </c>
      <c r="B1257" t="s">
        <v>1443</v>
      </c>
      <c r="C1257" t="s">
        <v>3645</v>
      </c>
      <c r="D1257" t="str">
        <f>VLOOKUP(YouTube_University_Data_Final[[#This Row],[Title]],[1]!YouTube_University_Data_Final[[Title]:[Title_language]],2,FALSE)</f>
        <v>Bilingual</v>
      </c>
      <c r="E1257" t="s">
        <v>3646</v>
      </c>
      <c r="F1257">
        <v>27</v>
      </c>
      <c r="G1257" s="1">
        <v>43944</v>
      </c>
      <c r="H1257">
        <v>2390</v>
      </c>
      <c r="I1257" t="s">
        <v>3365</v>
      </c>
      <c r="J1257">
        <v>13309</v>
      </c>
      <c r="K1257">
        <v>288</v>
      </c>
      <c r="L1257">
        <v>0</v>
      </c>
      <c r="M1257">
        <v>0</v>
      </c>
      <c r="N1257" t="s">
        <v>87</v>
      </c>
      <c r="O1257">
        <v>2020</v>
      </c>
      <c r="P1257" t="s">
        <v>18</v>
      </c>
    </row>
    <row r="1258" spans="1:16" x14ac:dyDescent="0.3">
      <c r="A1258">
        <v>147</v>
      </c>
      <c r="B1258" t="s">
        <v>1443</v>
      </c>
      <c r="C1258" t="s">
        <v>3647</v>
      </c>
      <c r="D1258" t="str">
        <f>VLOOKUP(YouTube_University_Data_Final[[#This Row],[Title]],[1]!YouTube_University_Data_Final[[Title]:[Title_language]],2,FALSE)</f>
        <v>Bilingual</v>
      </c>
      <c r="E1258" t="s">
        <v>3648</v>
      </c>
      <c r="F1258">
        <v>27</v>
      </c>
      <c r="G1258" s="1">
        <v>43944</v>
      </c>
      <c r="H1258">
        <v>1713</v>
      </c>
      <c r="I1258" t="s">
        <v>3365</v>
      </c>
      <c r="J1258">
        <v>1197</v>
      </c>
      <c r="K1258">
        <v>24</v>
      </c>
      <c r="L1258">
        <v>0</v>
      </c>
      <c r="M1258">
        <v>0</v>
      </c>
      <c r="N1258" t="s">
        <v>87</v>
      </c>
      <c r="O1258">
        <v>2020</v>
      </c>
      <c r="P1258" t="s">
        <v>18</v>
      </c>
    </row>
    <row r="1259" spans="1:16" x14ac:dyDescent="0.3">
      <c r="A1259">
        <v>148</v>
      </c>
      <c r="B1259" t="s">
        <v>1443</v>
      </c>
      <c r="C1259" t="s">
        <v>3649</v>
      </c>
      <c r="D1259" t="str">
        <f>VLOOKUP(YouTube_University_Data_Final[[#This Row],[Title]],[1]!YouTube_University_Data_Final[[Title]:[Title_language]],2,FALSE)</f>
        <v>Bilingual</v>
      </c>
      <c r="E1259" t="s">
        <v>3650</v>
      </c>
      <c r="F1259">
        <v>27</v>
      </c>
      <c r="G1259" s="1">
        <v>43941</v>
      </c>
      <c r="H1259">
        <v>112</v>
      </c>
      <c r="I1259" t="s">
        <v>3651</v>
      </c>
      <c r="J1259">
        <v>895</v>
      </c>
      <c r="K1259">
        <v>9</v>
      </c>
      <c r="L1259">
        <v>0</v>
      </c>
      <c r="M1259">
        <v>0</v>
      </c>
      <c r="N1259" t="s">
        <v>87</v>
      </c>
      <c r="O1259">
        <v>2020</v>
      </c>
      <c r="P1259" t="s">
        <v>18</v>
      </c>
    </row>
    <row r="1260" spans="1:16" x14ac:dyDescent="0.3">
      <c r="A1260">
        <v>149</v>
      </c>
      <c r="B1260" t="s">
        <v>1443</v>
      </c>
      <c r="C1260" t="s">
        <v>3652</v>
      </c>
      <c r="D1260" t="str">
        <f>VLOOKUP(YouTube_University_Data_Final[[#This Row],[Title]],[1]!YouTube_University_Data_Final[[Title]:[Title_language]],2,FALSE)</f>
        <v>Bilingual</v>
      </c>
      <c r="E1260" t="s">
        <v>3653</v>
      </c>
      <c r="F1260">
        <v>27</v>
      </c>
      <c r="G1260" s="1">
        <v>43938</v>
      </c>
      <c r="H1260">
        <v>231</v>
      </c>
      <c r="I1260" t="s">
        <v>3654</v>
      </c>
      <c r="J1260">
        <v>2217</v>
      </c>
      <c r="K1260">
        <v>19</v>
      </c>
      <c r="L1260">
        <v>0</v>
      </c>
      <c r="M1260">
        <v>0</v>
      </c>
      <c r="N1260" t="s">
        <v>87</v>
      </c>
      <c r="O1260">
        <v>2020</v>
      </c>
      <c r="P1260" t="s">
        <v>18</v>
      </c>
    </row>
    <row r="1261" spans="1:16" x14ac:dyDescent="0.3">
      <c r="A1261">
        <v>150</v>
      </c>
      <c r="B1261" t="s">
        <v>1443</v>
      </c>
      <c r="C1261" t="s">
        <v>1451</v>
      </c>
      <c r="D1261" t="str">
        <f>VLOOKUP(YouTube_University_Data_Final[[#This Row],[Title]],[1]!YouTube_University_Data_Final[[Title]:[Title_language]],2,FALSE)</f>
        <v>Bilingual</v>
      </c>
      <c r="E1261" t="s">
        <v>3655</v>
      </c>
      <c r="F1261">
        <v>27</v>
      </c>
      <c r="G1261" s="1">
        <v>43936</v>
      </c>
      <c r="H1261">
        <v>1383</v>
      </c>
      <c r="I1261" t="s">
        <v>3365</v>
      </c>
      <c r="J1261">
        <v>357</v>
      </c>
      <c r="K1261">
        <v>3</v>
      </c>
      <c r="L1261">
        <v>0</v>
      </c>
      <c r="M1261">
        <v>0</v>
      </c>
      <c r="N1261" t="s">
        <v>87</v>
      </c>
      <c r="O1261">
        <v>2020</v>
      </c>
      <c r="P1261" t="s">
        <v>18</v>
      </c>
    </row>
    <row r="1262" spans="1:16" x14ac:dyDescent="0.3">
      <c r="A1262">
        <v>151</v>
      </c>
      <c r="B1262" t="s">
        <v>1443</v>
      </c>
      <c r="C1262" t="s">
        <v>3656</v>
      </c>
      <c r="D1262" t="str">
        <f>VLOOKUP(YouTube_University_Data_Final[[#This Row],[Title]],[1]!YouTube_University_Data_Final[[Title]:[Title_language]],2,FALSE)</f>
        <v>Chinese</v>
      </c>
      <c r="E1262" t="s">
        <v>3657</v>
      </c>
      <c r="F1262">
        <v>27</v>
      </c>
      <c r="G1262" s="1">
        <v>43936</v>
      </c>
      <c r="H1262">
        <v>1384</v>
      </c>
      <c r="I1262" t="s">
        <v>3365</v>
      </c>
      <c r="J1262">
        <v>2765</v>
      </c>
      <c r="K1262">
        <v>12</v>
      </c>
      <c r="L1262">
        <v>0</v>
      </c>
      <c r="M1262">
        <v>0</v>
      </c>
      <c r="N1262" t="s">
        <v>87</v>
      </c>
      <c r="O1262">
        <v>2020</v>
      </c>
      <c r="P1262" t="s">
        <v>18</v>
      </c>
    </row>
    <row r="1263" spans="1:16" x14ac:dyDescent="0.3">
      <c r="A1263">
        <v>152</v>
      </c>
      <c r="B1263" t="s">
        <v>1443</v>
      </c>
      <c r="C1263" t="s">
        <v>3658</v>
      </c>
      <c r="D1263" t="str">
        <f>VLOOKUP(YouTube_University_Data_Final[[#This Row],[Title]],[1]!YouTube_University_Data_Final[[Title]:[Title_language]],2,FALSE)</f>
        <v>Bilingual</v>
      </c>
      <c r="E1263" t="s">
        <v>3659</v>
      </c>
      <c r="F1263">
        <v>27</v>
      </c>
      <c r="G1263" s="1">
        <v>43935</v>
      </c>
      <c r="H1263">
        <v>1134</v>
      </c>
      <c r="I1263" t="s">
        <v>3365</v>
      </c>
      <c r="J1263">
        <v>169</v>
      </c>
      <c r="K1263">
        <v>1</v>
      </c>
      <c r="L1263">
        <v>0</v>
      </c>
      <c r="M1263">
        <v>0</v>
      </c>
      <c r="N1263" t="s">
        <v>87</v>
      </c>
      <c r="O1263">
        <v>2020</v>
      </c>
      <c r="P1263" t="s">
        <v>18</v>
      </c>
    </row>
    <row r="1264" spans="1:16" x14ac:dyDescent="0.3">
      <c r="A1264">
        <v>153</v>
      </c>
      <c r="B1264" t="s">
        <v>1443</v>
      </c>
      <c r="C1264" t="s">
        <v>3660</v>
      </c>
      <c r="D1264" t="str">
        <f>VLOOKUP(YouTube_University_Data_Final[[#This Row],[Title]],[1]!YouTube_University_Data_Final[[Title]:[Title_language]],2,FALSE)</f>
        <v>Bilingual</v>
      </c>
      <c r="E1264" t="s">
        <v>3661</v>
      </c>
      <c r="F1264">
        <v>27</v>
      </c>
      <c r="G1264" s="1">
        <v>43935</v>
      </c>
      <c r="H1264">
        <v>1134</v>
      </c>
      <c r="I1264" t="s">
        <v>3365</v>
      </c>
      <c r="J1264">
        <v>1724</v>
      </c>
      <c r="K1264">
        <v>23</v>
      </c>
      <c r="L1264">
        <v>0</v>
      </c>
      <c r="M1264">
        <v>0</v>
      </c>
      <c r="N1264" t="s">
        <v>87</v>
      </c>
      <c r="O1264">
        <v>2020</v>
      </c>
      <c r="P1264" t="s">
        <v>18</v>
      </c>
    </row>
    <row r="1265" spans="1:16" x14ac:dyDescent="0.3">
      <c r="A1265">
        <v>154</v>
      </c>
      <c r="B1265" t="s">
        <v>1443</v>
      </c>
      <c r="C1265" t="s">
        <v>3662</v>
      </c>
      <c r="D1265" t="str">
        <f>VLOOKUP(YouTube_University_Data_Final[[#This Row],[Title]],[1]!YouTube_University_Data_Final[[Title]:[Title_language]],2,FALSE)</f>
        <v>Chinese</v>
      </c>
      <c r="E1265" t="s">
        <v>3663</v>
      </c>
      <c r="F1265">
        <v>27</v>
      </c>
      <c r="G1265" s="1">
        <v>43924</v>
      </c>
      <c r="H1265">
        <v>51</v>
      </c>
      <c r="I1265" t="s">
        <v>3365</v>
      </c>
      <c r="J1265">
        <v>292</v>
      </c>
      <c r="K1265">
        <v>7</v>
      </c>
      <c r="L1265">
        <v>0</v>
      </c>
      <c r="M1265">
        <v>0</v>
      </c>
      <c r="N1265" t="s">
        <v>87</v>
      </c>
      <c r="O1265">
        <v>2020</v>
      </c>
      <c r="P1265" t="s">
        <v>18</v>
      </c>
    </row>
    <row r="1266" spans="1:16" x14ac:dyDescent="0.3">
      <c r="A1266">
        <v>155</v>
      </c>
      <c r="B1266" t="s">
        <v>1443</v>
      </c>
      <c r="C1266" t="s">
        <v>3664</v>
      </c>
      <c r="D1266" t="str">
        <f>VLOOKUP(YouTube_University_Data_Final[[#This Row],[Title]],[1]!YouTube_University_Data_Final[[Title]:[Title_language]],2,FALSE)</f>
        <v>Bilingual</v>
      </c>
      <c r="E1266" t="s">
        <v>3665</v>
      </c>
      <c r="F1266">
        <v>27</v>
      </c>
      <c r="G1266" s="1">
        <v>43917</v>
      </c>
      <c r="H1266">
        <v>34</v>
      </c>
      <c r="I1266" t="s">
        <v>3365</v>
      </c>
      <c r="J1266">
        <v>252</v>
      </c>
      <c r="K1266">
        <v>7</v>
      </c>
      <c r="L1266">
        <v>0</v>
      </c>
      <c r="M1266">
        <v>0</v>
      </c>
      <c r="N1266" t="s">
        <v>90</v>
      </c>
      <c r="O1266">
        <v>2020</v>
      </c>
      <c r="P1266" t="s">
        <v>18</v>
      </c>
    </row>
    <row r="1267" spans="1:16" x14ac:dyDescent="0.3">
      <c r="A1267">
        <v>156</v>
      </c>
      <c r="B1267" t="s">
        <v>1443</v>
      </c>
      <c r="C1267" t="s">
        <v>3666</v>
      </c>
      <c r="D1267" t="str">
        <f>VLOOKUP(YouTube_University_Data_Final[[#This Row],[Title]],[1]!YouTube_University_Data_Final[[Title]:[Title_language]],2,FALSE)</f>
        <v>Bilingual</v>
      </c>
      <c r="E1267" t="s">
        <v>3667</v>
      </c>
      <c r="F1267">
        <v>27</v>
      </c>
      <c r="G1267" s="1">
        <v>43917</v>
      </c>
      <c r="H1267">
        <v>33</v>
      </c>
      <c r="I1267" t="s">
        <v>3365</v>
      </c>
      <c r="J1267">
        <v>655</v>
      </c>
      <c r="K1267">
        <v>8</v>
      </c>
      <c r="L1267">
        <v>0</v>
      </c>
      <c r="M1267">
        <v>0</v>
      </c>
      <c r="N1267" t="s">
        <v>90</v>
      </c>
      <c r="O1267">
        <v>2020</v>
      </c>
      <c r="P1267" t="s">
        <v>18</v>
      </c>
    </row>
    <row r="1268" spans="1:16" x14ac:dyDescent="0.3">
      <c r="A1268">
        <v>157</v>
      </c>
      <c r="B1268" t="s">
        <v>1443</v>
      </c>
      <c r="C1268" t="s">
        <v>3668</v>
      </c>
      <c r="D1268" t="str">
        <f>VLOOKUP(YouTube_University_Data_Final[[#This Row],[Title]],[1]!YouTube_University_Data_Final[[Title]:[Title_language]],2,FALSE)</f>
        <v>Bilingual</v>
      </c>
      <c r="E1268" t="s">
        <v>3669</v>
      </c>
      <c r="F1268">
        <v>27</v>
      </c>
      <c r="G1268" s="1">
        <v>43915</v>
      </c>
      <c r="H1268">
        <v>41</v>
      </c>
      <c r="I1268" t="s">
        <v>3365</v>
      </c>
      <c r="J1268">
        <v>653</v>
      </c>
      <c r="K1268">
        <v>7</v>
      </c>
      <c r="L1268">
        <v>0</v>
      </c>
      <c r="M1268">
        <v>0</v>
      </c>
      <c r="N1268" t="s">
        <v>90</v>
      </c>
      <c r="O1268">
        <v>2020</v>
      </c>
      <c r="P1268" t="s">
        <v>18</v>
      </c>
    </row>
    <row r="1269" spans="1:16" x14ac:dyDescent="0.3">
      <c r="A1269">
        <v>158</v>
      </c>
      <c r="B1269" t="s">
        <v>1443</v>
      </c>
      <c r="C1269" t="s">
        <v>3670</v>
      </c>
      <c r="D1269" t="str">
        <f>VLOOKUP(YouTube_University_Data_Final[[#This Row],[Title]],[1]!YouTube_University_Data_Final[[Title]:[Title_language]],2,FALSE)</f>
        <v>Bilingual</v>
      </c>
      <c r="E1269" t="s">
        <v>3671</v>
      </c>
      <c r="F1269">
        <v>27</v>
      </c>
      <c r="G1269" s="1">
        <v>43910</v>
      </c>
      <c r="H1269">
        <v>31</v>
      </c>
      <c r="I1269" t="s">
        <v>3365</v>
      </c>
      <c r="J1269">
        <v>674</v>
      </c>
      <c r="K1269">
        <v>8</v>
      </c>
      <c r="L1269">
        <v>0</v>
      </c>
      <c r="M1269">
        <v>0</v>
      </c>
      <c r="N1269" t="s">
        <v>90</v>
      </c>
      <c r="O1269">
        <v>2020</v>
      </c>
      <c r="P1269" t="s">
        <v>18</v>
      </c>
    </row>
    <row r="1270" spans="1:16" x14ac:dyDescent="0.3">
      <c r="A1270">
        <v>159</v>
      </c>
      <c r="B1270" t="s">
        <v>1443</v>
      </c>
      <c r="C1270" t="s">
        <v>3672</v>
      </c>
      <c r="D1270" t="str">
        <f>VLOOKUP(YouTube_University_Data_Final[[#This Row],[Title]],[1]!YouTube_University_Data_Final[[Title]:[Title_language]],2,FALSE)</f>
        <v>Bilingual</v>
      </c>
      <c r="E1270" t="s">
        <v>3673</v>
      </c>
      <c r="F1270">
        <v>27</v>
      </c>
      <c r="G1270" s="1">
        <v>43906</v>
      </c>
      <c r="H1270">
        <v>54</v>
      </c>
      <c r="I1270" t="s">
        <v>3365</v>
      </c>
      <c r="J1270">
        <v>790</v>
      </c>
      <c r="K1270">
        <v>16</v>
      </c>
      <c r="L1270">
        <v>0</v>
      </c>
      <c r="M1270">
        <v>0</v>
      </c>
      <c r="N1270" t="s">
        <v>90</v>
      </c>
      <c r="O1270">
        <v>2020</v>
      </c>
      <c r="P1270" t="s">
        <v>18</v>
      </c>
    </row>
    <row r="1271" spans="1:16" x14ac:dyDescent="0.3">
      <c r="A1271">
        <v>160</v>
      </c>
      <c r="B1271" t="s">
        <v>1443</v>
      </c>
      <c r="C1271" t="s">
        <v>3674</v>
      </c>
      <c r="D1271" t="str">
        <f>VLOOKUP(YouTube_University_Data_Final[[#This Row],[Title]],[1]!YouTube_University_Data_Final[[Title]:[Title_language]],2,FALSE)</f>
        <v>Bilingual</v>
      </c>
      <c r="E1271" t="s">
        <v>3675</v>
      </c>
      <c r="F1271">
        <v>27</v>
      </c>
      <c r="G1271" s="1">
        <v>43902</v>
      </c>
      <c r="H1271">
        <v>130</v>
      </c>
      <c r="I1271" t="s">
        <v>3365</v>
      </c>
      <c r="J1271">
        <v>898</v>
      </c>
      <c r="K1271">
        <v>15</v>
      </c>
      <c r="L1271">
        <v>0</v>
      </c>
      <c r="M1271">
        <v>0</v>
      </c>
      <c r="N1271" t="s">
        <v>90</v>
      </c>
      <c r="O1271">
        <v>2020</v>
      </c>
      <c r="P1271" t="s">
        <v>18</v>
      </c>
    </row>
    <row r="1272" spans="1:16" x14ac:dyDescent="0.3">
      <c r="A1272">
        <v>161</v>
      </c>
      <c r="B1272" t="s">
        <v>1443</v>
      </c>
      <c r="C1272" t="s">
        <v>3676</v>
      </c>
      <c r="D1272" t="str">
        <f>VLOOKUP(YouTube_University_Data_Final[[#This Row],[Title]],[1]!YouTube_University_Data_Final[[Title]:[Title_language]],2,FALSE)</f>
        <v>Bilingual</v>
      </c>
      <c r="E1272" t="s">
        <v>3677</v>
      </c>
      <c r="F1272">
        <v>27</v>
      </c>
      <c r="G1272" s="1">
        <v>43899</v>
      </c>
      <c r="H1272">
        <v>44</v>
      </c>
      <c r="I1272" t="s">
        <v>3365</v>
      </c>
      <c r="J1272">
        <v>3878</v>
      </c>
      <c r="K1272">
        <v>25</v>
      </c>
      <c r="L1272">
        <v>0</v>
      </c>
      <c r="M1272">
        <v>0</v>
      </c>
      <c r="N1272" t="s">
        <v>90</v>
      </c>
      <c r="O1272">
        <v>2020</v>
      </c>
      <c r="P1272" t="s">
        <v>18</v>
      </c>
    </row>
    <row r="1273" spans="1:16" x14ac:dyDescent="0.3">
      <c r="A1273">
        <v>162</v>
      </c>
      <c r="B1273" t="s">
        <v>1443</v>
      </c>
      <c r="C1273" t="s">
        <v>3678</v>
      </c>
      <c r="D1273" t="str">
        <f>VLOOKUP(YouTube_University_Data_Final[[#This Row],[Title]],[1]!YouTube_University_Data_Final[[Title]:[Title_language]],2,FALSE)</f>
        <v>Bilingual</v>
      </c>
      <c r="E1273" t="s">
        <v>3679</v>
      </c>
      <c r="F1273">
        <v>27</v>
      </c>
      <c r="G1273" s="1">
        <v>43890</v>
      </c>
      <c r="H1273">
        <v>135</v>
      </c>
      <c r="I1273" t="s">
        <v>3365</v>
      </c>
      <c r="J1273">
        <v>4189</v>
      </c>
      <c r="K1273">
        <v>70</v>
      </c>
      <c r="L1273">
        <v>0</v>
      </c>
      <c r="M1273">
        <v>0</v>
      </c>
      <c r="N1273" t="s">
        <v>162</v>
      </c>
      <c r="O1273">
        <v>2020</v>
      </c>
      <c r="P1273" t="s">
        <v>18</v>
      </c>
    </row>
    <row r="1274" spans="1:16" x14ac:dyDescent="0.3">
      <c r="A1274">
        <v>163</v>
      </c>
      <c r="B1274" t="s">
        <v>1443</v>
      </c>
      <c r="C1274" t="s">
        <v>3680</v>
      </c>
      <c r="D1274" t="str">
        <f>VLOOKUP(YouTube_University_Data_Final[[#This Row],[Title]],[1]!YouTube_University_Data_Final[[Title]:[Title_language]],2,FALSE)</f>
        <v>Chinese</v>
      </c>
      <c r="E1274" t="s">
        <v>3681</v>
      </c>
      <c r="F1274">
        <v>27</v>
      </c>
      <c r="G1274" s="1">
        <v>43888</v>
      </c>
      <c r="H1274">
        <v>149</v>
      </c>
      <c r="I1274" t="s">
        <v>3365</v>
      </c>
      <c r="J1274">
        <v>717</v>
      </c>
      <c r="K1274">
        <v>10</v>
      </c>
      <c r="L1274">
        <v>0</v>
      </c>
      <c r="M1274">
        <v>0</v>
      </c>
      <c r="N1274" t="s">
        <v>162</v>
      </c>
      <c r="O1274">
        <v>2020</v>
      </c>
      <c r="P1274" t="s">
        <v>18</v>
      </c>
    </row>
    <row r="1275" spans="1:16" x14ac:dyDescent="0.3">
      <c r="A1275">
        <v>164</v>
      </c>
      <c r="B1275" t="s">
        <v>1443</v>
      </c>
      <c r="C1275" t="s">
        <v>3682</v>
      </c>
      <c r="D1275" t="str">
        <f>VLOOKUP(YouTube_University_Data_Final[[#This Row],[Title]],[1]!YouTube_University_Data_Final[[Title]:[Title_language]],2,FALSE)</f>
        <v>Bilingual</v>
      </c>
      <c r="E1275" t="s">
        <v>3683</v>
      </c>
      <c r="F1275">
        <v>27</v>
      </c>
      <c r="G1275" s="1">
        <v>43881</v>
      </c>
      <c r="H1275">
        <v>65</v>
      </c>
      <c r="I1275" t="s">
        <v>3365</v>
      </c>
      <c r="J1275">
        <v>1714</v>
      </c>
      <c r="K1275">
        <v>33</v>
      </c>
      <c r="L1275">
        <v>0</v>
      </c>
      <c r="M1275">
        <v>0</v>
      </c>
      <c r="N1275" t="s">
        <v>162</v>
      </c>
      <c r="O1275">
        <v>2020</v>
      </c>
      <c r="P1275" t="s">
        <v>18</v>
      </c>
    </row>
    <row r="1276" spans="1:16" x14ac:dyDescent="0.3">
      <c r="A1276">
        <v>165</v>
      </c>
      <c r="B1276" t="s">
        <v>1443</v>
      </c>
      <c r="C1276" t="s">
        <v>3684</v>
      </c>
      <c r="D1276" t="str">
        <f>VLOOKUP(YouTube_University_Data_Final[[#This Row],[Title]],[1]!YouTube_University_Data_Final[[Title]:[Title_language]],2,FALSE)</f>
        <v>Bilingual</v>
      </c>
      <c r="E1276" t="s">
        <v>3685</v>
      </c>
      <c r="F1276">
        <v>27</v>
      </c>
      <c r="G1276" s="1">
        <v>43880</v>
      </c>
      <c r="H1276">
        <v>527</v>
      </c>
      <c r="I1276" t="s">
        <v>3365</v>
      </c>
      <c r="J1276">
        <v>995</v>
      </c>
      <c r="K1276">
        <v>11</v>
      </c>
      <c r="L1276">
        <v>0</v>
      </c>
      <c r="M1276">
        <v>0</v>
      </c>
      <c r="N1276" t="s">
        <v>162</v>
      </c>
      <c r="O1276">
        <v>2020</v>
      </c>
      <c r="P1276" t="s">
        <v>18</v>
      </c>
    </row>
    <row r="1277" spans="1:16" x14ac:dyDescent="0.3">
      <c r="A1277">
        <v>166</v>
      </c>
      <c r="B1277" t="s">
        <v>1443</v>
      </c>
      <c r="C1277" t="s">
        <v>3686</v>
      </c>
      <c r="D1277" t="str">
        <f>VLOOKUP(YouTube_University_Data_Final[[#This Row],[Title]],[1]!YouTube_University_Data_Final[[Title]:[Title_language]],2,FALSE)</f>
        <v>Chinese</v>
      </c>
      <c r="E1277" t="s">
        <v>3687</v>
      </c>
      <c r="F1277">
        <v>27</v>
      </c>
      <c r="G1277" s="1">
        <v>43876</v>
      </c>
      <c r="H1277">
        <v>189</v>
      </c>
      <c r="I1277" t="s">
        <v>3688</v>
      </c>
      <c r="J1277">
        <v>1526</v>
      </c>
      <c r="K1277">
        <v>13</v>
      </c>
      <c r="L1277">
        <v>0</v>
      </c>
      <c r="M1277">
        <v>0</v>
      </c>
      <c r="N1277" t="s">
        <v>162</v>
      </c>
      <c r="O1277">
        <v>2020</v>
      </c>
      <c r="P1277" t="s">
        <v>18</v>
      </c>
    </row>
    <row r="1278" spans="1:16" x14ac:dyDescent="0.3">
      <c r="A1278">
        <v>167</v>
      </c>
      <c r="B1278" t="s">
        <v>1443</v>
      </c>
      <c r="C1278" t="s">
        <v>3689</v>
      </c>
      <c r="D1278" t="str">
        <f>VLOOKUP(YouTube_University_Data_Final[[#This Row],[Title]],[1]!YouTube_University_Data_Final[[Title]:[Title_language]],2,FALSE)</f>
        <v>Chinese</v>
      </c>
      <c r="E1278" t="s">
        <v>3690</v>
      </c>
      <c r="F1278">
        <v>27</v>
      </c>
      <c r="G1278" s="1">
        <v>43862</v>
      </c>
      <c r="H1278">
        <v>88</v>
      </c>
      <c r="I1278" t="s">
        <v>3365</v>
      </c>
      <c r="J1278">
        <v>323</v>
      </c>
      <c r="K1278">
        <v>4</v>
      </c>
      <c r="L1278">
        <v>0</v>
      </c>
      <c r="M1278">
        <v>0</v>
      </c>
      <c r="N1278" t="s">
        <v>162</v>
      </c>
      <c r="O1278">
        <v>2020</v>
      </c>
      <c r="P1278" t="s">
        <v>18</v>
      </c>
    </row>
    <row r="1279" spans="1:16" x14ac:dyDescent="0.3">
      <c r="A1279">
        <v>168</v>
      </c>
      <c r="B1279" t="s">
        <v>1443</v>
      </c>
      <c r="C1279" t="s">
        <v>3691</v>
      </c>
      <c r="D1279" t="str">
        <f>VLOOKUP(YouTube_University_Data_Final[[#This Row],[Title]],[1]!YouTube_University_Data_Final[[Title]:[Title_language]],2,FALSE)</f>
        <v>Bilingual</v>
      </c>
      <c r="E1279" t="s">
        <v>3692</v>
      </c>
      <c r="F1279">
        <v>27</v>
      </c>
      <c r="G1279" s="1">
        <v>43862</v>
      </c>
      <c r="H1279">
        <v>103</v>
      </c>
      <c r="I1279" t="s">
        <v>3365</v>
      </c>
      <c r="J1279">
        <v>110468</v>
      </c>
      <c r="K1279">
        <v>1426</v>
      </c>
      <c r="L1279">
        <v>0</v>
      </c>
      <c r="M1279">
        <v>0</v>
      </c>
      <c r="N1279" t="s">
        <v>162</v>
      </c>
      <c r="O1279">
        <v>2020</v>
      </c>
      <c r="P1279" t="s">
        <v>18</v>
      </c>
    </row>
    <row r="1280" spans="1:16" x14ac:dyDescent="0.3">
      <c r="A1280">
        <v>169</v>
      </c>
      <c r="B1280" t="s">
        <v>1443</v>
      </c>
      <c r="C1280" t="s">
        <v>3693</v>
      </c>
      <c r="D1280" t="str">
        <f>VLOOKUP(YouTube_University_Data_Final[[#This Row],[Title]],[1]!YouTube_University_Data_Final[[Title]:[Title_language]],2,FALSE)</f>
        <v>Chinese</v>
      </c>
      <c r="E1280" t="s">
        <v>3694</v>
      </c>
      <c r="F1280">
        <v>27</v>
      </c>
      <c r="G1280" s="1">
        <v>43852</v>
      </c>
      <c r="H1280">
        <v>127</v>
      </c>
      <c r="I1280" t="s">
        <v>3365</v>
      </c>
      <c r="J1280">
        <v>2512</v>
      </c>
      <c r="K1280">
        <v>34</v>
      </c>
      <c r="L1280">
        <v>0</v>
      </c>
      <c r="M1280">
        <v>0</v>
      </c>
      <c r="N1280" t="s">
        <v>93</v>
      </c>
      <c r="O1280">
        <v>2020</v>
      </c>
      <c r="P1280" t="s">
        <v>18</v>
      </c>
    </row>
    <row r="1281" spans="1:16" x14ac:dyDescent="0.3">
      <c r="A1281">
        <v>170</v>
      </c>
      <c r="B1281" t="s">
        <v>1443</v>
      </c>
      <c r="C1281" t="s">
        <v>3695</v>
      </c>
      <c r="D1281" t="str">
        <f>VLOOKUP(YouTube_University_Data_Final[[#This Row],[Title]],[1]!YouTube_University_Data_Final[[Title]:[Title_language]],2,FALSE)</f>
        <v>Bilingual</v>
      </c>
      <c r="E1281" t="s">
        <v>3696</v>
      </c>
      <c r="F1281">
        <v>27</v>
      </c>
      <c r="G1281" s="1">
        <v>43844</v>
      </c>
      <c r="H1281">
        <v>208</v>
      </c>
      <c r="I1281" t="s">
        <v>3365</v>
      </c>
      <c r="J1281">
        <v>1095</v>
      </c>
      <c r="K1281">
        <v>16</v>
      </c>
      <c r="L1281">
        <v>0</v>
      </c>
      <c r="M1281">
        <v>0</v>
      </c>
      <c r="N1281" t="s">
        <v>93</v>
      </c>
      <c r="O1281">
        <v>2020</v>
      </c>
      <c r="P1281" t="s">
        <v>18</v>
      </c>
    </row>
    <row r="1282" spans="1:16" x14ac:dyDescent="0.3">
      <c r="A1282">
        <v>171</v>
      </c>
      <c r="B1282" t="s">
        <v>1443</v>
      </c>
      <c r="C1282" t="s">
        <v>3697</v>
      </c>
      <c r="D1282" t="str">
        <f>VLOOKUP(YouTube_University_Data_Final[[#This Row],[Title]],[1]!YouTube_University_Data_Final[[Title]:[Title_language]],2,FALSE)</f>
        <v>Bilingual</v>
      </c>
      <c r="E1282" t="s">
        <v>3698</v>
      </c>
      <c r="F1282">
        <v>27</v>
      </c>
      <c r="G1282" s="1">
        <v>43839</v>
      </c>
      <c r="H1282">
        <v>108</v>
      </c>
      <c r="I1282" t="s">
        <v>3365</v>
      </c>
      <c r="J1282">
        <v>3021</v>
      </c>
      <c r="K1282">
        <v>54</v>
      </c>
      <c r="L1282">
        <v>0</v>
      </c>
      <c r="M1282">
        <v>0</v>
      </c>
      <c r="N1282" t="s">
        <v>93</v>
      </c>
      <c r="O1282">
        <v>2020</v>
      </c>
      <c r="P1282" t="s">
        <v>18</v>
      </c>
    </row>
    <row r="1283" spans="1:16" x14ac:dyDescent="0.3">
      <c r="A1283">
        <v>172</v>
      </c>
      <c r="B1283" t="s">
        <v>1443</v>
      </c>
      <c r="C1283" t="s">
        <v>3699</v>
      </c>
      <c r="D1283" t="str">
        <f>VLOOKUP(YouTube_University_Data_Final[[#This Row],[Title]],[1]!YouTube_University_Data_Final[[Title]:[Title_language]],2,FALSE)</f>
        <v>Bilingual</v>
      </c>
      <c r="E1283" t="s">
        <v>3700</v>
      </c>
      <c r="F1283">
        <v>27</v>
      </c>
      <c r="G1283" s="1">
        <v>43819</v>
      </c>
      <c r="H1283">
        <v>125</v>
      </c>
      <c r="I1283" t="s">
        <v>3365</v>
      </c>
      <c r="J1283">
        <v>333</v>
      </c>
      <c r="K1283">
        <v>3</v>
      </c>
      <c r="L1283">
        <v>0</v>
      </c>
      <c r="M1283">
        <v>0</v>
      </c>
      <c r="N1283" t="s">
        <v>98</v>
      </c>
      <c r="O1283">
        <v>2019</v>
      </c>
      <c r="P1283" t="s">
        <v>18</v>
      </c>
    </row>
    <row r="1284" spans="1:16" x14ac:dyDescent="0.3">
      <c r="A1284">
        <v>173</v>
      </c>
      <c r="B1284" t="s">
        <v>1443</v>
      </c>
      <c r="C1284" t="s">
        <v>3701</v>
      </c>
      <c r="D1284" t="str">
        <f>VLOOKUP(YouTube_University_Data_Final[[#This Row],[Title]],[1]!YouTube_University_Data_Final[[Title]:[Title_language]],2,FALSE)</f>
        <v>Bilingual</v>
      </c>
      <c r="E1284" t="s">
        <v>3702</v>
      </c>
      <c r="F1284">
        <v>27</v>
      </c>
      <c r="G1284" s="1">
        <v>43812</v>
      </c>
      <c r="H1284">
        <v>113</v>
      </c>
      <c r="I1284" t="s">
        <v>3365</v>
      </c>
      <c r="J1284">
        <v>1118</v>
      </c>
      <c r="K1284">
        <v>6</v>
      </c>
      <c r="L1284">
        <v>0</v>
      </c>
      <c r="M1284">
        <v>0</v>
      </c>
      <c r="N1284" t="s">
        <v>98</v>
      </c>
      <c r="O1284">
        <v>2019</v>
      </c>
      <c r="P1284" t="s">
        <v>18</v>
      </c>
    </row>
    <row r="1285" spans="1:16" x14ac:dyDescent="0.3">
      <c r="A1285">
        <v>174</v>
      </c>
      <c r="B1285" t="s">
        <v>1443</v>
      </c>
      <c r="C1285" t="s">
        <v>3703</v>
      </c>
      <c r="D1285" t="str">
        <f>VLOOKUP(YouTube_University_Data_Final[[#This Row],[Title]],[1]!YouTube_University_Data_Final[[Title]:[Title_language]],2,FALSE)</f>
        <v>Bilingual</v>
      </c>
      <c r="E1285" t="s">
        <v>3704</v>
      </c>
      <c r="F1285">
        <v>27</v>
      </c>
      <c r="G1285" s="1">
        <v>43804</v>
      </c>
      <c r="H1285">
        <v>72</v>
      </c>
      <c r="I1285" t="s">
        <v>3365</v>
      </c>
      <c r="J1285">
        <v>527</v>
      </c>
      <c r="K1285">
        <v>3</v>
      </c>
      <c r="L1285">
        <v>0</v>
      </c>
      <c r="M1285">
        <v>0</v>
      </c>
      <c r="N1285" t="s">
        <v>98</v>
      </c>
      <c r="O1285">
        <v>2019</v>
      </c>
      <c r="P1285" t="s">
        <v>18</v>
      </c>
    </row>
    <row r="1286" spans="1:16" x14ac:dyDescent="0.3">
      <c r="A1286">
        <v>175</v>
      </c>
      <c r="B1286" t="s">
        <v>1443</v>
      </c>
      <c r="C1286" t="s">
        <v>3705</v>
      </c>
      <c r="D1286" t="str">
        <f>VLOOKUP(YouTube_University_Data_Final[[#This Row],[Title]],[1]!YouTube_University_Data_Final[[Title]:[Title_language]],2,FALSE)</f>
        <v>Chinese</v>
      </c>
      <c r="E1286" t="s">
        <v>3706</v>
      </c>
      <c r="F1286">
        <v>27</v>
      </c>
      <c r="G1286" s="1">
        <v>43802</v>
      </c>
      <c r="H1286">
        <v>5243</v>
      </c>
      <c r="I1286" t="s">
        <v>3365</v>
      </c>
      <c r="J1286">
        <v>208524</v>
      </c>
      <c r="K1286">
        <v>2982</v>
      </c>
      <c r="L1286">
        <v>0</v>
      </c>
      <c r="M1286">
        <v>0</v>
      </c>
      <c r="N1286" t="s">
        <v>98</v>
      </c>
      <c r="O1286">
        <v>2019</v>
      </c>
      <c r="P1286" t="s">
        <v>18</v>
      </c>
    </row>
    <row r="1287" spans="1:16" x14ac:dyDescent="0.3">
      <c r="A1287">
        <v>176</v>
      </c>
      <c r="B1287" t="s">
        <v>1443</v>
      </c>
      <c r="C1287" t="s">
        <v>3707</v>
      </c>
      <c r="D1287" t="str">
        <f>VLOOKUP(YouTube_University_Data_Final[[#This Row],[Title]],[1]!YouTube_University_Data_Final[[Title]:[Title_language]],2,FALSE)</f>
        <v>Bilingual</v>
      </c>
      <c r="E1287" t="s">
        <v>3708</v>
      </c>
      <c r="F1287">
        <v>27</v>
      </c>
      <c r="G1287" s="1">
        <v>43801</v>
      </c>
      <c r="H1287">
        <v>126</v>
      </c>
      <c r="I1287" t="s">
        <v>3365</v>
      </c>
      <c r="J1287">
        <v>225</v>
      </c>
      <c r="K1287">
        <v>3</v>
      </c>
      <c r="L1287">
        <v>0</v>
      </c>
      <c r="M1287">
        <v>0</v>
      </c>
      <c r="N1287" t="s">
        <v>98</v>
      </c>
      <c r="O1287">
        <v>2019</v>
      </c>
      <c r="P1287" t="s">
        <v>18</v>
      </c>
    </row>
    <row r="1288" spans="1:16" x14ac:dyDescent="0.3">
      <c r="A1288">
        <v>177</v>
      </c>
      <c r="B1288" t="s">
        <v>1443</v>
      </c>
      <c r="C1288" t="s">
        <v>3709</v>
      </c>
      <c r="D1288" t="str">
        <f>VLOOKUP(YouTube_University_Data_Final[[#This Row],[Title]],[1]!YouTube_University_Data_Final[[Title]:[Title_language]],2,FALSE)</f>
        <v>Bilingual</v>
      </c>
      <c r="E1288" t="s">
        <v>3710</v>
      </c>
      <c r="F1288">
        <v>27</v>
      </c>
      <c r="G1288" s="1">
        <v>43797</v>
      </c>
      <c r="H1288">
        <v>42</v>
      </c>
      <c r="I1288" t="s">
        <v>3365</v>
      </c>
      <c r="J1288">
        <v>5267</v>
      </c>
      <c r="K1288">
        <v>11</v>
      </c>
      <c r="L1288">
        <v>0</v>
      </c>
      <c r="M1288">
        <v>0</v>
      </c>
      <c r="N1288" t="s">
        <v>101</v>
      </c>
      <c r="O1288">
        <v>2019</v>
      </c>
      <c r="P1288" t="s">
        <v>18</v>
      </c>
    </row>
    <row r="1289" spans="1:16" x14ac:dyDescent="0.3">
      <c r="A1289">
        <v>178</v>
      </c>
      <c r="B1289" t="s">
        <v>1443</v>
      </c>
      <c r="C1289" t="s">
        <v>3711</v>
      </c>
      <c r="D1289" t="str">
        <f>VLOOKUP(YouTube_University_Data_Final[[#This Row],[Title]],[1]!YouTube_University_Data_Final[[Title]:[Title_language]],2,FALSE)</f>
        <v>Bilingual</v>
      </c>
      <c r="E1289" t="s">
        <v>3712</v>
      </c>
      <c r="F1289">
        <v>27</v>
      </c>
      <c r="G1289" s="1">
        <v>43795</v>
      </c>
      <c r="H1289">
        <v>316</v>
      </c>
      <c r="I1289" t="s">
        <v>3365</v>
      </c>
      <c r="J1289">
        <v>480</v>
      </c>
      <c r="K1289">
        <v>0</v>
      </c>
      <c r="L1289">
        <v>0</v>
      </c>
      <c r="M1289">
        <v>0</v>
      </c>
      <c r="N1289" t="s">
        <v>101</v>
      </c>
      <c r="O1289">
        <v>2019</v>
      </c>
      <c r="P1289" t="s">
        <v>18</v>
      </c>
    </row>
    <row r="1290" spans="1:16" x14ac:dyDescent="0.3">
      <c r="A1290">
        <v>179</v>
      </c>
      <c r="B1290" t="s">
        <v>1443</v>
      </c>
      <c r="C1290" t="s">
        <v>3713</v>
      </c>
      <c r="D1290" t="str">
        <f>VLOOKUP(YouTube_University_Data_Final[[#This Row],[Title]],[1]!YouTube_University_Data_Final[[Title]:[Title_language]],2,FALSE)</f>
        <v>Bilingual</v>
      </c>
      <c r="E1290" t="s">
        <v>3714</v>
      </c>
      <c r="F1290">
        <v>27</v>
      </c>
      <c r="G1290" s="1">
        <v>43792</v>
      </c>
      <c r="H1290">
        <v>100</v>
      </c>
      <c r="I1290" t="s">
        <v>3365</v>
      </c>
      <c r="J1290">
        <v>1329</v>
      </c>
      <c r="K1290">
        <v>42</v>
      </c>
      <c r="L1290">
        <v>0</v>
      </c>
      <c r="M1290">
        <v>0</v>
      </c>
      <c r="N1290" t="s">
        <v>101</v>
      </c>
      <c r="O1290">
        <v>2019</v>
      </c>
      <c r="P1290" t="s">
        <v>18</v>
      </c>
    </row>
    <row r="1291" spans="1:16" x14ac:dyDescent="0.3">
      <c r="A1291">
        <v>180</v>
      </c>
      <c r="B1291" t="s">
        <v>1443</v>
      </c>
      <c r="C1291" t="s">
        <v>3715</v>
      </c>
      <c r="D1291" t="str">
        <f>VLOOKUP(YouTube_University_Data_Final[[#This Row],[Title]],[1]!YouTube_University_Data_Final[[Title]:[Title_language]],2,FALSE)</f>
        <v>Bilingual</v>
      </c>
      <c r="E1291" t="s">
        <v>3716</v>
      </c>
      <c r="F1291">
        <v>27</v>
      </c>
      <c r="G1291" s="1">
        <v>43776</v>
      </c>
      <c r="H1291">
        <v>229</v>
      </c>
      <c r="I1291" t="s">
        <v>3365</v>
      </c>
      <c r="J1291">
        <v>7250</v>
      </c>
      <c r="K1291">
        <v>38</v>
      </c>
      <c r="L1291">
        <v>0</v>
      </c>
      <c r="M1291">
        <v>0</v>
      </c>
      <c r="N1291" t="s">
        <v>101</v>
      </c>
      <c r="O1291">
        <v>2019</v>
      </c>
      <c r="P1291" t="s">
        <v>18</v>
      </c>
    </row>
    <row r="1292" spans="1:16" x14ac:dyDescent="0.3">
      <c r="A1292">
        <v>181</v>
      </c>
      <c r="B1292" t="s">
        <v>1443</v>
      </c>
      <c r="C1292" t="s">
        <v>3717</v>
      </c>
      <c r="D1292" t="str">
        <f>VLOOKUP(YouTube_University_Data_Final[[#This Row],[Title]],[1]!YouTube_University_Data_Final[[Title]:[Title_language]],2,FALSE)</f>
        <v>Bilingual</v>
      </c>
      <c r="E1292" t="s">
        <v>3718</v>
      </c>
      <c r="F1292">
        <v>27</v>
      </c>
      <c r="G1292" s="1">
        <v>43773</v>
      </c>
      <c r="H1292">
        <v>257</v>
      </c>
      <c r="I1292" t="s">
        <v>3365</v>
      </c>
      <c r="J1292">
        <v>2430</v>
      </c>
      <c r="K1292">
        <v>20</v>
      </c>
      <c r="L1292">
        <v>0</v>
      </c>
      <c r="M1292">
        <v>0</v>
      </c>
      <c r="N1292" t="s">
        <v>101</v>
      </c>
      <c r="O1292">
        <v>2019</v>
      </c>
      <c r="P1292" t="s">
        <v>18</v>
      </c>
    </row>
    <row r="1293" spans="1:16" x14ac:dyDescent="0.3">
      <c r="A1293">
        <v>182</v>
      </c>
      <c r="B1293" t="s">
        <v>1443</v>
      </c>
      <c r="C1293" t="s">
        <v>3719</v>
      </c>
      <c r="D1293" t="str">
        <f>VLOOKUP(YouTube_University_Data_Final[[#This Row],[Title]],[1]!YouTube_University_Data_Final[[Title]:[Title_language]],2,FALSE)</f>
        <v>Bilingual</v>
      </c>
      <c r="E1293" t="s">
        <v>3720</v>
      </c>
      <c r="F1293">
        <v>27</v>
      </c>
      <c r="G1293" s="1">
        <v>43763</v>
      </c>
      <c r="H1293">
        <v>174</v>
      </c>
      <c r="I1293" t="s">
        <v>3365</v>
      </c>
      <c r="J1293">
        <v>1087</v>
      </c>
      <c r="K1293">
        <v>12</v>
      </c>
      <c r="L1293">
        <v>0</v>
      </c>
      <c r="M1293">
        <v>0</v>
      </c>
      <c r="N1293" t="s">
        <v>17</v>
      </c>
      <c r="O1293">
        <v>2019</v>
      </c>
      <c r="P1293" t="s">
        <v>18</v>
      </c>
    </row>
    <row r="1294" spans="1:16" x14ac:dyDescent="0.3">
      <c r="A1294">
        <v>183</v>
      </c>
      <c r="B1294" t="s">
        <v>1443</v>
      </c>
      <c r="C1294" t="s">
        <v>3721</v>
      </c>
      <c r="D1294" t="str">
        <f>VLOOKUP(YouTube_University_Data_Final[[#This Row],[Title]],[1]!YouTube_University_Data_Final[[Title]:[Title_language]],2,FALSE)</f>
        <v>Chinese</v>
      </c>
      <c r="E1294" t="s">
        <v>3722</v>
      </c>
      <c r="F1294">
        <v>27</v>
      </c>
      <c r="G1294" s="1">
        <v>43762</v>
      </c>
      <c r="H1294">
        <v>6078</v>
      </c>
      <c r="I1294" t="s">
        <v>3365</v>
      </c>
      <c r="J1294">
        <v>1530</v>
      </c>
      <c r="K1294">
        <v>21</v>
      </c>
      <c r="L1294">
        <v>0</v>
      </c>
      <c r="M1294">
        <v>0</v>
      </c>
      <c r="N1294" t="s">
        <v>17</v>
      </c>
      <c r="O1294">
        <v>2019</v>
      </c>
      <c r="P1294" t="s">
        <v>18</v>
      </c>
    </row>
    <row r="1295" spans="1:16" x14ac:dyDescent="0.3">
      <c r="A1295">
        <v>184</v>
      </c>
      <c r="B1295" t="s">
        <v>1443</v>
      </c>
      <c r="C1295" t="s">
        <v>3723</v>
      </c>
      <c r="D1295" t="str">
        <f>VLOOKUP(YouTube_University_Data_Final[[#This Row],[Title]],[1]!YouTube_University_Data_Final[[Title]:[Title_language]],2,FALSE)</f>
        <v>Bilingual</v>
      </c>
      <c r="E1295" t="s">
        <v>3724</v>
      </c>
      <c r="F1295">
        <v>27</v>
      </c>
      <c r="G1295" s="1">
        <v>43754</v>
      </c>
      <c r="H1295">
        <v>162</v>
      </c>
      <c r="I1295" t="s">
        <v>3365</v>
      </c>
      <c r="J1295">
        <v>1313</v>
      </c>
      <c r="K1295">
        <v>10</v>
      </c>
      <c r="L1295">
        <v>0</v>
      </c>
      <c r="M1295">
        <v>0</v>
      </c>
      <c r="N1295" t="s">
        <v>17</v>
      </c>
      <c r="O1295">
        <v>2019</v>
      </c>
      <c r="P1295" t="s">
        <v>18</v>
      </c>
    </row>
    <row r="1296" spans="1:16" x14ac:dyDescent="0.3">
      <c r="A1296">
        <v>185</v>
      </c>
      <c r="B1296" t="s">
        <v>1443</v>
      </c>
      <c r="C1296" t="s">
        <v>3725</v>
      </c>
      <c r="D1296" t="str">
        <f>VLOOKUP(YouTube_University_Data_Final[[#This Row],[Title]],[1]!YouTube_University_Data_Final[[Title]:[Title_language]],2,FALSE)</f>
        <v>Bilingual</v>
      </c>
      <c r="E1296" t="s">
        <v>3726</v>
      </c>
      <c r="F1296">
        <v>27</v>
      </c>
      <c r="G1296" s="1">
        <v>43746</v>
      </c>
      <c r="H1296">
        <v>148</v>
      </c>
      <c r="I1296" t="s">
        <v>3365</v>
      </c>
      <c r="J1296">
        <v>566</v>
      </c>
      <c r="K1296">
        <v>1</v>
      </c>
      <c r="L1296">
        <v>0</v>
      </c>
      <c r="M1296">
        <v>0</v>
      </c>
      <c r="N1296" t="s">
        <v>17</v>
      </c>
      <c r="O1296">
        <v>2019</v>
      </c>
      <c r="P1296" t="s">
        <v>18</v>
      </c>
    </row>
    <row r="1297" spans="1:16" x14ac:dyDescent="0.3">
      <c r="A1297">
        <v>186</v>
      </c>
      <c r="B1297" t="s">
        <v>1443</v>
      </c>
      <c r="C1297" t="s">
        <v>3727</v>
      </c>
      <c r="D1297" t="str">
        <f>VLOOKUP(YouTube_University_Data_Final[[#This Row],[Title]],[1]!YouTube_University_Data_Final[[Title]:[Title_language]],2,FALSE)</f>
        <v>Chinese</v>
      </c>
      <c r="E1297" t="s">
        <v>3728</v>
      </c>
      <c r="F1297">
        <v>27</v>
      </c>
      <c r="G1297" s="1">
        <v>43733</v>
      </c>
      <c r="H1297">
        <v>5296</v>
      </c>
      <c r="I1297" t="s">
        <v>3365</v>
      </c>
      <c r="J1297">
        <v>2455</v>
      </c>
      <c r="K1297">
        <v>42</v>
      </c>
      <c r="L1297">
        <v>0</v>
      </c>
      <c r="M1297">
        <v>0</v>
      </c>
      <c r="N1297" t="s">
        <v>21</v>
      </c>
      <c r="O1297">
        <v>2019</v>
      </c>
      <c r="P1297" t="s">
        <v>18</v>
      </c>
    </row>
    <row r="1298" spans="1:16" x14ac:dyDescent="0.3">
      <c r="A1298">
        <v>187</v>
      </c>
      <c r="B1298" t="s">
        <v>1443</v>
      </c>
      <c r="C1298" t="s">
        <v>3729</v>
      </c>
      <c r="D1298" t="str">
        <f>VLOOKUP(YouTube_University_Data_Final[[#This Row],[Title]],[1]!YouTube_University_Data_Final[[Title]:[Title_language]],2,FALSE)</f>
        <v>Bilingual</v>
      </c>
      <c r="E1298" t="s">
        <v>3730</v>
      </c>
      <c r="F1298">
        <v>27</v>
      </c>
      <c r="G1298" s="1">
        <v>43726</v>
      </c>
      <c r="H1298">
        <v>130</v>
      </c>
      <c r="I1298" t="s">
        <v>3365</v>
      </c>
      <c r="J1298">
        <v>638</v>
      </c>
      <c r="K1298">
        <v>4</v>
      </c>
      <c r="L1298">
        <v>0</v>
      </c>
      <c r="M1298">
        <v>0</v>
      </c>
      <c r="N1298" t="s">
        <v>21</v>
      </c>
      <c r="O1298">
        <v>2019</v>
      </c>
      <c r="P1298" t="s">
        <v>18</v>
      </c>
    </row>
    <row r="1299" spans="1:16" x14ac:dyDescent="0.3">
      <c r="A1299">
        <v>188</v>
      </c>
      <c r="B1299" t="s">
        <v>1443</v>
      </c>
      <c r="C1299" t="s">
        <v>3731</v>
      </c>
      <c r="D1299" t="str">
        <f>VLOOKUP(YouTube_University_Data_Final[[#This Row],[Title]],[1]!YouTube_University_Data_Final[[Title]:[Title_language]],2,FALSE)</f>
        <v>Bilingual</v>
      </c>
      <c r="E1299" t="s">
        <v>3732</v>
      </c>
      <c r="F1299">
        <v>27</v>
      </c>
      <c r="G1299" s="1">
        <v>43718</v>
      </c>
      <c r="H1299">
        <v>176</v>
      </c>
      <c r="I1299" t="s">
        <v>3365</v>
      </c>
      <c r="J1299">
        <v>184</v>
      </c>
      <c r="K1299">
        <v>4</v>
      </c>
      <c r="L1299">
        <v>0</v>
      </c>
      <c r="M1299">
        <v>0</v>
      </c>
      <c r="N1299" t="s">
        <v>21</v>
      </c>
      <c r="O1299">
        <v>2019</v>
      </c>
      <c r="P1299" t="s">
        <v>18</v>
      </c>
    </row>
    <row r="1300" spans="1:16" x14ac:dyDescent="0.3">
      <c r="A1300">
        <v>189</v>
      </c>
      <c r="B1300" t="s">
        <v>1443</v>
      </c>
      <c r="C1300" t="s">
        <v>3733</v>
      </c>
      <c r="D1300" t="str">
        <f>VLOOKUP(YouTube_University_Data_Final[[#This Row],[Title]],[1]!YouTube_University_Data_Final[[Title]:[Title_language]],2,FALSE)</f>
        <v>Chinese</v>
      </c>
      <c r="E1300" t="s">
        <v>3734</v>
      </c>
      <c r="F1300">
        <v>27</v>
      </c>
      <c r="G1300" s="1">
        <v>43714</v>
      </c>
      <c r="H1300">
        <v>59</v>
      </c>
      <c r="I1300" t="s">
        <v>3735</v>
      </c>
      <c r="J1300">
        <v>213</v>
      </c>
      <c r="K1300">
        <v>2</v>
      </c>
      <c r="L1300">
        <v>0</v>
      </c>
      <c r="M1300">
        <v>0</v>
      </c>
      <c r="N1300" t="s">
        <v>21</v>
      </c>
      <c r="O1300">
        <v>2019</v>
      </c>
      <c r="P1300" t="s">
        <v>18</v>
      </c>
    </row>
    <row r="1301" spans="1:16" x14ac:dyDescent="0.3">
      <c r="A1301">
        <v>190</v>
      </c>
      <c r="B1301" t="s">
        <v>1443</v>
      </c>
      <c r="C1301" t="s">
        <v>3736</v>
      </c>
      <c r="D1301" t="str">
        <f>VLOOKUP(YouTube_University_Data_Final[[#This Row],[Title]],[1]!YouTube_University_Data_Final[[Title]:[Title_language]],2,FALSE)</f>
        <v>Bilingual</v>
      </c>
      <c r="E1301" t="s">
        <v>3737</v>
      </c>
      <c r="F1301">
        <v>27</v>
      </c>
      <c r="G1301" s="1">
        <v>43682</v>
      </c>
      <c r="H1301">
        <v>282</v>
      </c>
      <c r="I1301" t="s">
        <v>3365</v>
      </c>
      <c r="J1301">
        <v>708</v>
      </c>
      <c r="K1301">
        <v>8</v>
      </c>
      <c r="L1301">
        <v>0</v>
      </c>
      <c r="M1301">
        <v>0</v>
      </c>
      <c r="N1301" t="s">
        <v>48</v>
      </c>
      <c r="O1301">
        <v>2019</v>
      </c>
      <c r="P1301" t="s">
        <v>18</v>
      </c>
    </row>
    <row r="1302" spans="1:16" x14ac:dyDescent="0.3">
      <c r="A1302">
        <v>191</v>
      </c>
      <c r="B1302" t="s">
        <v>1443</v>
      </c>
      <c r="C1302" t="s">
        <v>3738</v>
      </c>
      <c r="D1302" t="str">
        <f>VLOOKUP(YouTube_University_Data_Final[[#This Row],[Title]],[1]!YouTube_University_Data_Final[[Title]:[Title_language]],2,FALSE)</f>
        <v>Chinese</v>
      </c>
      <c r="E1302" t="s">
        <v>3739</v>
      </c>
      <c r="F1302">
        <v>27</v>
      </c>
      <c r="G1302" s="1">
        <v>43676</v>
      </c>
      <c r="H1302">
        <v>71</v>
      </c>
      <c r="I1302" t="s">
        <v>3365</v>
      </c>
      <c r="J1302">
        <v>261</v>
      </c>
      <c r="K1302">
        <v>5</v>
      </c>
      <c r="L1302">
        <v>0</v>
      </c>
      <c r="M1302">
        <v>0</v>
      </c>
      <c r="N1302" t="s">
        <v>56</v>
      </c>
      <c r="O1302">
        <v>2019</v>
      </c>
      <c r="P1302" t="s">
        <v>18</v>
      </c>
    </row>
    <row r="1303" spans="1:16" x14ac:dyDescent="0.3">
      <c r="A1303">
        <v>192</v>
      </c>
      <c r="B1303" t="s">
        <v>1443</v>
      </c>
      <c r="C1303" t="s">
        <v>3740</v>
      </c>
      <c r="D1303" t="str">
        <f>VLOOKUP(YouTube_University_Data_Final[[#This Row],[Title]],[1]!YouTube_University_Data_Final[[Title]:[Title_language]],2,FALSE)</f>
        <v>Bilingual</v>
      </c>
      <c r="E1303" t="s">
        <v>3741</v>
      </c>
      <c r="F1303">
        <v>27</v>
      </c>
      <c r="G1303" s="1">
        <v>43670</v>
      </c>
      <c r="H1303">
        <v>107</v>
      </c>
      <c r="I1303" t="s">
        <v>3742</v>
      </c>
      <c r="J1303">
        <v>1452</v>
      </c>
      <c r="K1303">
        <v>18</v>
      </c>
      <c r="L1303">
        <v>0</v>
      </c>
      <c r="M1303">
        <v>0</v>
      </c>
      <c r="N1303" t="s">
        <v>56</v>
      </c>
      <c r="O1303">
        <v>2019</v>
      </c>
      <c r="P1303" t="s">
        <v>18</v>
      </c>
    </row>
    <row r="1304" spans="1:16" x14ac:dyDescent="0.3">
      <c r="A1304">
        <v>193</v>
      </c>
      <c r="B1304" t="s">
        <v>1443</v>
      </c>
      <c r="C1304" t="s">
        <v>3743</v>
      </c>
      <c r="D1304" t="str">
        <f>VLOOKUP(YouTube_University_Data_Final[[#This Row],[Title]],[1]!YouTube_University_Data_Final[[Title]:[Title_language]],2,FALSE)</f>
        <v>Bilingual</v>
      </c>
      <c r="E1304" t="s">
        <v>3744</v>
      </c>
      <c r="F1304">
        <v>27</v>
      </c>
      <c r="G1304" s="1">
        <v>43661</v>
      </c>
      <c r="H1304">
        <v>188</v>
      </c>
      <c r="I1304" t="s">
        <v>3745</v>
      </c>
      <c r="J1304">
        <v>105</v>
      </c>
      <c r="K1304">
        <v>0</v>
      </c>
      <c r="L1304">
        <v>0</v>
      </c>
      <c r="M1304">
        <v>0</v>
      </c>
      <c r="N1304" t="s">
        <v>56</v>
      </c>
      <c r="O1304">
        <v>2019</v>
      </c>
      <c r="P1304" t="s">
        <v>18</v>
      </c>
    </row>
    <row r="1305" spans="1:16" x14ac:dyDescent="0.3">
      <c r="A1305">
        <v>194</v>
      </c>
      <c r="B1305" t="s">
        <v>1443</v>
      </c>
      <c r="C1305" t="s">
        <v>3746</v>
      </c>
      <c r="D1305" t="str">
        <f>VLOOKUP(YouTube_University_Data_Final[[#This Row],[Title]],[1]!YouTube_University_Data_Final[[Title]:[Title_language]],2,FALSE)</f>
        <v>Chinese</v>
      </c>
      <c r="E1305" t="s">
        <v>3747</v>
      </c>
      <c r="F1305">
        <v>27</v>
      </c>
      <c r="G1305" s="1">
        <v>43628</v>
      </c>
      <c r="H1305">
        <v>5171</v>
      </c>
      <c r="I1305" t="s">
        <v>3365</v>
      </c>
      <c r="J1305">
        <v>921</v>
      </c>
      <c r="K1305">
        <v>8</v>
      </c>
      <c r="L1305">
        <v>0</v>
      </c>
      <c r="M1305">
        <v>0</v>
      </c>
      <c r="N1305" t="s">
        <v>78</v>
      </c>
      <c r="O1305">
        <v>2019</v>
      </c>
      <c r="P1305" t="s">
        <v>18</v>
      </c>
    </row>
    <row r="1306" spans="1:16" x14ac:dyDescent="0.3">
      <c r="A1306">
        <v>195</v>
      </c>
      <c r="B1306" t="s">
        <v>1443</v>
      </c>
      <c r="C1306" t="s">
        <v>3748</v>
      </c>
      <c r="D1306" t="str">
        <f>VLOOKUP(YouTube_University_Data_Final[[#This Row],[Title]],[1]!YouTube_University_Data_Final[[Title]:[Title_language]],2,FALSE)</f>
        <v>Bilingual</v>
      </c>
      <c r="E1306" t="s">
        <v>3749</v>
      </c>
      <c r="F1306">
        <v>27</v>
      </c>
      <c r="G1306" s="1">
        <v>43626</v>
      </c>
      <c r="H1306">
        <v>137</v>
      </c>
      <c r="I1306" t="s">
        <v>3365</v>
      </c>
      <c r="J1306">
        <v>1280</v>
      </c>
      <c r="K1306">
        <v>24</v>
      </c>
      <c r="L1306">
        <v>0</v>
      </c>
      <c r="M1306">
        <v>0</v>
      </c>
      <c r="N1306" t="s">
        <v>78</v>
      </c>
      <c r="O1306">
        <v>2019</v>
      </c>
      <c r="P1306" t="s">
        <v>18</v>
      </c>
    </row>
    <row r="1307" spans="1:16" x14ac:dyDescent="0.3">
      <c r="A1307">
        <v>196</v>
      </c>
      <c r="B1307" t="s">
        <v>1443</v>
      </c>
      <c r="C1307" t="s">
        <v>3750</v>
      </c>
      <c r="D1307" t="str">
        <f>VLOOKUP(YouTube_University_Data_Final[[#This Row],[Title]],[1]!YouTube_University_Data_Final[[Title]:[Title_language]],2,FALSE)</f>
        <v>Chinese</v>
      </c>
      <c r="E1307" t="s">
        <v>3751</v>
      </c>
      <c r="F1307">
        <v>27</v>
      </c>
      <c r="G1307" s="1">
        <v>43621</v>
      </c>
      <c r="H1307">
        <v>5946</v>
      </c>
      <c r="I1307" t="s">
        <v>3752</v>
      </c>
      <c r="J1307">
        <v>4586</v>
      </c>
      <c r="K1307">
        <v>82</v>
      </c>
      <c r="L1307">
        <v>0</v>
      </c>
      <c r="M1307">
        <v>0</v>
      </c>
      <c r="N1307" t="s">
        <v>78</v>
      </c>
      <c r="O1307">
        <v>2019</v>
      </c>
      <c r="P1307" t="s">
        <v>18</v>
      </c>
    </row>
    <row r="1308" spans="1:16" x14ac:dyDescent="0.3">
      <c r="A1308">
        <v>197</v>
      </c>
      <c r="B1308" t="s">
        <v>1443</v>
      </c>
      <c r="C1308" t="s">
        <v>3753</v>
      </c>
      <c r="D1308" t="str">
        <f>VLOOKUP(YouTube_University_Data_Final[[#This Row],[Title]],[1]!YouTube_University_Data_Final[[Title]:[Title_language]],2,FALSE)</f>
        <v>Chinese</v>
      </c>
      <c r="E1308" t="s">
        <v>3754</v>
      </c>
      <c r="F1308">
        <v>27</v>
      </c>
      <c r="G1308" s="1">
        <v>43621</v>
      </c>
      <c r="H1308">
        <v>108</v>
      </c>
      <c r="I1308" t="s">
        <v>3755</v>
      </c>
      <c r="J1308">
        <v>152</v>
      </c>
      <c r="K1308">
        <v>1</v>
      </c>
      <c r="L1308">
        <v>0</v>
      </c>
      <c r="M1308">
        <v>0</v>
      </c>
      <c r="N1308" t="s">
        <v>78</v>
      </c>
      <c r="O1308">
        <v>2019</v>
      </c>
      <c r="P1308" t="s">
        <v>18</v>
      </c>
    </row>
    <row r="1309" spans="1:16" x14ac:dyDescent="0.3">
      <c r="A1309">
        <v>198</v>
      </c>
      <c r="B1309" t="s">
        <v>1443</v>
      </c>
      <c r="C1309" t="s">
        <v>3756</v>
      </c>
      <c r="D1309" t="str">
        <f>VLOOKUP(YouTube_University_Data_Final[[#This Row],[Title]],[1]!YouTube_University_Data_Final[[Title]:[Title_language]],2,FALSE)</f>
        <v>Bilingual</v>
      </c>
      <c r="E1309" t="s">
        <v>3757</v>
      </c>
      <c r="F1309">
        <v>27</v>
      </c>
      <c r="G1309" s="1">
        <v>43612</v>
      </c>
      <c r="H1309">
        <v>99</v>
      </c>
      <c r="I1309" t="s">
        <v>3758</v>
      </c>
      <c r="J1309">
        <v>365</v>
      </c>
      <c r="K1309">
        <v>5</v>
      </c>
      <c r="L1309">
        <v>0</v>
      </c>
      <c r="M1309">
        <v>0</v>
      </c>
      <c r="N1309" t="s">
        <v>81</v>
      </c>
      <c r="O1309">
        <v>2019</v>
      </c>
      <c r="P1309" t="s">
        <v>18</v>
      </c>
    </row>
    <row r="1310" spans="1:16" x14ac:dyDescent="0.3">
      <c r="A1310">
        <v>199</v>
      </c>
      <c r="B1310" t="s">
        <v>1443</v>
      </c>
      <c r="C1310" t="s">
        <v>3759</v>
      </c>
      <c r="D1310" t="str">
        <f>VLOOKUP(YouTube_University_Data_Final[[#This Row],[Title]],[1]!YouTube_University_Data_Final[[Title]:[Title_language]],2,FALSE)</f>
        <v>Bilingual</v>
      </c>
      <c r="E1310" t="s">
        <v>3760</v>
      </c>
      <c r="F1310">
        <v>27</v>
      </c>
      <c r="G1310" s="1">
        <v>43599</v>
      </c>
      <c r="H1310">
        <v>848</v>
      </c>
      <c r="I1310" t="s">
        <v>3365</v>
      </c>
      <c r="J1310">
        <v>175</v>
      </c>
      <c r="K1310">
        <v>3</v>
      </c>
      <c r="L1310">
        <v>0</v>
      </c>
      <c r="M1310">
        <v>0</v>
      </c>
      <c r="N1310" t="s">
        <v>81</v>
      </c>
      <c r="O1310">
        <v>2019</v>
      </c>
      <c r="P1310" t="s">
        <v>18</v>
      </c>
    </row>
    <row r="1311" spans="1:16" x14ac:dyDescent="0.3">
      <c r="A1311">
        <v>200</v>
      </c>
      <c r="B1311" t="s">
        <v>1443</v>
      </c>
      <c r="C1311" t="s">
        <v>3761</v>
      </c>
      <c r="D1311" t="str">
        <f>VLOOKUP(YouTube_University_Data_Final[[#This Row],[Title]],[1]!YouTube_University_Data_Final[[Title]:[Title_language]],2,FALSE)</f>
        <v>Bilingual</v>
      </c>
      <c r="E1311" t="s">
        <v>3762</v>
      </c>
      <c r="F1311">
        <v>27</v>
      </c>
      <c r="G1311" s="1">
        <v>43599</v>
      </c>
      <c r="H1311">
        <v>79</v>
      </c>
      <c r="I1311" t="s">
        <v>3763</v>
      </c>
      <c r="J1311">
        <v>391</v>
      </c>
      <c r="K1311">
        <v>3</v>
      </c>
      <c r="L1311">
        <v>0</v>
      </c>
      <c r="M1311">
        <v>0</v>
      </c>
      <c r="N1311" t="s">
        <v>81</v>
      </c>
      <c r="O1311">
        <v>2019</v>
      </c>
      <c r="P1311" t="s">
        <v>18</v>
      </c>
    </row>
    <row r="1312" spans="1:16" x14ac:dyDescent="0.3">
      <c r="A1312">
        <v>201</v>
      </c>
      <c r="B1312" t="s">
        <v>1443</v>
      </c>
      <c r="C1312" t="s">
        <v>3764</v>
      </c>
      <c r="D1312" t="str">
        <f>VLOOKUP(YouTube_University_Data_Final[[#This Row],[Title]],[1]!YouTube_University_Data_Final[[Title]:[Title_language]],2,FALSE)</f>
        <v>Bilingual</v>
      </c>
      <c r="E1312" t="s">
        <v>3765</v>
      </c>
      <c r="F1312">
        <v>27</v>
      </c>
      <c r="G1312" s="1">
        <v>43585</v>
      </c>
      <c r="H1312">
        <v>85</v>
      </c>
      <c r="I1312" t="s">
        <v>3365</v>
      </c>
      <c r="J1312">
        <v>235</v>
      </c>
      <c r="K1312">
        <v>3</v>
      </c>
      <c r="L1312">
        <v>0</v>
      </c>
      <c r="M1312">
        <v>0</v>
      </c>
      <c r="N1312" t="s">
        <v>87</v>
      </c>
      <c r="O1312">
        <v>2019</v>
      </c>
      <c r="P1312" t="s">
        <v>18</v>
      </c>
    </row>
    <row r="1313" spans="1:16" x14ac:dyDescent="0.3">
      <c r="A1313">
        <v>202</v>
      </c>
      <c r="B1313" t="s">
        <v>1443</v>
      </c>
      <c r="C1313" t="s">
        <v>3766</v>
      </c>
      <c r="D1313" t="str">
        <f>VLOOKUP(YouTube_University_Data_Final[[#This Row],[Title]],[1]!YouTube_University_Data_Final[[Title]:[Title_language]],2,FALSE)</f>
        <v>Bilingual</v>
      </c>
      <c r="E1313" t="s">
        <v>3767</v>
      </c>
      <c r="F1313">
        <v>27</v>
      </c>
      <c r="G1313" s="1">
        <v>43573</v>
      </c>
      <c r="H1313">
        <v>115</v>
      </c>
      <c r="I1313" t="s">
        <v>3768</v>
      </c>
      <c r="J1313">
        <v>487</v>
      </c>
      <c r="K1313">
        <v>16</v>
      </c>
      <c r="L1313">
        <v>0</v>
      </c>
      <c r="M1313">
        <v>0</v>
      </c>
      <c r="N1313" t="s">
        <v>87</v>
      </c>
      <c r="O1313">
        <v>2019</v>
      </c>
      <c r="P1313" t="s">
        <v>18</v>
      </c>
    </row>
    <row r="1314" spans="1:16" x14ac:dyDescent="0.3">
      <c r="A1314">
        <v>203</v>
      </c>
      <c r="B1314" t="s">
        <v>1443</v>
      </c>
      <c r="C1314" t="s">
        <v>3769</v>
      </c>
      <c r="D1314" t="str">
        <f>VLOOKUP(YouTube_University_Data_Final[[#This Row],[Title]],[1]!YouTube_University_Data_Final[[Title]:[Title_language]],2,FALSE)</f>
        <v>Bilingual</v>
      </c>
      <c r="E1314" t="s">
        <v>3770</v>
      </c>
      <c r="F1314">
        <v>27</v>
      </c>
      <c r="G1314" s="1">
        <v>43573</v>
      </c>
      <c r="H1314">
        <v>102</v>
      </c>
      <c r="I1314" t="s">
        <v>3365</v>
      </c>
      <c r="J1314">
        <v>2126</v>
      </c>
      <c r="K1314">
        <v>21</v>
      </c>
      <c r="L1314">
        <v>0</v>
      </c>
      <c r="M1314">
        <v>0</v>
      </c>
      <c r="N1314" t="s">
        <v>87</v>
      </c>
      <c r="O1314">
        <v>2019</v>
      </c>
      <c r="P1314" t="s">
        <v>18</v>
      </c>
    </row>
    <row r="1315" spans="1:16" x14ac:dyDescent="0.3">
      <c r="A1315">
        <v>204</v>
      </c>
      <c r="B1315" t="s">
        <v>1443</v>
      </c>
      <c r="C1315" t="s">
        <v>3771</v>
      </c>
      <c r="D1315" t="str">
        <f>VLOOKUP(YouTube_University_Data_Final[[#This Row],[Title]],[1]!YouTube_University_Data_Final[[Title]:[Title_language]],2,FALSE)</f>
        <v>Chinese</v>
      </c>
      <c r="E1315" t="s">
        <v>3772</v>
      </c>
      <c r="F1315">
        <v>27</v>
      </c>
      <c r="G1315" s="1">
        <v>43573</v>
      </c>
      <c r="H1315">
        <v>5632</v>
      </c>
      <c r="I1315" t="s">
        <v>3773</v>
      </c>
      <c r="J1315">
        <v>1259</v>
      </c>
      <c r="K1315">
        <v>24</v>
      </c>
      <c r="L1315">
        <v>0</v>
      </c>
      <c r="M1315">
        <v>0</v>
      </c>
      <c r="N1315" t="s">
        <v>87</v>
      </c>
      <c r="O1315">
        <v>2019</v>
      </c>
      <c r="P1315" t="s">
        <v>18</v>
      </c>
    </row>
    <row r="1316" spans="1:16" x14ac:dyDescent="0.3">
      <c r="A1316">
        <v>205</v>
      </c>
      <c r="B1316" t="s">
        <v>1443</v>
      </c>
      <c r="C1316" t="s">
        <v>3774</v>
      </c>
      <c r="D1316" t="str">
        <f>VLOOKUP(YouTube_University_Data_Final[[#This Row],[Title]],[1]!YouTube_University_Data_Final[[Title]:[Title_language]],2,FALSE)</f>
        <v>Bilingual</v>
      </c>
      <c r="E1316" t="s">
        <v>3775</v>
      </c>
      <c r="F1316">
        <v>27</v>
      </c>
      <c r="G1316" s="1">
        <v>43546</v>
      </c>
      <c r="H1316">
        <v>127</v>
      </c>
      <c r="I1316" t="s">
        <v>3365</v>
      </c>
      <c r="J1316">
        <v>3429</v>
      </c>
      <c r="K1316">
        <v>23</v>
      </c>
      <c r="L1316">
        <v>0</v>
      </c>
      <c r="M1316">
        <v>0</v>
      </c>
      <c r="N1316" t="s">
        <v>90</v>
      </c>
      <c r="O1316">
        <v>2019</v>
      </c>
      <c r="P1316" t="s">
        <v>18</v>
      </c>
    </row>
    <row r="1317" spans="1:16" x14ac:dyDescent="0.3">
      <c r="A1317">
        <v>206</v>
      </c>
      <c r="B1317" t="s">
        <v>1443</v>
      </c>
      <c r="C1317" t="s">
        <v>3776</v>
      </c>
      <c r="D1317" t="str">
        <f>VLOOKUP(YouTube_University_Data_Final[[#This Row],[Title]],[1]!YouTube_University_Data_Final[[Title]:[Title_language]],2,FALSE)</f>
        <v>Chinese</v>
      </c>
      <c r="E1317" t="s">
        <v>3777</v>
      </c>
      <c r="F1317">
        <v>27</v>
      </c>
      <c r="G1317" s="1">
        <v>43524</v>
      </c>
      <c r="H1317">
        <v>4497</v>
      </c>
      <c r="I1317" t="s">
        <v>3365</v>
      </c>
      <c r="J1317">
        <v>1922</v>
      </c>
      <c r="K1317">
        <v>28</v>
      </c>
      <c r="L1317">
        <v>0</v>
      </c>
      <c r="M1317">
        <v>0</v>
      </c>
      <c r="N1317" t="s">
        <v>162</v>
      </c>
      <c r="O1317">
        <v>2019</v>
      </c>
      <c r="P1317" t="s">
        <v>18</v>
      </c>
    </row>
    <row r="1318" spans="1:16" x14ac:dyDescent="0.3">
      <c r="A1318">
        <v>207</v>
      </c>
      <c r="B1318" t="s">
        <v>1443</v>
      </c>
      <c r="C1318" t="s">
        <v>3778</v>
      </c>
      <c r="D1318" t="str">
        <f>VLOOKUP(YouTube_University_Data_Final[[#This Row],[Title]],[1]!YouTube_University_Data_Final[[Title]:[Title_language]],2,FALSE)</f>
        <v>Bilingual</v>
      </c>
      <c r="E1318" t="s">
        <v>3779</v>
      </c>
      <c r="F1318">
        <v>27</v>
      </c>
      <c r="G1318" s="1">
        <v>43515</v>
      </c>
      <c r="H1318">
        <v>147</v>
      </c>
      <c r="I1318" t="s">
        <v>3365</v>
      </c>
      <c r="J1318">
        <v>322</v>
      </c>
      <c r="K1318">
        <v>1</v>
      </c>
      <c r="L1318">
        <v>0</v>
      </c>
      <c r="M1318">
        <v>0</v>
      </c>
      <c r="N1318" t="s">
        <v>162</v>
      </c>
      <c r="O1318">
        <v>2019</v>
      </c>
      <c r="P1318" t="s">
        <v>18</v>
      </c>
    </row>
    <row r="1319" spans="1:16" x14ac:dyDescent="0.3">
      <c r="A1319">
        <v>208</v>
      </c>
      <c r="B1319" t="s">
        <v>1443</v>
      </c>
      <c r="C1319" t="s">
        <v>3780</v>
      </c>
      <c r="D1319" t="str">
        <f>VLOOKUP(YouTube_University_Data_Final[[#This Row],[Title]],[1]!YouTube_University_Data_Final[[Title]:[Title_language]],2,FALSE)</f>
        <v>Bilingual</v>
      </c>
      <c r="E1319" t="s">
        <v>3724</v>
      </c>
      <c r="F1319">
        <v>27</v>
      </c>
      <c r="G1319" s="1">
        <v>43515</v>
      </c>
      <c r="H1319">
        <v>101</v>
      </c>
      <c r="I1319" t="s">
        <v>3365</v>
      </c>
      <c r="J1319">
        <v>168</v>
      </c>
      <c r="K1319">
        <v>0</v>
      </c>
      <c r="L1319">
        <v>0</v>
      </c>
      <c r="M1319">
        <v>0</v>
      </c>
      <c r="N1319" t="s">
        <v>162</v>
      </c>
      <c r="O1319">
        <v>2019</v>
      </c>
      <c r="P1319" t="s">
        <v>18</v>
      </c>
    </row>
    <row r="1320" spans="1:16" x14ac:dyDescent="0.3">
      <c r="A1320">
        <v>209</v>
      </c>
      <c r="B1320" t="s">
        <v>1443</v>
      </c>
      <c r="C1320" t="s">
        <v>3781</v>
      </c>
      <c r="D1320" t="str">
        <f>VLOOKUP(YouTube_University_Data_Final[[#This Row],[Title]],[1]!YouTube_University_Data_Final[[Title]:[Title_language]],2,FALSE)</f>
        <v>Bilingual</v>
      </c>
      <c r="E1320" t="s">
        <v>3724</v>
      </c>
      <c r="F1320">
        <v>27</v>
      </c>
      <c r="G1320" s="1">
        <v>43515</v>
      </c>
      <c r="H1320">
        <v>24</v>
      </c>
      <c r="I1320" t="s">
        <v>3365</v>
      </c>
      <c r="J1320">
        <v>167</v>
      </c>
      <c r="K1320">
        <v>0</v>
      </c>
      <c r="L1320">
        <v>0</v>
      </c>
      <c r="M1320">
        <v>0</v>
      </c>
      <c r="N1320" t="s">
        <v>162</v>
      </c>
      <c r="O1320">
        <v>2019</v>
      </c>
      <c r="P1320" t="s">
        <v>18</v>
      </c>
    </row>
    <row r="1321" spans="1:16" x14ac:dyDescent="0.3">
      <c r="A1321">
        <v>210</v>
      </c>
      <c r="B1321" t="s">
        <v>1443</v>
      </c>
      <c r="C1321" t="s">
        <v>3782</v>
      </c>
      <c r="D1321" t="str">
        <f>VLOOKUP(YouTube_University_Data_Final[[#This Row],[Title]],[1]!YouTube_University_Data_Final[[Title]:[Title_language]],2,FALSE)</f>
        <v>Chinese</v>
      </c>
      <c r="E1321" t="s">
        <v>3783</v>
      </c>
      <c r="F1321">
        <v>27</v>
      </c>
      <c r="G1321" s="1">
        <v>43497</v>
      </c>
      <c r="H1321">
        <v>58</v>
      </c>
      <c r="I1321" t="s">
        <v>3784</v>
      </c>
      <c r="J1321">
        <v>4879</v>
      </c>
      <c r="K1321">
        <v>13</v>
      </c>
      <c r="L1321">
        <v>0</v>
      </c>
      <c r="M1321">
        <v>0</v>
      </c>
      <c r="N1321" t="s">
        <v>162</v>
      </c>
      <c r="O1321">
        <v>2019</v>
      </c>
      <c r="P1321" t="s">
        <v>18</v>
      </c>
    </row>
    <row r="1322" spans="1:16" x14ac:dyDescent="0.3">
      <c r="A1322">
        <v>211</v>
      </c>
      <c r="B1322" t="s">
        <v>1443</v>
      </c>
      <c r="C1322" t="s">
        <v>3785</v>
      </c>
      <c r="D1322" t="str">
        <f>VLOOKUP(YouTube_University_Data_Final[[#This Row],[Title]],[1]!YouTube_University_Data_Final[[Title]:[Title_language]],2,FALSE)</f>
        <v>Bilingual</v>
      </c>
      <c r="E1322" t="s">
        <v>3786</v>
      </c>
      <c r="F1322">
        <v>27</v>
      </c>
      <c r="G1322" s="1">
        <v>43497</v>
      </c>
      <c r="H1322">
        <v>178</v>
      </c>
      <c r="I1322" t="s">
        <v>3787</v>
      </c>
      <c r="J1322">
        <v>4908</v>
      </c>
      <c r="K1322">
        <v>20</v>
      </c>
      <c r="L1322">
        <v>0</v>
      </c>
      <c r="M1322">
        <v>0</v>
      </c>
      <c r="N1322" t="s">
        <v>162</v>
      </c>
      <c r="O1322">
        <v>2019</v>
      </c>
      <c r="P1322" t="s">
        <v>18</v>
      </c>
    </row>
    <row r="1323" spans="1:16" x14ac:dyDescent="0.3">
      <c r="A1323">
        <v>212</v>
      </c>
      <c r="B1323" t="s">
        <v>1443</v>
      </c>
      <c r="C1323" t="s">
        <v>3788</v>
      </c>
      <c r="D1323" t="str">
        <f>VLOOKUP(YouTube_University_Data_Final[[#This Row],[Title]],[1]!YouTube_University_Data_Final[[Title]:[Title_language]],2,FALSE)</f>
        <v>Chinese</v>
      </c>
      <c r="E1323" t="s">
        <v>3789</v>
      </c>
      <c r="F1323">
        <v>27</v>
      </c>
      <c r="G1323" s="1">
        <v>43490</v>
      </c>
      <c r="H1323">
        <v>4950</v>
      </c>
      <c r="I1323" t="s">
        <v>3365</v>
      </c>
      <c r="J1323">
        <v>7693</v>
      </c>
      <c r="K1323">
        <v>50</v>
      </c>
      <c r="L1323">
        <v>0</v>
      </c>
      <c r="M1323">
        <v>0</v>
      </c>
      <c r="N1323" t="s">
        <v>93</v>
      </c>
      <c r="O1323">
        <v>2019</v>
      </c>
      <c r="P1323" t="s">
        <v>18</v>
      </c>
    </row>
    <row r="1324" spans="1:16" x14ac:dyDescent="0.3">
      <c r="A1324">
        <v>213</v>
      </c>
      <c r="B1324" t="s">
        <v>1443</v>
      </c>
      <c r="C1324" t="s">
        <v>3790</v>
      </c>
      <c r="D1324" t="str">
        <f>VLOOKUP(YouTube_University_Data_Final[[#This Row],[Title]],[1]!YouTube_University_Data_Final[[Title]:[Title_language]],2,FALSE)</f>
        <v>Bilingual</v>
      </c>
      <c r="E1324" t="s">
        <v>3791</v>
      </c>
      <c r="F1324">
        <v>27</v>
      </c>
      <c r="G1324" s="1">
        <v>43482</v>
      </c>
      <c r="H1324">
        <v>32</v>
      </c>
      <c r="I1324" t="s">
        <v>3792</v>
      </c>
      <c r="J1324">
        <v>760</v>
      </c>
      <c r="K1324">
        <v>0</v>
      </c>
      <c r="L1324">
        <v>0</v>
      </c>
      <c r="M1324">
        <v>0</v>
      </c>
      <c r="N1324" t="s">
        <v>93</v>
      </c>
      <c r="O1324">
        <v>2019</v>
      </c>
      <c r="P1324" t="s">
        <v>18</v>
      </c>
    </row>
    <row r="1325" spans="1:16" x14ac:dyDescent="0.3">
      <c r="A1325">
        <v>214</v>
      </c>
      <c r="B1325" t="s">
        <v>1443</v>
      </c>
      <c r="C1325" t="s">
        <v>3793</v>
      </c>
      <c r="D1325" t="str">
        <f>VLOOKUP(YouTube_University_Data_Final[[#This Row],[Title]],[1]!YouTube_University_Data_Final[[Title]:[Title_language]],2,FALSE)</f>
        <v>Bilingual</v>
      </c>
      <c r="E1325" t="s">
        <v>3794</v>
      </c>
      <c r="F1325">
        <v>27</v>
      </c>
      <c r="G1325" s="1">
        <v>43482</v>
      </c>
      <c r="H1325">
        <v>136</v>
      </c>
      <c r="I1325" t="s">
        <v>3795</v>
      </c>
      <c r="J1325">
        <v>658</v>
      </c>
      <c r="K1325">
        <v>4</v>
      </c>
      <c r="L1325">
        <v>0</v>
      </c>
      <c r="M1325">
        <v>0</v>
      </c>
      <c r="N1325" t="s">
        <v>93</v>
      </c>
      <c r="O1325">
        <v>2019</v>
      </c>
      <c r="P1325" t="s">
        <v>18</v>
      </c>
    </row>
    <row r="1326" spans="1:16" x14ac:dyDescent="0.3">
      <c r="A1326">
        <v>215</v>
      </c>
      <c r="B1326" t="s">
        <v>1443</v>
      </c>
      <c r="C1326" t="s">
        <v>3796</v>
      </c>
      <c r="D1326" t="str">
        <f>VLOOKUP(YouTube_University_Data_Final[[#This Row],[Title]],[1]!YouTube_University_Data_Final[[Title]:[Title_language]],2,FALSE)</f>
        <v>Chinese</v>
      </c>
      <c r="E1326" t="s">
        <v>3797</v>
      </c>
      <c r="F1326">
        <v>27</v>
      </c>
      <c r="G1326" s="1">
        <v>43472</v>
      </c>
      <c r="H1326">
        <v>172</v>
      </c>
      <c r="I1326" t="s">
        <v>3798</v>
      </c>
      <c r="J1326">
        <v>8057</v>
      </c>
      <c r="K1326">
        <v>26</v>
      </c>
      <c r="L1326">
        <v>0</v>
      </c>
      <c r="M1326">
        <v>0</v>
      </c>
      <c r="N1326" t="s">
        <v>93</v>
      </c>
      <c r="O1326">
        <v>2019</v>
      </c>
      <c r="P1326" t="s">
        <v>18</v>
      </c>
    </row>
    <row r="1327" spans="1:16" x14ac:dyDescent="0.3">
      <c r="A1327">
        <v>216</v>
      </c>
      <c r="B1327" t="s">
        <v>1443</v>
      </c>
      <c r="C1327" t="s">
        <v>3799</v>
      </c>
      <c r="D1327" t="str">
        <f>VLOOKUP(YouTube_University_Data_Final[[#This Row],[Title]],[1]!YouTube_University_Data_Final[[Title]:[Title_language]],2,FALSE)</f>
        <v>Bilingual</v>
      </c>
      <c r="E1327" t="s">
        <v>3800</v>
      </c>
      <c r="F1327">
        <v>27</v>
      </c>
      <c r="G1327" s="1">
        <v>43437</v>
      </c>
      <c r="H1327">
        <v>204</v>
      </c>
      <c r="I1327" t="s">
        <v>3365</v>
      </c>
      <c r="J1327">
        <v>229</v>
      </c>
      <c r="K1327">
        <v>3</v>
      </c>
      <c r="L1327">
        <v>0</v>
      </c>
      <c r="M1327">
        <v>0</v>
      </c>
      <c r="N1327" t="s">
        <v>98</v>
      </c>
      <c r="O1327">
        <v>2018</v>
      </c>
      <c r="P1327" t="s">
        <v>18</v>
      </c>
    </row>
    <row r="1328" spans="1:16" x14ac:dyDescent="0.3">
      <c r="A1328">
        <v>217</v>
      </c>
      <c r="B1328" t="s">
        <v>1443</v>
      </c>
      <c r="C1328" t="s">
        <v>3801</v>
      </c>
      <c r="D1328" t="str">
        <f>VLOOKUP(YouTube_University_Data_Final[[#This Row],[Title]],[1]!YouTube_University_Data_Final[[Title]:[Title_language]],2,FALSE)</f>
        <v>Bilingual</v>
      </c>
      <c r="E1328" t="s">
        <v>3802</v>
      </c>
      <c r="F1328">
        <v>27</v>
      </c>
      <c r="G1328" s="1">
        <v>43432</v>
      </c>
      <c r="H1328">
        <v>87</v>
      </c>
      <c r="I1328" t="s">
        <v>3365</v>
      </c>
      <c r="J1328">
        <v>583</v>
      </c>
      <c r="K1328">
        <v>5</v>
      </c>
      <c r="L1328">
        <v>0</v>
      </c>
      <c r="M1328">
        <v>0</v>
      </c>
      <c r="N1328" t="s">
        <v>101</v>
      </c>
      <c r="O1328">
        <v>2018</v>
      </c>
      <c r="P1328" t="s">
        <v>18</v>
      </c>
    </row>
    <row r="1329" spans="1:16" x14ac:dyDescent="0.3">
      <c r="A1329">
        <v>218</v>
      </c>
      <c r="B1329" t="s">
        <v>1443</v>
      </c>
      <c r="C1329" t="s">
        <v>3803</v>
      </c>
      <c r="D1329" t="str">
        <f>VLOOKUP(YouTube_University_Data_Final[[#This Row],[Title]],[1]!YouTube_University_Data_Final[[Title]:[Title_language]],2,FALSE)</f>
        <v>Bilingual</v>
      </c>
      <c r="E1329" t="s">
        <v>3804</v>
      </c>
      <c r="F1329">
        <v>27</v>
      </c>
      <c r="G1329" s="1">
        <v>43425</v>
      </c>
      <c r="H1329">
        <v>198</v>
      </c>
      <c r="I1329" t="s">
        <v>3365</v>
      </c>
      <c r="J1329">
        <v>130</v>
      </c>
      <c r="K1329">
        <v>0</v>
      </c>
      <c r="L1329">
        <v>0</v>
      </c>
      <c r="M1329">
        <v>0</v>
      </c>
      <c r="N1329" t="s">
        <v>101</v>
      </c>
      <c r="O1329">
        <v>2018</v>
      </c>
      <c r="P1329" t="s">
        <v>18</v>
      </c>
    </row>
    <row r="1330" spans="1:16" x14ac:dyDescent="0.3">
      <c r="A1330">
        <v>219</v>
      </c>
      <c r="B1330" t="s">
        <v>1443</v>
      </c>
      <c r="C1330" t="s">
        <v>3805</v>
      </c>
      <c r="D1330" t="str">
        <f>VLOOKUP(YouTube_University_Data_Final[[#This Row],[Title]],[1]!YouTube_University_Data_Final[[Title]:[Title_language]],2,FALSE)</f>
        <v>Bilingual</v>
      </c>
      <c r="E1330" t="s">
        <v>3806</v>
      </c>
      <c r="F1330">
        <v>27</v>
      </c>
      <c r="G1330" s="1">
        <v>43419</v>
      </c>
      <c r="H1330">
        <v>200</v>
      </c>
      <c r="I1330" t="s">
        <v>3807</v>
      </c>
      <c r="J1330">
        <v>2349</v>
      </c>
      <c r="K1330">
        <v>16</v>
      </c>
      <c r="L1330">
        <v>0</v>
      </c>
      <c r="M1330">
        <v>0</v>
      </c>
      <c r="N1330" t="s">
        <v>101</v>
      </c>
      <c r="O1330">
        <v>2018</v>
      </c>
      <c r="P1330" t="s">
        <v>18</v>
      </c>
    </row>
    <row r="1331" spans="1:16" x14ac:dyDescent="0.3">
      <c r="A1331">
        <v>220</v>
      </c>
      <c r="B1331" t="s">
        <v>1443</v>
      </c>
      <c r="C1331" t="s">
        <v>3808</v>
      </c>
      <c r="D1331" t="str">
        <f>VLOOKUP(YouTube_University_Data_Final[[#This Row],[Title]],[1]!YouTube_University_Data_Final[[Title]:[Title_language]],2,FALSE)</f>
        <v>Bilingual</v>
      </c>
      <c r="E1331" t="s">
        <v>3809</v>
      </c>
      <c r="F1331">
        <v>27</v>
      </c>
      <c r="G1331" s="1">
        <v>43419</v>
      </c>
      <c r="H1331">
        <v>307</v>
      </c>
      <c r="I1331" t="s">
        <v>3365</v>
      </c>
      <c r="J1331">
        <v>490</v>
      </c>
      <c r="K1331">
        <v>4</v>
      </c>
      <c r="L1331">
        <v>0</v>
      </c>
      <c r="M1331">
        <v>0</v>
      </c>
      <c r="N1331" t="s">
        <v>101</v>
      </c>
      <c r="O1331">
        <v>2018</v>
      </c>
      <c r="P1331" t="s">
        <v>18</v>
      </c>
    </row>
    <row r="1332" spans="1:16" x14ac:dyDescent="0.3">
      <c r="A1332">
        <v>221</v>
      </c>
      <c r="B1332" t="s">
        <v>1443</v>
      </c>
      <c r="C1332" t="s">
        <v>3810</v>
      </c>
      <c r="D1332" t="str">
        <f>VLOOKUP(YouTube_University_Data_Final[[#This Row],[Title]],[1]!YouTube_University_Data_Final[[Title]:[Title_language]],2,FALSE)</f>
        <v>Bilingual</v>
      </c>
      <c r="E1332" t="s">
        <v>3811</v>
      </c>
      <c r="F1332">
        <v>27</v>
      </c>
      <c r="G1332" s="1">
        <v>43395</v>
      </c>
      <c r="H1332">
        <v>106</v>
      </c>
      <c r="I1332" t="s">
        <v>3812</v>
      </c>
      <c r="J1332">
        <v>993</v>
      </c>
      <c r="K1332">
        <v>3</v>
      </c>
      <c r="L1332">
        <v>0</v>
      </c>
      <c r="M1332">
        <v>0</v>
      </c>
      <c r="N1332" t="s">
        <v>17</v>
      </c>
      <c r="O1332">
        <v>2018</v>
      </c>
      <c r="P1332" t="s">
        <v>18</v>
      </c>
    </row>
    <row r="1333" spans="1:16" x14ac:dyDescent="0.3">
      <c r="A1333">
        <v>222</v>
      </c>
      <c r="B1333" t="s">
        <v>1443</v>
      </c>
      <c r="C1333" t="s">
        <v>3813</v>
      </c>
      <c r="D1333" t="str">
        <f>VLOOKUP(YouTube_University_Data_Final[[#This Row],[Title]],[1]!YouTube_University_Data_Final[[Title]:[Title_language]],2,FALSE)</f>
        <v>Bilingual</v>
      </c>
      <c r="E1333" t="s">
        <v>3814</v>
      </c>
      <c r="F1333">
        <v>27</v>
      </c>
      <c r="G1333" s="1">
        <v>43384</v>
      </c>
      <c r="H1333">
        <v>5034</v>
      </c>
      <c r="I1333" t="s">
        <v>3815</v>
      </c>
      <c r="J1333">
        <v>297</v>
      </c>
      <c r="K1333">
        <v>0</v>
      </c>
      <c r="L1333">
        <v>0</v>
      </c>
      <c r="M1333">
        <v>0</v>
      </c>
      <c r="N1333" t="s">
        <v>17</v>
      </c>
      <c r="O1333">
        <v>2018</v>
      </c>
      <c r="P1333" t="s">
        <v>18</v>
      </c>
    </row>
    <row r="1334" spans="1:16" x14ac:dyDescent="0.3">
      <c r="A1334">
        <v>223</v>
      </c>
      <c r="B1334" t="s">
        <v>1443</v>
      </c>
      <c r="C1334" t="s">
        <v>3816</v>
      </c>
      <c r="D1334" t="str">
        <f>VLOOKUP(YouTube_University_Data_Final[[#This Row],[Title]],[1]!YouTube_University_Data_Final[[Title]:[Title_language]],2,FALSE)</f>
        <v>Bilingual</v>
      </c>
      <c r="E1334" t="s">
        <v>3817</v>
      </c>
      <c r="F1334">
        <v>27</v>
      </c>
      <c r="G1334" s="1">
        <v>43377</v>
      </c>
      <c r="H1334">
        <v>288</v>
      </c>
      <c r="I1334" t="s">
        <v>3818</v>
      </c>
      <c r="J1334">
        <v>335</v>
      </c>
      <c r="K1334">
        <v>1</v>
      </c>
      <c r="L1334">
        <v>0</v>
      </c>
      <c r="M1334">
        <v>0</v>
      </c>
      <c r="N1334" t="s">
        <v>17</v>
      </c>
      <c r="O1334">
        <v>2018</v>
      </c>
      <c r="P1334" t="s">
        <v>18</v>
      </c>
    </row>
    <row r="1335" spans="1:16" x14ac:dyDescent="0.3">
      <c r="A1335">
        <v>224</v>
      </c>
      <c r="B1335" t="s">
        <v>1443</v>
      </c>
      <c r="C1335" t="s">
        <v>3819</v>
      </c>
      <c r="D1335" t="str">
        <f>VLOOKUP(YouTube_University_Data_Final[[#This Row],[Title]],[1]!YouTube_University_Data_Final[[Title]:[Title_language]],2,FALSE)</f>
        <v>Chinese</v>
      </c>
      <c r="E1335" t="s">
        <v>3820</v>
      </c>
      <c r="F1335">
        <v>27</v>
      </c>
      <c r="G1335" s="1">
        <v>43377</v>
      </c>
      <c r="H1335">
        <v>306</v>
      </c>
      <c r="I1335" t="s">
        <v>3818</v>
      </c>
      <c r="J1335">
        <v>644</v>
      </c>
      <c r="K1335">
        <v>9</v>
      </c>
      <c r="L1335">
        <v>0</v>
      </c>
      <c r="M1335">
        <v>0</v>
      </c>
      <c r="N1335" t="s">
        <v>17</v>
      </c>
      <c r="O1335">
        <v>2018</v>
      </c>
      <c r="P1335" t="s">
        <v>18</v>
      </c>
    </row>
    <row r="1336" spans="1:16" x14ac:dyDescent="0.3">
      <c r="A1336">
        <v>225</v>
      </c>
      <c r="B1336" t="s">
        <v>1443</v>
      </c>
      <c r="C1336" t="s">
        <v>3821</v>
      </c>
      <c r="D1336" t="str">
        <f>VLOOKUP(YouTube_University_Data_Final[[#This Row],[Title]],[1]!YouTube_University_Data_Final[[Title]:[Title_language]],2,FALSE)</f>
        <v>Chinese</v>
      </c>
      <c r="E1336" t="s">
        <v>3822</v>
      </c>
      <c r="F1336">
        <v>27</v>
      </c>
      <c r="G1336" s="1">
        <v>43377</v>
      </c>
      <c r="H1336">
        <v>299</v>
      </c>
      <c r="I1336" t="s">
        <v>3823</v>
      </c>
      <c r="J1336">
        <v>527</v>
      </c>
      <c r="K1336">
        <v>6</v>
      </c>
      <c r="L1336">
        <v>0</v>
      </c>
      <c r="M1336">
        <v>0</v>
      </c>
      <c r="N1336" t="s">
        <v>17</v>
      </c>
      <c r="O1336">
        <v>2018</v>
      </c>
      <c r="P1336" t="s">
        <v>18</v>
      </c>
    </row>
    <row r="1337" spans="1:16" x14ac:dyDescent="0.3">
      <c r="A1337">
        <v>226</v>
      </c>
      <c r="B1337" t="s">
        <v>1443</v>
      </c>
      <c r="C1337" t="s">
        <v>1452</v>
      </c>
      <c r="D1337" t="str">
        <f>VLOOKUP(YouTube_University_Data_Final[[#This Row],[Title]],[1]!YouTube_University_Data_Final[[Title]:[Title_language]],2,FALSE)</f>
        <v>English</v>
      </c>
      <c r="E1337" t="s">
        <v>3824</v>
      </c>
      <c r="F1337">
        <v>27</v>
      </c>
      <c r="G1337" s="1">
        <v>43377</v>
      </c>
      <c r="H1337">
        <v>342</v>
      </c>
      <c r="I1337" t="s">
        <v>3825</v>
      </c>
      <c r="J1337">
        <v>635</v>
      </c>
      <c r="K1337">
        <v>5</v>
      </c>
      <c r="L1337">
        <v>0</v>
      </c>
      <c r="M1337">
        <v>0</v>
      </c>
      <c r="N1337" t="s">
        <v>17</v>
      </c>
      <c r="O1337">
        <v>2018</v>
      </c>
      <c r="P1337" t="s">
        <v>18</v>
      </c>
    </row>
    <row r="1338" spans="1:16" x14ac:dyDescent="0.3">
      <c r="A1338">
        <v>227</v>
      </c>
      <c r="B1338" t="s">
        <v>1443</v>
      </c>
      <c r="C1338" t="s">
        <v>3826</v>
      </c>
      <c r="D1338" t="str">
        <f>VLOOKUP(YouTube_University_Data_Final[[#This Row],[Title]],[1]!YouTube_University_Data_Final[[Title]:[Title_language]],2,FALSE)</f>
        <v>Bilingual</v>
      </c>
      <c r="E1338" t="s">
        <v>3827</v>
      </c>
      <c r="F1338">
        <v>27</v>
      </c>
      <c r="G1338" s="1">
        <v>43377</v>
      </c>
      <c r="H1338">
        <v>421</v>
      </c>
      <c r="I1338" t="s">
        <v>3365</v>
      </c>
      <c r="J1338">
        <v>759</v>
      </c>
      <c r="K1338">
        <v>7</v>
      </c>
      <c r="L1338">
        <v>0</v>
      </c>
      <c r="M1338">
        <v>0</v>
      </c>
      <c r="N1338" t="s">
        <v>17</v>
      </c>
      <c r="O1338">
        <v>2018</v>
      </c>
      <c r="P1338" t="s">
        <v>18</v>
      </c>
    </row>
    <row r="1339" spans="1:16" x14ac:dyDescent="0.3">
      <c r="A1339">
        <v>228</v>
      </c>
      <c r="B1339" t="s">
        <v>1443</v>
      </c>
      <c r="C1339" t="s">
        <v>3828</v>
      </c>
      <c r="D1339" t="str">
        <f>VLOOKUP(YouTube_University_Data_Final[[#This Row],[Title]],[1]!YouTube_University_Data_Final[[Title]:[Title_language]],2,FALSE)</f>
        <v>Bilingual</v>
      </c>
      <c r="E1339" t="s">
        <v>3829</v>
      </c>
      <c r="F1339">
        <v>27</v>
      </c>
      <c r="G1339" s="1">
        <v>43375</v>
      </c>
      <c r="H1339">
        <v>1138</v>
      </c>
      <c r="I1339" t="s">
        <v>3830</v>
      </c>
      <c r="J1339">
        <v>491</v>
      </c>
      <c r="K1339">
        <v>4</v>
      </c>
      <c r="L1339">
        <v>0</v>
      </c>
      <c r="M1339">
        <v>0</v>
      </c>
      <c r="N1339" t="s">
        <v>17</v>
      </c>
      <c r="O1339">
        <v>2018</v>
      </c>
      <c r="P1339" t="s">
        <v>18</v>
      </c>
    </row>
    <row r="1340" spans="1:16" x14ac:dyDescent="0.3">
      <c r="A1340">
        <v>229</v>
      </c>
      <c r="B1340" t="s">
        <v>1443</v>
      </c>
      <c r="C1340" t="s">
        <v>3831</v>
      </c>
      <c r="D1340" t="str">
        <f>VLOOKUP(YouTube_University_Data_Final[[#This Row],[Title]],[1]!YouTube_University_Data_Final[[Title]:[Title_language]],2,FALSE)</f>
        <v>Bilingual</v>
      </c>
      <c r="E1340" t="s">
        <v>3832</v>
      </c>
      <c r="F1340">
        <v>27</v>
      </c>
      <c r="G1340" s="1">
        <v>43354</v>
      </c>
      <c r="H1340">
        <v>114</v>
      </c>
      <c r="I1340" t="s">
        <v>3833</v>
      </c>
      <c r="J1340">
        <v>22917</v>
      </c>
      <c r="K1340">
        <v>157</v>
      </c>
      <c r="L1340">
        <v>0</v>
      </c>
      <c r="M1340">
        <v>0</v>
      </c>
      <c r="N1340" t="s">
        <v>21</v>
      </c>
      <c r="O1340">
        <v>2018</v>
      </c>
      <c r="P1340" t="s">
        <v>18</v>
      </c>
    </row>
    <row r="1341" spans="1:16" x14ac:dyDescent="0.3">
      <c r="A1341">
        <v>230</v>
      </c>
      <c r="B1341" t="s">
        <v>1443</v>
      </c>
      <c r="C1341" t="s">
        <v>3834</v>
      </c>
      <c r="D1341" t="str">
        <f>VLOOKUP(YouTube_University_Data_Final[[#This Row],[Title]],[1]!YouTube_University_Data_Final[[Title]:[Title_language]],2,FALSE)</f>
        <v>Bilingual</v>
      </c>
      <c r="E1341" t="s">
        <v>3835</v>
      </c>
      <c r="F1341">
        <v>27</v>
      </c>
      <c r="G1341" s="1">
        <v>43354</v>
      </c>
      <c r="H1341">
        <v>2</v>
      </c>
      <c r="I1341" t="s">
        <v>3836</v>
      </c>
      <c r="J1341">
        <v>270</v>
      </c>
      <c r="K1341">
        <v>3</v>
      </c>
      <c r="L1341">
        <v>0</v>
      </c>
      <c r="M1341">
        <v>0</v>
      </c>
      <c r="N1341" t="s">
        <v>21</v>
      </c>
      <c r="O1341">
        <v>2018</v>
      </c>
      <c r="P1341" t="s">
        <v>18</v>
      </c>
    </row>
    <row r="1342" spans="1:16" x14ac:dyDescent="0.3">
      <c r="A1342">
        <v>231</v>
      </c>
      <c r="B1342" t="s">
        <v>1443</v>
      </c>
      <c r="C1342" t="s">
        <v>1453</v>
      </c>
      <c r="D1342" t="str">
        <f>VLOOKUP(YouTube_University_Data_Final[[#This Row],[Title]],[1]!YouTube_University_Data_Final[[Title]:[Title_language]],2,FALSE)</f>
        <v>English</v>
      </c>
      <c r="E1342" t="s">
        <v>3837</v>
      </c>
      <c r="F1342">
        <v>27</v>
      </c>
      <c r="G1342" s="1">
        <v>43353</v>
      </c>
      <c r="H1342">
        <v>465</v>
      </c>
      <c r="I1342" t="s">
        <v>3365</v>
      </c>
      <c r="J1342">
        <v>15197</v>
      </c>
      <c r="K1342">
        <v>283</v>
      </c>
      <c r="L1342">
        <v>0</v>
      </c>
      <c r="M1342">
        <v>0</v>
      </c>
      <c r="N1342" t="s">
        <v>21</v>
      </c>
      <c r="O1342">
        <v>2018</v>
      </c>
      <c r="P1342" t="s">
        <v>18</v>
      </c>
    </row>
    <row r="1343" spans="1:16" x14ac:dyDescent="0.3">
      <c r="A1343">
        <v>232</v>
      </c>
      <c r="B1343" t="s">
        <v>1443</v>
      </c>
      <c r="C1343" t="s">
        <v>3838</v>
      </c>
      <c r="D1343" t="str">
        <f>VLOOKUP(YouTube_University_Data_Final[[#This Row],[Title]],[1]!YouTube_University_Data_Final[[Title]:[Title_language]],2,FALSE)</f>
        <v>Bilingual</v>
      </c>
      <c r="E1343" t="s">
        <v>3839</v>
      </c>
      <c r="F1343">
        <v>27</v>
      </c>
      <c r="G1343" s="1">
        <v>43318</v>
      </c>
      <c r="H1343">
        <v>86</v>
      </c>
      <c r="I1343" t="s">
        <v>3840</v>
      </c>
      <c r="J1343">
        <v>188</v>
      </c>
      <c r="K1343">
        <v>4</v>
      </c>
      <c r="L1343">
        <v>0</v>
      </c>
      <c r="M1343">
        <v>0</v>
      </c>
      <c r="N1343" t="s">
        <v>48</v>
      </c>
      <c r="O1343">
        <v>2018</v>
      </c>
      <c r="P1343" t="s">
        <v>18</v>
      </c>
    </row>
    <row r="1344" spans="1:16" x14ac:dyDescent="0.3">
      <c r="A1344">
        <v>233</v>
      </c>
      <c r="B1344" t="s">
        <v>1443</v>
      </c>
      <c r="C1344" t="s">
        <v>3841</v>
      </c>
      <c r="D1344" t="str">
        <f>VLOOKUP(YouTube_University_Data_Final[[#This Row],[Title]],[1]!YouTube_University_Data_Final[[Title]:[Title_language]],2,FALSE)</f>
        <v>Bilingual</v>
      </c>
      <c r="E1344" t="s">
        <v>3842</v>
      </c>
      <c r="F1344">
        <v>27</v>
      </c>
      <c r="G1344" s="1">
        <v>43298</v>
      </c>
      <c r="H1344">
        <v>68</v>
      </c>
      <c r="I1344" t="s">
        <v>3365</v>
      </c>
      <c r="J1344">
        <v>956</v>
      </c>
      <c r="K1344">
        <v>10</v>
      </c>
      <c r="L1344">
        <v>0</v>
      </c>
      <c r="M1344">
        <v>0</v>
      </c>
      <c r="N1344" t="s">
        <v>56</v>
      </c>
      <c r="O1344">
        <v>2018</v>
      </c>
      <c r="P1344" t="s">
        <v>18</v>
      </c>
    </row>
    <row r="1345" spans="1:16" x14ac:dyDescent="0.3">
      <c r="A1345">
        <v>234</v>
      </c>
      <c r="B1345" t="s">
        <v>1443</v>
      </c>
      <c r="C1345" t="s">
        <v>3843</v>
      </c>
      <c r="D1345" t="str">
        <f>VLOOKUP(YouTube_University_Data_Final[[#This Row],[Title]],[1]!YouTube_University_Data_Final[[Title]:[Title_language]],2,FALSE)</f>
        <v>Bilingual</v>
      </c>
      <c r="E1345" t="s">
        <v>3844</v>
      </c>
      <c r="F1345">
        <v>27</v>
      </c>
      <c r="G1345" s="1">
        <v>43293</v>
      </c>
      <c r="H1345">
        <v>60</v>
      </c>
      <c r="I1345" t="s">
        <v>3365</v>
      </c>
      <c r="J1345">
        <v>345</v>
      </c>
      <c r="K1345">
        <v>4</v>
      </c>
      <c r="L1345">
        <v>0</v>
      </c>
      <c r="M1345">
        <v>0</v>
      </c>
      <c r="N1345" t="s">
        <v>56</v>
      </c>
      <c r="O1345">
        <v>2018</v>
      </c>
      <c r="P1345" t="s">
        <v>18</v>
      </c>
    </row>
    <row r="1346" spans="1:16" x14ac:dyDescent="0.3">
      <c r="A1346">
        <v>235</v>
      </c>
      <c r="B1346" t="s">
        <v>1443</v>
      </c>
      <c r="C1346" t="s">
        <v>3845</v>
      </c>
      <c r="D1346" t="str">
        <f>VLOOKUP(YouTube_University_Data_Final[[#This Row],[Title]],[1]!YouTube_University_Data_Final[[Title]:[Title_language]],2,FALSE)</f>
        <v>Bilingual</v>
      </c>
      <c r="E1346" t="s">
        <v>3846</v>
      </c>
      <c r="F1346">
        <v>27</v>
      </c>
      <c r="G1346" s="1">
        <v>43287</v>
      </c>
      <c r="H1346">
        <v>95</v>
      </c>
      <c r="I1346" t="s">
        <v>3847</v>
      </c>
      <c r="J1346">
        <v>193</v>
      </c>
      <c r="K1346">
        <v>2</v>
      </c>
      <c r="L1346">
        <v>0</v>
      </c>
      <c r="M1346">
        <v>0</v>
      </c>
      <c r="N1346" t="s">
        <v>56</v>
      </c>
      <c r="O1346">
        <v>2018</v>
      </c>
      <c r="P1346" t="s">
        <v>18</v>
      </c>
    </row>
    <row r="1347" spans="1:16" x14ac:dyDescent="0.3">
      <c r="A1347">
        <v>236</v>
      </c>
      <c r="B1347" t="s">
        <v>1443</v>
      </c>
      <c r="C1347" t="s">
        <v>3848</v>
      </c>
      <c r="D1347" t="str">
        <f>VLOOKUP(YouTube_University_Data_Final[[#This Row],[Title]],[1]!YouTube_University_Data_Final[[Title]:[Title_language]],2,FALSE)</f>
        <v>Bilingual</v>
      </c>
      <c r="E1347" t="s">
        <v>3849</v>
      </c>
      <c r="F1347">
        <v>27</v>
      </c>
      <c r="G1347" s="1">
        <v>43280</v>
      </c>
      <c r="H1347">
        <v>72</v>
      </c>
      <c r="I1347" t="s">
        <v>3365</v>
      </c>
      <c r="J1347">
        <v>5018</v>
      </c>
      <c r="K1347">
        <v>59</v>
      </c>
      <c r="L1347">
        <v>0</v>
      </c>
      <c r="M1347">
        <v>0</v>
      </c>
      <c r="N1347" t="s">
        <v>78</v>
      </c>
      <c r="O1347">
        <v>2018</v>
      </c>
      <c r="P1347" t="s">
        <v>18</v>
      </c>
    </row>
    <row r="1348" spans="1:16" x14ac:dyDescent="0.3">
      <c r="A1348">
        <v>237</v>
      </c>
      <c r="B1348" t="s">
        <v>1443</v>
      </c>
      <c r="C1348" t="s">
        <v>3850</v>
      </c>
      <c r="D1348" t="str">
        <f>VLOOKUP(YouTube_University_Data_Final[[#This Row],[Title]],[1]!YouTube_University_Data_Final[[Title]:[Title_language]],2,FALSE)</f>
        <v>Bilingual</v>
      </c>
      <c r="E1348" t="s">
        <v>3851</v>
      </c>
      <c r="F1348">
        <v>27</v>
      </c>
      <c r="G1348" s="1">
        <v>43266</v>
      </c>
      <c r="H1348">
        <v>116</v>
      </c>
      <c r="I1348" t="s">
        <v>3852</v>
      </c>
      <c r="J1348">
        <v>170</v>
      </c>
      <c r="K1348">
        <v>5</v>
      </c>
      <c r="L1348">
        <v>0</v>
      </c>
      <c r="M1348">
        <v>0</v>
      </c>
      <c r="N1348" t="s">
        <v>78</v>
      </c>
      <c r="O1348">
        <v>2018</v>
      </c>
      <c r="P1348" t="s">
        <v>18</v>
      </c>
    </row>
    <row r="1349" spans="1:16" x14ac:dyDescent="0.3">
      <c r="A1349">
        <v>238</v>
      </c>
      <c r="B1349" t="s">
        <v>1443</v>
      </c>
      <c r="C1349" t="s">
        <v>3853</v>
      </c>
      <c r="D1349" t="str">
        <f>VLOOKUP(YouTube_University_Data_Final[[#This Row],[Title]],[1]!YouTube_University_Data_Final[[Title]:[Title_language]],2,FALSE)</f>
        <v>Bilingual</v>
      </c>
      <c r="E1349" t="s">
        <v>3854</v>
      </c>
      <c r="F1349">
        <v>27</v>
      </c>
      <c r="G1349" s="1">
        <v>43245</v>
      </c>
      <c r="H1349">
        <v>104</v>
      </c>
      <c r="I1349" t="s">
        <v>3365</v>
      </c>
      <c r="J1349">
        <v>282</v>
      </c>
      <c r="K1349">
        <v>1</v>
      </c>
      <c r="L1349">
        <v>0</v>
      </c>
      <c r="M1349">
        <v>0</v>
      </c>
      <c r="N1349" t="s">
        <v>81</v>
      </c>
      <c r="O1349">
        <v>2018</v>
      </c>
      <c r="P1349" t="s">
        <v>18</v>
      </c>
    </row>
    <row r="1350" spans="1:16" x14ac:dyDescent="0.3">
      <c r="A1350">
        <v>239</v>
      </c>
      <c r="B1350" t="s">
        <v>1443</v>
      </c>
      <c r="C1350" t="s">
        <v>1454</v>
      </c>
      <c r="D1350" t="str">
        <f>VLOOKUP(YouTube_University_Data_Final[[#This Row],[Title]],[1]!YouTube_University_Data_Final[[Title]:[Title_language]],2,FALSE)</f>
        <v>English</v>
      </c>
      <c r="E1350" t="s">
        <v>3855</v>
      </c>
      <c r="F1350">
        <v>27</v>
      </c>
      <c r="G1350" s="1">
        <v>43245</v>
      </c>
      <c r="H1350">
        <v>104</v>
      </c>
      <c r="I1350" t="s">
        <v>3365</v>
      </c>
      <c r="J1350">
        <v>353</v>
      </c>
      <c r="K1350">
        <v>4</v>
      </c>
      <c r="L1350">
        <v>0</v>
      </c>
      <c r="M1350">
        <v>0</v>
      </c>
      <c r="N1350" t="s">
        <v>81</v>
      </c>
      <c r="O1350">
        <v>2018</v>
      </c>
      <c r="P1350" t="s">
        <v>18</v>
      </c>
    </row>
    <row r="1351" spans="1:16" x14ac:dyDescent="0.3">
      <c r="A1351">
        <v>240</v>
      </c>
      <c r="B1351" t="s">
        <v>1443</v>
      </c>
      <c r="C1351" t="s">
        <v>3856</v>
      </c>
      <c r="D1351" t="str">
        <f>VLOOKUP(YouTube_University_Data_Final[[#This Row],[Title]],[1]!YouTube_University_Data_Final[[Title]:[Title_language]],2,FALSE)</f>
        <v>Bilingual</v>
      </c>
      <c r="E1351" t="s">
        <v>3857</v>
      </c>
      <c r="F1351">
        <v>27</v>
      </c>
      <c r="G1351" s="1">
        <v>43245</v>
      </c>
      <c r="H1351">
        <v>222</v>
      </c>
      <c r="I1351" t="s">
        <v>3858</v>
      </c>
      <c r="J1351">
        <v>1285</v>
      </c>
      <c r="K1351">
        <v>14</v>
      </c>
      <c r="L1351">
        <v>0</v>
      </c>
      <c r="M1351">
        <v>0</v>
      </c>
      <c r="N1351" t="s">
        <v>81</v>
      </c>
      <c r="O1351">
        <v>2018</v>
      </c>
      <c r="P1351" t="s">
        <v>18</v>
      </c>
    </row>
    <row r="1352" spans="1:16" x14ac:dyDescent="0.3">
      <c r="A1352">
        <v>241</v>
      </c>
      <c r="B1352" t="s">
        <v>1443</v>
      </c>
      <c r="C1352" t="s">
        <v>3859</v>
      </c>
      <c r="D1352" t="str">
        <f>VLOOKUP(YouTube_University_Data_Final[[#This Row],[Title]],[1]!YouTube_University_Data_Final[[Title]:[Title_language]],2,FALSE)</f>
        <v>Chinese</v>
      </c>
      <c r="E1352" t="s">
        <v>3860</v>
      </c>
      <c r="F1352">
        <v>27</v>
      </c>
      <c r="G1352" s="1">
        <v>43230</v>
      </c>
      <c r="H1352">
        <v>96</v>
      </c>
      <c r="I1352" t="s">
        <v>3365</v>
      </c>
      <c r="J1352">
        <v>112</v>
      </c>
      <c r="K1352">
        <v>2</v>
      </c>
      <c r="L1352">
        <v>0</v>
      </c>
      <c r="M1352">
        <v>0</v>
      </c>
      <c r="N1352" t="s">
        <v>81</v>
      </c>
      <c r="O1352">
        <v>2018</v>
      </c>
      <c r="P1352" t="s">
        <v>18</v>
      </c>
    </row>
    <row r="1353" spans="1:16" x14ac:dyDescent="0.3">
      <c r="A1353">
        <v>242</v>
      </c>
      <c r="B1353" t="s">
        <v>1443</v>
      </c>
      <c r="C1353" t="s">
        <v>3861</v>
      </c>
      <c r="D1353" t="str">
        <f>VLOOKUP(YouTube_University_Data_Final[[#This Row],[Title]],[1]!YouTube_University_Data_Final[[Title]:[Title_language]],2,FALSE)</f>
        <v>Bilingual</v>
      </c>
      <c r="E1353" t="s">
        <v>3862</v>
      </c>
      <c r="F1353">
        <v>27</v>
      </c>
      <c r="G1353" s="1">
        <v>43224</v>
      </c>
      <c r="H1353">
        <v>33</v>
      </c>
      <c r="I1353" t="s">
        <v>3863</v>
      </c>
      <c r="J1353">
        <v>281</v>
      </c>
      <c r="K1353">
        <v>2</v>
      </c>
      <c r="L1353">
        <v>0</v>
      </c>
      <c r="M1353">
        <v>0</v>
      </c>
      <c r="N1353" t="s">
        <v>81</v>
      </c>
      <c r="O1353">
        <v>2018</v>
      </c>
      <c r="P1353" t="s">
        <v>18</v>
      </c>
    </row>
    <row r="1354" spans="1:16" x14ac:dyDescent="0.3">
      <c r="A1354">
        <v>243</v>
      </c>
      <c r="B1354" t="s">
        <v>1443</v>
      </c>
      <c r="C1354" t="s">
        <v>3864</v>
      </c>
      <c r="D1354" t="str">
        <f>VLOOKUP(YouTube_University_Data_Final[[#This Row],[Title]],[1]!YouTube_University_Data_Final[[Title]:[Title_language]],2,FALSE)</f>
        <v>Bilingual</v>
      </c>
      <c r="E1354" t="s">
        <v>3865</v>
      </c>
      <c r="F1354">
        <v>27</v>
      </c>
      <c r="G1354" s="1">
        <v>43216</v>
      </c>
      <c r="H1354">
        <v>60</v>
      </c>
      <c r="I1354" t="s">
        <v>3365</v>
      </c>
      <c r="J1354">
        <v>272</v>
      </c>
      <c r="K1354">
        <v>4</v>
      </c>
      <c r="L1354">
        <v>0</v>
      </c>
      <c r="M1354">
        <v>0</v>
      </c>
      <c r="N1354" t="s">
        <v>87</v>
      </c>
      <c r="O1354">
        <v>2018</v>
      </c>
      <c r="P1354" t="s">
        <v>18</v>
      </c>
    </row>
    <row r="1355" spans="1:16" x14ac:dyDescent="0.3">
      <c r="A1355">
        <v>244</v>
      </c>
      <c r="B1355" t="s">
        <v>1443</v>
      </c>
      <c r="C1355" t="s">
        <v>3866</v>
      </c>
      <c r="D1355" t="str">
        <f>VLOOKUP(YouTube_University_Data_Final[[#This Row],[Title]],[1]!YouTube_University_Data_Final[[Title]:[Title_language]],2,FALSE)</f>
        <v>Bilingual</v>
      </c>
      <c r="E1355" t="s">
        <v>3867</v>
      </c>
      <c r="F1355">
        <v>27</v>
      </c>
      <c r="G1355" s="1">
        <v>43208</v>
      </c>
      <c r="H1355">
        <v>1384</v>
      </c>
      <c r="I1355" t="s">
        <v>3365</v>
      </c>
      <c r="J1355">
        <v>2310</v>
      </c>
      <c r="K1355">
        <v>17</v>
      </c>
      <c r="L1355">
        <v>0</v>
      </c>
      <c r="M1355">
        <v>0</v>
      </c>
      <c r="N1355" t="s">
        <v>87</v>
      </c>
      <c r="O1355">
        <v>2018</v>
      </c>
      <c r="P1355" t="s">
        <v>18</v>
      </c>
    </row>
    <row r="1356" spans="1:16" x14ac:dyDescent="0.3">
      <c r="A1356">
        <v>245</v>
      </c>
      <c r="B1356" t="s">
        <v>1443</v>
      </c>
      <c r="C1356" t="s">
        <v>3868</v>
      </c>
      <c r="D1356" t="str">
        <f>VLOOKUP(YouTube_University_Data_Final[[#This Row],[Title]],[1]!YouTube_University_Data_Final[[Title]:[Title_language]],2,FALSE)</f>
        <v>Bilingual</v>
      </c>
      <c r="E1356" t="s">
        <v>3869</v>
      </c>
      <c r="F1356">
        <v>27</v>
      </c>
      <c r="G1356" s="1">
        <v>43174</v>
      </c>
      <c r="H1356">
        <v>47</v>
      </c>
      <c r="I1356" t="s">
        <v>3365</v>
      </c>
      <c r="J1356">
        <v>238</v>
      </c>
      <c r="K1356">
        <v>3</v>
      </c>
      <c r="L1356">
        <v>0</v>
      </c>
      <c r="M1356">
        <v>0</v>
      </c>
      <c r="N1356" t="s">
        <v>90</v>
      </c>
      <c r="O1356">
        <v>2018</v>
      </c>
      <c r="P1356" t="s">
        <v>18</v>
      </c>
    </row>
    <row r="1357" spans="1:16" x14ac:dyDescent="0.3">
      <c r="A1357">
        <v>246</v>
      </c>
      <c r="B1357" t="s">
        <v>1443</v>
      </c>
      <c r="C1357" t="s">
        <v>3870</v>
      </c>
      <c r="D1357" t="str">
        <f>VLOOKUP(YouTube_University_Data_Final[[#This Row],[Title]],[1]!YouTube_University_Data_Final[[Title]:[Title_language]],2,FALSE)</f>
        <v>Bilingual</v>
      </c>
      <c r="E1357" t="s">
        <v>3871</v>
      </c>
      <c r="F1357">
        <v>27</v>
      </c>
      <c r="G1357" s="1">
        <v>43167</v>
      </c>
      <c r="H1357">
        <v>51</v>
      </c>
      <c r="I1357" t="s">
        <v>3872</v>
      </c>
      <c r="J1357">
        <v>562</v>
      </c>
      <c r="K1357">
        <v>1</v>
      </c>
      <c r="L1357">
        <v>0</v>
      </c>
      <c r="M1357">
        <v>0</v>
      </c>
      <c r="N1357" t="s">
        <v>90</v>
      </c>
      <c r="O1357">
        <v>2018</v>
      </c>
      <c r="P1357" t="s">
        <v>18</v>
      </c>
    </row>
    <row r="1358" spans="1:16" x14ac:dyDescent="0.3">
      <c r="A1358">
        <v>247</v>
      </c>
      <c r="B1358" t="s">
        <v>1443</v>
      </c>
      <c r="C1358" t="s">
        <v>3873</v>
      </c>
      <c r="D1358" t="str">
        <f>VLOOKUP(YouTube_University_Data_Final[[#This Row],[Title]],[1]!YouTube_University_Data_Final[[Title]:[Title_language]],2,FALSE)</f>
        <v>Bilingual</v>
      </c>
      <c r="E1358" t="s">
        <v>3874</v>
      </c>
      <c r="F1358">
        <v>27</v>
      </c>
      <c r="G1358" s="1">
        <v>43151</v>
      </c>
      <c r="H1358">
        <v>57</v>
      </c>
      <c r="I1358" t="s">
        <v>3875</v>
      </c>
      <c r="J1358">
        <v>214</v>
      </c>
      <c r="K1358">
        <v>2</v>
      </c>
      <c r="L1358">
        <v>0</v>
      </c>
      <c r="M1358">
        <v>0</v>
      </c>
      <c r="N1358" t="s">
        <v>162</v>
      </c>
      <c r="O1358">
        <v>2018</v>
      </c>
      <c r="P1358" t="s">
        <v>18</v>
      </c>
    </row>
    <row r="1359" spans="1:16" x14ac:dyDescent="0.3">
      <c r="A1359">
        <v>248</v>
      </c>
      <c r="B1359" t="s">
        <v>1443</v>
      </c>
      <c r="C1359" t="s">
        <v>3876</v>
      </c>
      <c r="D1359" t="str">
        <f>VLOOKUP(YouTube_University_Data_Final[[#This Row],[Title]],[1]!YouTube_University_Data_Final[[Title]:[Title_language]],2,FALSE)</f>
        <v>Bilingual</v>
      </c>
      <c r="E1359" t="s">
        <v>3877</v>
      </c>
      <c r="F1359">
        <v>27</v>
      </c>
      <c r="G1359" s="1">
        <v>43132</v>
      </c>
      <c r="H1359">
        <v>253</v>
      </c>
      <c r="I1359" t="s">
        <v>3878</v>
      </c>
      <c r="J1359">
        <v>297</v>
      </c>
      <c r="K1359">
        <v>6</v>
      </c>
      <c r="L1359">
        <v>0</v>
      </c>
      <c r="M1359">
        <v>0</v>
      </c>
      <c r="N1359" t="s">
        <v>162</v>
      </c>
      <c r="O1359">
        <v>2018</v>
      </c>
      <c r="P1359" t="s">
        <v>18</v>
      </c>
    </row>
    <row r="1360" spans="1:16" x14ac:dyDescent="0.3">
      <c r="A1360">
        <v>249</v>
      </c>
      <c r="B1360" t="s">
        <v>1443</v>
      </c>
      <c r="C1360" t="s">
        <v>1455</v>
      </c>
      <c r="D1360" t="str">
        <f>VLOOKUP(YouTube_University_Data_Final[[#This Row],[Title]],[1]!YouTube_University_Data_Final[[Title]:[Title_language]],2,FALSE)</f>
        <v>English</v>
      </c>
      <c r="E1360" t="s">
        <v>3879</v>
      </c>
      <c r="F1360">
        <v>27</v>
      </c>
      <c r="G1360" s="1">
        <v>43132</v>
      </c>
      <c r="H1360">
        <v>119</v>
      </c>
      <c r="I1360" t="s">
        <v>3880</v>
      </c>
      <c r="J1360">
        <v>863</v>
      </c>
      <c r="K1360">
        <v>7</v>
      </c>
      <c r="L1360">
        <v>0</v>
      </c>
      <c r="M1360">
        <v>0</v>
      </c>
      <c r="N1360" t="s">
        <v>162</v>
      </c>
      <c r="O1360">
        <v>2018</v>
      </c>
      <c r="P1360" t="s">
        <v>18</v>
      </c>
    </row>
    <row r="1361" spans="1:16" x14ac:dyDescent="0.3">
      <c r="A1361">
        <v>250</v>
      </c>
      <c r="B1361" t="s">
        <v>1443</v>
      </c>
      <c r="C1361" t="s">
        <v>3881</v>
      </c>
      <c r="D1361" t="str">
        <f>VLOOKUP(YouTube_University_Data_Final[[#This Row],[Title]],[1]!YouTube_University_Data_Final[[Title]:[Title_language]],2,FALSE)</f>
        <v>Bilingual</v>
      </c>
      <c r="E1361" t="s">
        <v>3882</v>
      </c>
      <c r="F1361">
        <v>27</v>
      </c>
      <c r="G1361" s="1">
        <v>43130</v>
      </c>
      <c r="H1361">
        <v>384</v>
      </c>
      <c r="I1361" t="s">
        <v>3365</v>
      </c>
      <c r="J1361">
        <v>1017</v>
      </c>
      <c r="K1361">
        <v>1</v>
      </c>
      <c r="L1361">
        <v>0</v>
      </c>
      <c r="M1361">
        <v>0</v>
      </c>
      <c r="N1361" t="s">
        <v>93</v>
      </c>
      <c r="O1361">
        <v>2018</v>
      </c>
      <c r="P1361" t="s">
        <v>18</v>
      </c>
    </row>
    <row r="1362" spans="1:16" x14ac:dyDescent="0.3">
      <c r="A1362">
        <v>251</v>
      </c>
      <c r="B1362" t="s">
        <v>1443</v>
      </c>
      <c r="C1362" t="s">
        <v>3883</v>
      </c>
      <c r="D1362" t="str">
        <f>VLOOKUP(YouTube_University_Data_Final[[#This Row],[Title]],[1]!YouTube_University_Data_Final[[Title]:[Title_language]],2,FALSE)</f>
        <v>Bilingual</v>
      </c>
      <c r="E1362" t="s">
        <v>3884</v>
      </c>
      <c r="F1362">
        <v>27</v>
      </c>
      <c r="G1362" s="1">
        <v>43126</v>
      </c>
      <c r="H1362">
        <v>153</v>
      </c>
      <c r="I1362" t="s">
        <v>3365</v>
      </c>
      <c r="J1362">
        <v>458</v>
      </c>
      <c r="K1362">
        <v>2</v>
      </c>
      <c r="L1362">
        <v>0</v>
      </c>
      <c r="M1362">
        <v>0</v>
      </c>
      <c r="N1362" t="s">
        <v>93</v>
      </c>
      <c r="O1362">
        <v>2018</v>
      </c>
      <c r="P1362" t="s">
        <v>18</v>
      </c>
    </row>
    <row r="1363" spans="1:16" x14ac:dyDescent="0.3">
      <c r="A1363">
        <v>252</v>
      </c>
      <c r="B1363" t="s">
        <v>1443</v>
      </c>
      <c r="C1363" t="s">
        <v>3885</v>
      </c>
      <c r="D1363" t="str">
        <f>VLOOKUP(YouTube_University_Data_Final[[#This Row],[Title]],[1]!YouTube_University_Data_Final[[Title]:[Title_language]],2,FALSE)</f>
        <v>Bilingual</v>
      </c>
      <c r="E1363" t="s">
        <v>3886</v>
      </c>
      <c r="F1363">
        <v>27</v>
      </c>
      <c r="G1363" s="1">
        <v>43108</v>
      </c>
      <c r="H1363">
        <v>156</v>
      </c>
      <c r="I1363" t="s">
        <v>3365</v>
      </c>
      <c r="J1363">
        <v>1964</v>
      </c>
      <c r="K1363">
        <v>11</v>
      </c>
      <c r="L1363">
        <v>0</v>
      </c>
      <c r="M1363">
        <v>0</v>
      </c>
      <c r="N1363" t="s">
        <v>93</v>
      </c>
      <c r="O1363">
        <v>2018</v>
      </c>
      <c r="P1363" t="s">
        <v>18</v>
      </c>
    </row>
    <row r="1364" spans="1:16" x14ac:dyDescent="0.3">
      <c r="A1364">
        <v>253</v>
      </c>
      <c r="B1364" t="s">
        <v>1443</v>
      </c>
      <c r="C1364" t="s">
        <v>3887</v>
      </c>
      <c r="D1364" t="str">
        <f>VLOOKUP(YouTube_University_Data_Final[[#This Row],[Title]],[1]!YouTube_University_Data_Final[[Title]:[Title_language]],2,FALSE)</f>
        <v>Chinese</v>
      </c>
      <c r="E1364" t="s">
        <v>3888</v>
      </c>
      <c r="F1364">
        <v>27</v>
      </c>
      <c r="G1364" s="1">
        <v>43087</v>
      </c>
      <c r="H1364">
        <v>655</v>
      </c>
      <c r="I1364" t="s">
        <v>3365</v>
      </c>
      <c r="J1364">
        <v>472</v>
      </c>
      <c r="K1364">
        <v>1</v>
      </c>
      <c r="L1364">
        <v>0</v>
      </c>
      <c r="M1364">
        <v>0</v>
      </c>
      <c r="N1364" t="s">
        <v>98</v>
      </c>
      <c r="O1364">
        <v>2017</v>
      </c>
      <c r="P1364" t="s">
        <v>18</v>
      </c>
    </row>
    <row r="1365" spans="1:16" x14ac:dyDescent="0.3">
      <c r="A1365">
        <v>254</v>
      </c>
      <c r="B1365" t="s">
        <v>1443</v>
      </c>
      <c r="C1365" t="s">
        <v>3889</v>
      </c>
      <c r="D1365" t="str">
        <f>VLOOKUP(YouTube_University_Data_Final[[#This Row],[Title]],[1]!YouTube_University_Data_Final[[Title]:[Title_language]],2,FALSE)</f>
        <v>Bilingual</v>
      </c>
      <c r="E1365" t="s">
        <v>3890</v>
      </c>
      <c r="F1365">
        <v>27</v>
      </c>
      <c r="G1365" s="1">
        <v>43075</v>
      </c>
      <c r="H1365">
        <v>167</v>
      </c>
      <c r="I1365" t="s">
        <v>3365</v>
      </c>
      <c r="J1365">
        <v>3020</v>
      </c>
      <c r="K1365">
        <v>21</v>
      </c>
      <c r="L1365">
        <v>0</v>
      </c>
      <c r="M1365">
        <v>0</v>
      </c>
      <c r="N1365" t="s">
        <v>98</v>
      </c>
      <c r="O1365">
        <v>2017</v>
      </c>
      <c r="P1365" t="s">
        <v>18</v>
      </c>
    </row>
    <row r="1366" spans="1:16" x14ac:dyDescent="0.3">
      <c r="A1366">
        <v>255</v>
      </c>
      <c r="B1366" t="s">
        <v>1443</v>
      </c>
      <c r="C1366" t="s">
        <v>3891</v>
      </c>
      <c r="D1366" t="str">
        <f>VLOOKUP(YouTube_University_Data_Final[[#This Row],[Title]],[1]!YouTube_University_Data_Final[[Title]:[Title_language]],2,FALSE)</f>
        <v>Bilingual</v>
      </c>
      <c r="E1366" t="s">
        <v>3892</v>
      </c>
      <c r="F1366">
        <v>27</v>
      </c>
      <c r="G1366" s="1">
        <v>43075</v>
      </c>
      <c r="H1366">
        <v>883</v>
      </c>
      <c r="I1366" t="s">
        <v>3365</v>
      </c>
      <c r="J1366">
        <v>3425</v>
      </c>
      <c r="K1366">
        <v>12</v>
      </c>
      <c r="L1366">
        <v>0</v>
      </c>
      <c r="M1366">
        <v>0</v>
      </c>
      <c r="N1366" t="s">
        <v>98</v>
      </c>
      <c r="O1366">
        <v>2017</v>
      </c>
      <c r="P1366" t="s">
        <v>18</v>
      </c>
    </row>
    <row r="1367" spans="1:16" x14ac:dyDescent="0.3">
      <c r="A1367">
        <v>256</v>
      </c>
      <c r="B1367" t="s">
        <v>1443</v>
      </c>
      <c r="C1367" t="s">
        <v>1456</v>
      </c>
      <c r="D1367" t="str">
        <f>VLOOKUP(YouTube_University_Data_Final[[#This Row],[Title]],[1]!YouTube_University_Data_Final[[Title]:[Title_language]],2,FALSE)</f>
        <v>English</v>
      </c>
      <c r="E1367" t="s">
        <v>3893</v>
      </c>
      <c r="F1367">
        <v>27</v>
      </c>
      <c r="G1367" s="1">
        <v>43073</v>
      </c>
      <c r="H1367">
        <v>35</v>
      </c>
      <c r="I1367" t="s">
        <v>3365</v>
      </c>
      <c r="J1367">
        <v>1193</v>
      </c>
      <c r="K1367">
        <v>5</v>
      </c>
      <c r="L1367">
        <v>0</v>
      </c>
      <c r="M1367">
        <v>0</v>
      </c>
      <c r="N1367" t="s">
        <v>98</v>
      </c>
      <c r="O1367">
        <v>2017</v>
      </c>
      <c r="P1367" t="s">
        <v>18</v>
      </c>
    </row>
    <row r="1368" spans="1:16" x14ac:dyDescent="0.3">
      <c r="A1368">
        <v>257</v>
      </c>
      <c r="B1368" t="s">
        <v>1443</v>
      </c>
      <c r="C1368" t="s">
        <v>3894</v>
      </c>
      <c r="D1368" t="str">
        <f>VLOOKUP(YouTube_University_Data_Final[[#This Row],[Title]],[1]!YouTube_University_Data_Final[[Title]:[Title_language]],2,FALSE)</f>
        <v>Bilingual</v>
      </c>
      <c r="E1368" t="s">
        <v>3895</v>
      </c>
      <c r="F1368">
        <v>27</v>
      </c>
      <c r="G1368" s="1">
        <v>43056</v>
      </c>
      <c r="H1368">
        <v>310</v>
      </c>
      <c r="I1368" t="s">
        <v>3896</v>
      </c>
      <c r="J1368">
        <v>722</v>
      </c>
      <c r="K1368">
        <v>5</v>
      </c>
      <c r="L1368">
        <v>0</v>
      </c>
      <c r="M1368">
        <v>0</v>
      </c>
      <c r="N1368" t="s">
        <v>101</v>
      </c>
      <c r="O1368">
        <v>2017</v>
      </c>
      <c r="P1368" t="s">
        <v>18</v>
      </c>
    </row>
    <row r="1369" spans="1:16" x14ac:dyDescent="0.3">
      <c r="A1369">
        <v>258</v>
      </c>
      <c r="B1369" t="s">
        <v>1443</v>
      </c>
      <c r="C1369" t="s">
        <v>3897</v>
      </c>
      <c r="D1369" t="str">
        <f>VLOOKUP(YouTube_University_Data_Final[[#This Row],[Title]],[1]!YouTube_University_Data_Final[[Title]:[Title_language]],2,FALSE)</f>
        <v>Bilingual</v>
      </c>
      <c r="E1369" t="s">
        <v>3898</v>
      </c>
      <c r="F1369">
        <v>27</v>
      </c>
      <c r="G1369" s="1">
        <v>43056</v>
      </c>
      <c r="H1369">
        <v>162</v>
      </c>
      <c r="I1369" t="s">
        <v>3899</v>
      </c>
      <c r="J1369">
        <v>4545</v>
      </c>
      <c r="K1369">
        <v>19</v>
      </c>
      <c r="L1369">
        <v>0</v>
      </c>
      <c r="M1369">
        <v>0</v>
      </c>
      <c r="N1369" t="s">
        <v>101</v>
      </c>
      <c r="O1369">
        <v>2017</v>
      </c>
      <c r="P1369" t="s">
        <v>18</v>
      </c>
    </row>
    <row r="1370" spans="1:16" x14ac:dyDescent="0.3">
      <c r="A1370">
        <v>259</v>
      </c>
      <c r="B1370" t="s">
        <v>1443</v>
      </c>
      <c r="C1370" t="s">
        <v>3900</v>
      </c>
      <c r="D1370" t="str">
        <f>VLOOKUP(YouTube_University_Data_Final[[#This Row],[Title]],[1]!YouTube_University_Data_Final[[Title]:[Title_language]],2,FALSE)</f>
        <v>Bilingual</v>
      </c>
      <c r="E1370" t="s">
        <v>3901</v>
      </c>
      <c r="F1370">
        <v>27</v>
      </c>
      <c r="G1370" s="1">
        <v>43054</v>
      </c>
      <c r="H1370">
        <v>65</v>
      </c>
      <c r="I1370" t="s">
        <v>3365</v>
      </c>
      <c r="J1370">
        <v>330</v>
      </c>
      <c r="K1370">
        <v>3</v>
      </c>
      <c r="L1370">
        <v>0</v>
      </c>
      <c r="M1370">
        <v>0</v>
      </c>
      <c r="N1370" t="s">
        <v>101</v>
      </c>
      <c r="O1370">
        <v>2017</v>
      </c>
      <c r="P1370" t="s">
        <v>18</v>
      </c>
    </row>
    <row r="1371" spans="1:16" x14ac:dyDescent="0.3">
      <c r="A1371">
        <v>260</v>
      </c>
      <c r="B1371" t="s">
        <v>1443</v>
      </c>
      <c r="C1371" t="s">
        <v>3902</v>
      </c>
      <c r="D1371" t="str">
        <f>VLOOKUP(YouTube_University_Data_Final[[#This Row],[Title]],[1]!YouTube_University_Data_Final[[Title]:[Title_language]],2,FALSE)</f>
        <v>Bilingual</v>
      </c>
      <c r="E1371" t="s">
        <v>3903</v>
      </c>
      <c r="F1371">
        <v>27</v>
      </c>
      <c r="G1371" s="1">
        <v>43024</v>
      </c>
      <c r="H1371">
        <v>39</v>
      </c>
      <c r="I1371" t="s">
        <v>3904</v>
      </c>
      <c r="J1371">
        <v>364</v>
      </c>
      <c r="K1371">
        <v>0</v>
      </c>
      <c r="L1371">
        <v>0</v>
      </c>
      <c r="M1371">
        <v>0</v>
      </c>
      <c r="N1371" t="s">
        <v>17</v>
      </c>
      <c r="O1371">
        <v>2017</v>
      </c>
      <c r="P1371" t="s">
        <v>18</v>
      </c>
    </row>
    <row r="1372" spans="1:16" x14ac:dyDescent="0.3">
      <c r="A1372">
        <v>261</v>
      </c>
      <c r="B1372" t="s">
        <v>1443</v>
      </c>
      <c r="C1372" t="s">
        <v>3905</v>
      </c>
      <c r="D1372" t="str">
        <f>VLOOKUP(YouTube_University_Data_Final[[#This Row],[Title]],[1]!YouTube_University_Data_Final[[Title]:[Title_language]],2,FALSE)</f>
        <v>Bilingual</v>
      </c>
      <c r="E1372" t="s">
        <v>3906</v>
      </c>
      <c r="F1372">
        <v>27</v>
      </c>
      <c r="G1372" s="1">
        <v>43012</v>
      </c>
      <c r="H1372">
        <v>93</v>
      </c>
      <c r="I1372" t="s">
        <v>3365</v>
      </c>
      <c r="J1372">
        <v>1065</v>
      </c>
      <c r="K1372">
        <v>20</v>
      </c>
      <c r="L1372">
        <v>0</v>
      </c>
      <c r="M1372">
        <v>0</v>
      </c>
      <c r="N1372" t="s">
        <v>17</v>
      </c>
      <c r="O1372">
        <v>2017</v>
      </c>
      <c r="P1372" t="s">
        <v>18</v>
      </c>
    </row>
    <row r="1373" spans="1:16" x14ac:dyDescent="0.3">
      <c r="A1373">
        <v>262</v>
      </c>
      <c r="B1373" t="s">
        <v>1443</v>
      </c>
      <c r="C1373" t="s">
        <v>3907</v>
      </c>
      <c r="D1373" t="str">
        <f>VLOOKUP(YouTube_University_Data_Final[[#This Row],[Title]],[1]!YouTube_University_Data_Final[[Title]:[Title_language]],2,FALSE)</f>
        <v>Bilingual</v>
      </c>
      <c r="E1373" t="s">
        <v>3908</v>
      </c>
      <c r="F1373">
        <v>27</v>
      </c>
      <c r="G1373" s="1">
        <v>43000</v>
      </c>
      <c r="H1373">
        <v>177</v>
      </c>
      <c r="I1373" t="s">
        <v>3909</v>
      </c>
      <c r="J1373">
        <v>4393</v>
      </c>
      <c r="K1373">
        <v>44</v>
      </c>
      <c r="L1373">
        <v>0</v>
      </c>
      <c r="M1373">
        <v>0</v>
      </c>
      <c r="N1373" t="s">
        <v>21</v>
      </c>
      <c r="O1373">
        <v>2017</v>
      </c>
      <c r="P1373" t="s">
        <v>18</v>
      </c>
    </row>
    <row r="1374" spans="1:16" x14ac:dyDescent="0.3">
      <c r="A1374">
        <v>263</v>
      </c>
      <c r="B1374" t="s">
        <v>1443</v>
      </c>
      <c r="C1374" t="s">
        <v>1457</v>
      </c>
      <c r="D1374" t="str">
        <f>VLOOKUP(YouTube_University_Data_Final[[#This Row],[Title]],[1]!YouTube_University_Data_Final[[Title]:[Title_language]],2,FALSE)</f>
        <v>English</v>
      </c>
      <c r="E1374" t="s">
        <v>3910</v>
      </c>
      <c r="F1374">
        <v>27</v>
      </c>
      <c r="G1374" s="1">
        <v>42990</v>
      </c>
      <c r="H1374">
        <v>312</v>
      </c>
      <c r="I1374" t="s">
        <v>3911</v>
      </c>
      <c r="J1374">
        <v>74</v>
      </c>
      <c r="K1374">
        <v>0</v>
      </c>
      <c r="L1374">
        <v>0</v>
      </c>
      <c r="M1374">
        <v>0</v>
      </c>
      <c r="N1374" t="s">
        <v>21</v>
      </c>
      <c r="O1374">
        <v>2017</v>
      </c>
      <c r="P1374" t="s">
        <v>18</v>
      </c>
    </row>
    <row r="1375" spans="1:16" x14ac:dyDescent="0.3">
      <c r="A1375">
        <v>264</v>
      </c>
      <c r="B1375" t="s">
        <v>1443</v>
      </c>
      <c r="C1375" t="s">
        <v>1458</v>
      </c>
      <c r="D1375" t="str">
        <f>VLOOKUP(YouTube_University_Data_Final[[#This Row],[Title]],[1]!YouTube_University_Data_Final[[Title]:[Title_language]],2,FALSE)</f>
        <v>English</v>
      </c>
      <c r="E1375" t="s">
        <v>3912</v>
      </c>
      <c r="F1375">
        <v>27</v>
      </c>
      <c r="G1375" s="1">
        <v>42990</v>
      </c>
      <c r="H1375">
        <v>248</v>
      </c>
      <c r="I1375" t="s">
        <v>3911</v>
      </c>
      <c r="J1375">
        <v>24</v>
      </c>
      <c r="K1375">
        <v>0</v>
      </c>
      <c r="L1375">
        <v>0</v>
      </c>
      <c r="M1375">
        <v>0</v>
      </c>
      <c r="N1375" t="s">
        <v>21</v>
      </c>
      <c r="O1375">
        <v>2017</v>
      </c>
      <c r="P1375" t="s">
        <v>18</v>
      </c>
    </row>
    <row r="1376" spans="1:16" x14ac:dyDescent="0.3">
      <c r="A1376">
        <v>265</v>
      </c>
      <c r="B1376" t="s">
        <v>1443</v>
      </c>
      <c r="C1376" t="s">
        <v>1459</v>
      </c>
      <c r="D1376" t="str">
        <f>VLOOKUP(YouTube_University_Data_Final[[#This Row],[Title]],[1]!YouTube_University_Data_Final[[Title]:[Title_language]],2,FALSE)</f>
        <v>English</v>
      </c>
      <c r="E1376" t="s">
        <v>3913</v>
      </c>
      <c r="F1376">
        <v>27</v>
      </c>
      <c r="G1376" s="1">
        <v>42990</v>
      </c>
      <c r="H1376">
        <v>330</v>
      </c>
      <c r="I1376" t="s">
        <v>3911</v>
      </c>
      <c r="J1376">
        <v>50</v>
      </c>
      <c r="K1376">
        <v>0</v>
      </c>
      <c r="L1376">
        <v>0</v>
      </c>
      <c r="M1376">
        <v>0</v>
      </c>
      <c r="N1376" t="s">
        <v>21</v>
      </c>
      <c r="O1376">
        <v>2017</v>
      </c>
      <c r="P1376" t="s">
        <v>18</v>
      </c>
    </row>
    <row r="1377" spans="1:16" x14ac:dyDescent="0.3">
      <c r="A1377">
        <v>266</v>
      </c>
      <c r="B1377" t="s">
        <v>1443</v>
      </c>
      <c r="C1377" t="s">
        <v>1460</v>
      </c>
      <c r="D1377" t="str">
        <f>VLOOKUP(YouTube_University_Data_Final[[#This Row],[Title]],[1]!YouTube_University_Data_Final[[Title]:[Title_language]],2,FALSE)</f>
        <v>English</v>
      </c>
      <c r="E1377" t="s">
        <v>3914</v>
      </c>
      <c r="F1377">
        <v>27</v>
      </c>
      <c r="G1377" s="1">
        <v>42990</v>
      </c>
      <c r="H1377">
        <v>247</v>
      </c>
      <c r="I1377" t="s">
        <v>3365</v>
      </c>
      <c r="J1377">
        <v>834</v>
      </c>
      <c r="K1377">
        <v>3</v>
      </c>
      <c r="L1377">
        <v>0</v>
      </c>
      <c r="M1377">
        <v>0</v>
      </c>
      <c r="N1377" t="s">
        <v>21</v>
      </c>
      <c r="O1377">
        <v>2017</v>
      </c>
      <c r="P1377" t="s">
        <v>18</v>
      </c>
    </row>
    <row r="1378" spans="1:16" x14ac:dyDescent="0.3">
      <c r="A1378">
        <v>267</v>
      </c>
      <c r="B1378" t="s">
        <v>1443</v>
      </c>
      <c r="C1378" t="s">
        <v>1461</v>
      </c>
      <c r="D1378" t="str">
        <f>VLOOKUP(YouTube_University_Data_Final[[#This Row],[Title]],[1]!YouTube_University_Data_Final[[Title]:[Title_language]],2,FALSE)</f>
        <v>English</v>
      </c>
      <c r="E1378" t="s">
        <v>3915</v>
      </c>
      <c r="F1378">
        <v>27</v>
      </c>
      <c r="G1378" s="1">
        <v>42990</v>
      </c>
      <c r="H1378">
        <v>290</v>
      </c>
      <c r="I1378" t="s">
        <v>3911</v>
      </c>
      <c r="J1378">
        <v>53</v>
      </c>
      <c r="K1378">
        <v>0</v>
      </c>
      <c r="L1378">
        <v>0</v>
      </c>
      <c r="M1378">
        <v>0</v>
      </c>
      <c r="N1378" t="s">
        <v>21</v>
      </c>
      <c r="O1378">
        <v>2017</v>
      </c>
      <c r="P1378" t="s">
        <v>18</v>
      </c>
    </row>
    <row r="1379" spans="1:16" x14ac:dyDescent="0.3">
      <c r="A1379">
        <v>268</v>
      </c>
      <c r="B1379" t="s">
        <v>1443</v>
      </c>
      <c r="C1379" t="s">
        <v>3916</v>
      </c>
      <c r="D1379" t="str">
        <f>VLOOKUP(YouTube_University_Data_Final[[#This Row],[Title]],[1]!YouTube_University_Data_Final[[Title]:[Title_language]],2,FALSE)</f>
        <v>Chinese</v>
      </c>
      <c r="E1379" t="s">
        <v>3917</v>
      </c>
      <c r="F1379">
        <v>27</v>
      </c>
      <c r="G1379" s="1">
        <v>42990</v>
      </c>
      <c r="H1379">
        <v>318</v>
      </c>
      <c r="I1379" t="s">
        <v>3911</v>
      </c>
      <c r="J1379">
        <v>138</v>
      </c>
      <c r="K1379">
        <v>2</v>
      </c>
      <c r="L1379">
        <v>0</v>
      </c>
      <c r="M1379">
        <v>0</v>
      </c>
      <c r="N1379" t="s">
        <v>21</v>
      </c>
      <c r="O1379">
        <v>2017</v>
      </c>
      <c r="P1379" t="s">
        <v>18</v>
      </c>
    </row>
    <row r="1380" spans="1:16" x14ac:dyDescent="0.3">
      <c r="A1380">
        <v>269</v>
      </c>
      <c r="B1380" t="s">
        <v>1443</v>
      </c>
      <c r="C1380" t="s">
        <v>3918</v>
      </c>
      <c r="D1380" t="str">
        <f>VLOOKUP(YouTube_University_Data_Final[[#This Row],[Title]],[1]!YouTube_University_Data_Final[[Title]:[Title_language]],2,FALSE)</f>
        <v>Chinese</v>
      </c>
      <c r="E1380" t="s">
        <v>3919</v>
      </c>
      <c r="F1380">
        <v>27</v>
      </c>
      <c r="G1380" s="1">
        <v>42990</v>
      </c>
      <c r="H1380">
        <v>258</v>
      </c>
      <c r="I1380" t="s">
        <v>3911</v>
      </c>
      <c r="J1380">
        <v>95</v>
      </c>
      <c r="K1380">
        <v>2</v>
      </c>
      <c r="L1380">
        <v>0</v>
      </c>
      <c r="M1380">
        <v>0</v>
      </c>
      <c r="N1380" t="s">
        <v>21</v>
      </c>
      <c r="O1380">
        <v>2017</v>
      </c>
      <c r="P1380" t="s">
        <v>18</v>
      </c>
    </row>
    <row r="1381" spans="1:16" x14ac:dyDescent="0.3">
      <c r="A1381">
        <v>270</v>
      </c>
      <c r="B1381" t="s">
        <v>1443</v>
      </c>
      <c r="C1381" t="s">
        <v>3920</v>
      </c>
      <c r="D1381" t="str">
        <f>VLOOKUP(YouTube_University_Data_Final[[#This Row],[Title]],[1]!YouTube_University_Data_Final[[Title]:[Title_language]],2,FALSE)</f>
        <v>Chinese</v>
      </c>
      <c r="E1381" t="s">
        <v>3921</v>
      </c>
      <c r="F1381">
        <v>27</v>
      </c>
      <c r="G1381" s="1">
        <v>42990</v>
      </c>
      <c r="H1381">
        <v>337</v>
      </c>
      <c r="I1381" t="s">
        <v>3911</v>
      </c>
      <c r="J1381">
        <v>156</v>
      </c>
      <c r="K1381">
        <v>1</v>
      </c>
      <c r="L1381">
        <v>0</v>
      </c>
      <c r="M1381">
        <v>0</v>
      </c>
      <c r="N1381" t="s">
        <v>21</v>
      </c>
      <c r="O1381">
        <v>2017</v>
      </c>
      <c r="P1381" t="s">
        <v>18</v>
      </c>
    </row>
    <row r="1382" spans="1:16" x14ac:dyDescent="0.3">
      <c r="A1382">
        <v>271</v>
      </c>
      <c r="B1382" t="s">
        <v>1443</v>
      </c>
      <c r="C1382" t="s">
        <v>3922</v>
      </c>
      <c r="D1382" t="str">
        <f>VLOOKUP(YouTube_University_Data_Final[[#This Row],[Title]],[1]!YouTube_University_Data_Final[[Title]:[Title_language]],2,FALSE)</f>
        <v>Chinese</v>
      </c>
      <c r="E1382" t="s">
        <v>3923</v>
      </c>
      <c r="F1382">
        <v>27</v>
      </c>
      <c r="G1382" s="1">
        <v>42990</v>
      </c>
      <c r="H1382">
        <v>240</v>
      </c>
      <c r="I1382" t="s">
        <v>3365</v>
      </c>
      <c r="J1382">
        <v>3275</v>
      </c>
      <c r="K1382">
        <v>19</v>
      </c>
      <c r="L1382">
        <v>0</v>
      </c>
      <c r="M1382">
        <v>0</v>
      </c>
      <c r="N1382" t="s">
        <v>21</v>
      </c>
      <c r="O1382">
        <v>2017</v>
      </c>
      <c r="P1382" t="s">
        <v>18</v>
      </c>
    </row>
    <row r="1383" spans="1:16" x14ac:dyDescent="0.3">
      <c r="A1383">
        <v>272</v>
      </c>
      <c r="B1383" t="s">
        <v>1443</v>
      </c>
      <c r="C1383" t="s">
        <v>3924</v>
      </c>
      <c r="D1383" t="str">
        <f>VLOOKUP(YouTube_University_Data_Final[[#This Row],[Title]],[1]!YouTube_University_Data_Final[[Title]:[Title_language]],2,FALSE)</f>
        <v>Chinese</v>
      </c>
      <c r="E1383" t="s">
        <v>3925</v>
      </c>
      <c r="F1383">
        <v>27</v>
      </c>
      <c r="G1383" s="1">
        <v>42990</v>
      </c>
      <c r="H1383">
        <v>289</v>
      </c>
      <c r="I1383" t="s">
        <v>3365</v>
      </c>
      <c r="J1383">
        <v>458</v>
      </c>
      <c r="K1383">
        <v>5</v>
      </c>
      <c r="L1383">
        <v>0</v>
      </c>
      <c r="M1383">
        <v>0</v>
      </c>
      <c r="N1383" t="s">
        <v>21</v>
      </c>
      <c r="O1383">
        <v>2017</v>
      </c>
      <c r="P1383" t="s">
        <v>18</v>
      </c>
    </row>
    <row r="1384" spans="1:16" x14ac:dyDescent="0.3">
      <c r="A1384">
        <v>273</v>
      </c>
      <c r="B1384" t="s">
        <v>1443</v>
      </c>
      <c r="C1384" t="s">
        <v>1462</v>
      </c>
      <c r="D1384" t="str">
        <f>VLOOKUP(YouTube_University_Data_Final[[#This Row],[Title]],[1]!YouTube_University_Data_Final[[Title]:[Title_language]],2,FALSE)</f>
        <v>English</v>
      </c>
      <c r="E1384" t="s">
        <v>3926</v>
      </c>
      <c r="F1384">
        <v>27</v>
      </c>
      <c r="G1384" s="1">
        <v>42982</v>
      </c>
      <c r="H1384">
        <v>286</v>
      </c>
      <c r="I1384" t="s">
        <v>3365</v>
      </c>
      <c r="J1384">
        <v>2132</v>
      </c>
      <c r="K1384">
        <v>12</v>
      </c>
      <c r="L1384">
        <v>0</v>
      </c>
      <c r="M1384">
        <v>0</v>
      </c>
      <c r="N1384" t="s">
        <v>21</v>
      </c>
      <c r="O1384">
        <v>2017</v>
      </c>
      <c r="P1384" t="s">
        <v>18</v>
      </c>
    </row>
    <row r="1385" spans="1:16" x14ac:dyDescent="0.3">
      <c r="A1385">
        <v>274</v>
      </c>
      <c r="B1385" t="s">
        <v>1443</v>
      </c>
      <c r="C1385" t="s">
        <v>3927</v>
      </c>
      <c r="D1385" t="str">
        <f>VLOOKUP(YouTube_University_Data_Final[[#This Row],[Title]],[1]!YouTube_University_Data_Final[[Title]:[Title_language]],2,FALSE)</f>
        <v>Bilingual</v>
      </c>
      <c r="E1385" t="s">
        <v>3928</v>
      </c>
      <c r="F1385">
        <v>27</v>
      </c>
      <c r="G1385" s="1">
        <v>42975</v>
      </c>
      <c r="H1385">
        <v>79</v>
      </c>
      <c r="I1385" t="s">
        <v>3365</v>
      </c>
      <c r="J1385">
        <v>174</v>
      </c>
      <c r="K1385">
        <v>2</v>
      </c>
      <c r="L1385">
        <v>0</v>
      </c>
      <c r="M1385">
        <v>0</v>
      </c>
      <c r="N1385" t="s">
        <v>48</v>
      </c>
      <c r="O1385">
        <v>2017</v>
      </c>
      <c r="P1385" t="s">
        <v>18</v>
      </c>
    </row>
    <row r="1386" spans="1:16" x14ac:dyDescent="0.3">
      <c r="A1386">
        <v>275</v>
      </c>
      <c r="B1386" t="s">
        <v>1443</v>
      </c>
      <c r="C1386" t="s">
        <v>3929</v>
      </c>
      <c r="D1386" t="str">
        <f>VLOOKUP(YouTube_University_Data_Final[[#This Row],[Title]],[1]!YouTube_University_Data_Final[[Title]:[Title_language]],2,FALSE)</f>
        <v>Bilingual</v>
      </c>
      <c r="E1386" t="s">
        <v>3930</v>
      </c>
      <c r="F1386">
        <v>27</v>
      </c>
      <c r="G1386" s="1">
        <v>42968</v>
      </c>
      <c r="H1386">
        <v>131</v>
      </c>
      <c r="I1386" t="s">
        <v>3365</v>
      </c>
      <c r="J1386">
        <v>792</v>
      </c>
      <c r="K1386">
        <v>8</v>
      </c>
      <c r="L1386">
        <v>0</v>
      </c>
      <c r="M1386">
        <v>0</v>
      </c>
      <c r="N1386" t="s">
        <v>48</v>
      </c>
      <c r="O1386">
        <v>2017</v>
      </c>
      <c r="P1386" t="s">
        <v>18</v>
      </c>
    </row>
    <row r="1387" spans="1:16" x14ac:dyDescent="0.3">
      <c r="A1387">
        <v>276</v>
      </c>
      <c r="B1387" t="s">
        <v>1443</v>
      </c>
      <c r="C1387" t="s">
        <v>3931</v>
      </c>
      <c r="D1387" t="str">
        <f>VLOOKUP(YouTube_University_Data_Final[[#This Row],[Title]],[1]!YouTube_University_Data_Final[[Title]:[Title_language]],2,FALSE)</f>
        <v>Bilingual</v>
      </c>
      <c r="E1387" t="s">
        <v>3932</v>
      </c>
      <c r="F1387">
        <v>27</v>
      </c>
      <c r="G1387" s="1">
        <v>42963</v>
      </c>
      <c r="H1387">
        <v>65</v>
      </c>
      <c r="I1387" t="s">
        <v>3365</v>
      </c>
      <c r="J1387">
        <v>470</v>
      </c>
      <c r="K1387">
        <v>4</v>
      </c>
      <c r="L1387">
        <v>0</v>
      </c>
      <c r="M1387">
        <v>0</v>
      </c>
      <c r="N1387" t="s">
        <v>48</v>
      </c>
      <c r="O1387">
        <v>2017</v>
      </c>
      <c r="P1387" t="s">
        <v>18</v>
      </c>
    </row>
    <row r="1388" spans="1:16" x14ac:dyDescent="0.3">
      <c r="A1388">
        <v>277</v>
      </c>
      <c r="B1388" t="s">
        <v>1443</v>
      </c>
      <c r="C1388" t="s">
        <v>3933</v>
      </c>
      <c r="D1388" t="str">
        <f>VLOOKUP(YouTube_University_Data_Final[[#This Row],[Title]],[1]!YouTube_University_Data_Final[[Title]:[Title_language]],2,FALSE)</f>
        <v>Bilingual</v>
      </c>
      <c r="E1388" t="s">
        <v>3934</v>
      </c>
      <c r="F1388">
        <v>27</v>
      </c>
      <c r="G1388" s="1">
        <v>42956</v>
      </c>
      <c r="H1388">
        <v>141</v>
      </c>
      <c r="I1388" t="s">
        <v>3365</v>
      </c>
      <c r="J1388">
        <v>57974</v>
      </c>
      <c r="K1388">
        <v>866</v>
      </c>
      <c r="L1388">
        <v>0</v>
      </c>
      <c r="M1388">
        <v>0</v>
      </c>
      <c r="N1388" t="s">
        <v>48</v>
      </c>
      <c r="O1388">
        <v>2017</v>
      </c>
      <c r="P1388" t="s">
        <v>18</v>
      </c>
    </row>
    <row r="1389" spans="1:16" x14ac:dyDescent="0.3">
      <c r="A1389">
        <v>278</v>
      </c>
      <c r="B1389" t="s">
        <v>1443</v>
      </c>
      <c r="C1389" t="s">
        <v>3935</v>
      </c>
      <c r="D1389" t="str">
        <f>VLOOKUP(YouTube_University_Data_Final[[#This Row],[Title]],[1]!YouTube_University_Data_Final[[Title]:[Title_language]],2,FALSE)</f>
        <v>Bilingual</v>
      </c>
      <c r="E1389" t="s">
        <v>3936</v>
      </c>
      <c r="F1389">
        <v>27</v>
      </c>
      <c r="G1389" s="1">
        <v>42954</v>
      </c>
      <c r="H1389">
        <v>66</v>
      </c>
      <c r="I1389" t="s">
        <v>3365</v>
      </c>
      <c r="J1389">
        <v>91</v>
      </c>
      <c r="K1389">
        <v>0</v>
      </c>
      <c r="L1389">
        <v>0</v>
      </c>
      <c r="M1389">
        <v>0</v>
      </c>
      <c r="N1389" t="s">
        <v>48</v>
      </c>
      <c r="O1389">
        <v>2017</v>
      </c>
      <c r="P1389" t="s">
        <v>18</v>
      </c>
    </row>
    <row r="1390" spans="1:16" x14ac:dyDescent="0.3">
      <c r="A1390">
        <v>279</v>
      </c>
      <c r="B1390" t="s">
        <v>1443</v>
      </c>
      <c r="C1390" t="s">
        <v>3937</v>
      </c>
      <c r="D1390" t="str">
        <f>VLOOKUP(YouTube_University_Data_Final[[#This Row],[Title]],[1]!YouTube_University_Data_Final[[Title]:[Title_language]],2,FALSE)</f>
        <v>Bilingual</v>
      </c>
      <c r="E1390" t="s">
        <v>3938</v>
      </c>
      <c r="F1390">
        <v>27</v>
      </c>
      <c r="G1390" s="1">
        <v>42940</v>
      </c>
      <c r="H1390">
        <v>222</v>
      </c>
      <c r="I1390" t="s">
        <v>3365</v>
      </c>
      <c r="J1390">
        <v>181</v>
      </c>
      <c r="K1390">
        <v>2</v>
      </c>
      <c r="L1390">
        <v>0</v>
      </c>
      <c r="M1390">
        <v>0</v>
      </c>
      <c r="N1390" t="s">
        <v>56</v>
      </c>
      <c r="O1390">
        <v>2017</v>
      </c>
      <c r="P1390" t="s">
        <v>18</v>
      </c>
    </row>
    <row r="1391" spans="1:16" x14ac:dyDescent="0.3">
      <c r="A1391">
        <v>280</v>
      </c>
      <c r="B1391" t="s">
        <v>1443</v>
      </c>
      <c r="C1391" t="s">
        <v>3939</v>
      </c>
      <c r="D1391" t="str">
        <f>VLOOKUP(YouTube_University_Data_Final[[#This Row],[Title]],[1]!YouTube_University_Data_Final[[Title]:[Title_language]],2,FALSE)</f>
        <v>Bilingual</v>
      </c>
      <c r="E1391" t="s">
        <v>3940</v>
      </c>
      <c r="F1391">
        <v>27</v>
      </c>
      <c r="G1391" s="1">
        <v>42933</v>
      </c>
      <c r="H1391">
        <v>131</v>
      </c>
      <c r="I1391" t="s">
        <v>3365</v>
      </c>
      <c r="J1391">
        <v>493</v>
      </c>
      <c r="K1391">
        <v>3</v>
      </c>
      <c r="L1391">
        <v>0</v>
      </c>
      <c r="M1391">
        <v>0</v>
      </c>
      <c r="N1391" t="s">
        <v>56</v>
      </c>
      <c r="O1391">
        <v>2017</v>
      </c>
      <c r="P1391" t="s">
        <v>18</v>
      </c>
    </row>
    <row r="1392" spans="1:16" x14ac:dyDescent="0.3">
      <c r="A1392">
        <v>281</v>
      </c>
      <c r="B1392" t="s">
        <v>1443</v>
      </c>
      <c r="C1392" t="s">
        <v>3941</v>
      </c>
      <c r="D1392" t="str">
        <f>VLOOKUP(YouTube_University_Data_Final[[#This Row],[Title]],[1]!YouTube_University_Data_Final[[Title]:[Title_language]],2,FALSE)</f>
        <v>Bilingual</v>
      </c>
      <c r="E1392" t="s">
        <v>3942</v>
      </c>
      <c r="F1392">
        <v>27</v>
      </c>
      <c r="G1392" s="1">
        <v>42927</v>
      </c>
      <c r="H1392">
        <v>156</v>
      </c>
      <c r="I1392" t="s">
        <v>3365</v>
      </c>
      <c r="J1392">
        <v>195</v>
      </c>
      <c r="K1392">
        <v>1</v>
      </c>
      <c r="L1392">
        <v>0</v>
      </c>
      <c r="M1392">
        <v>0</v>
      </c>
      <c r="N1392" t="s">
        <v>56</v>
      </c>
      <c r="O1392">
        <v>2017</v>
      </c>
      <c r="P1392" t="s">
        <v>18</v>
      </c>
    </row>
    <row r="1393" spans="1:16" x14ac:dyDescent="0.3">
      <c r="A1393">
        <v>282</v>
      </c>
      <c r="B1393" t="s">
        <v>1443</v>
      </c>
      <c r="C1393" t="s">
        <v>3943</v>
      </c>
      <c r="D1393" t="str">
        <f>VLOOKUP(YouTube_University_Data_Final[[#This Row],[Title]],[1]!YouTube_University_Data_Final[[Title]:[Title_language]],2,FALSE)</f>
        <v>Bilingual</v>
      </c>
      <c r="E1393" t="s">
        <v>3944</v>
      </c>
      <c r="F1393">
        <v>27</v>
      </c>
      <c r="G1393" s="1">
        <v>42920</v>
      </c>
      <c r="H1393">
        <v>131</v>
      </c>
      <c r="I1393" t="s">
        <v>3365</v>
      </c>
      <c r="J1393">
        <v>1324</v>
      </c>
      <c r="K1393">
        <v>20</v>
      </c>
      <c r="L1393">
        <v>0</v>
      </c>
      <c r="M1393">
        <v>0</v>
      </c>
      <c r="N1393" t="s">
        <v>56</v>
      </c>
      <c r="O1393">
        <v>2017</v>
      </c>
      <c r="P1393" t="s">
        <v>18</v>
      </c>
    </row>
    <row r="1394" spans="1:16" x14ac:dyDescent="0.3">
      <c r="A1394">
        <v>283</v>
      </c>
      <c r="B1394" t="s">
        <v>1443</v>
      </c>
      <c r="C1394" t="s">
        <v>3945</v>
      </c>
      <c r="D1394" t="str">
        <f>VLOOKUP(YouTube_University_Data_Final[[#This Row],[Title]],[1]!YouTube_University_Data_Final[[Title]:[Title_language]],2,FALSE)</f>
        <v>Bilingual</v>
      </c>
      <c r="E1394" t="s">
        <v>3946</v>
      </c>
      <c r="F1394">
        <v>27</v>
      </c>
      <c r="G1394" s="1">
        <v>42915</v>
      </c>
      <c r="H1394">
        <v>68</v>
      </c>
      <c r="I1394" t="s">
        <v>3365</v>
      </c>
      <c r="J1394">
        <v>277</v>
      </c>
      <c r="K1394">
        <v>1</v>
      </c>
      <c r="L1394">
        <v>0</v>
      </c>
      <c r="M1394">
        <v>0</v>
      </c>
      <c r="N1394" t="s">
        <v>78</v>
      </c>
      <c r="O1394">
        <v>2017</v>
      </c>
      <c r="P1394" t="s">
        <v>18</v>
      </c>
    </row>
    <row r="1395" spans="1:16" x14ac:dyDescent="0.3">
      <c r="A1395">
        <v>284</v>
      </c>
      <c r="B1395" t="s">
        <v>1443</v>
      </c>
      <c r="C1395" t="s">
        <v>3947</v>
      </c>
      <c r="D1395" t="str">
        <f>VLOOKUP(YouTube_University_Data_Final[[#This Row],[Title]],[1]!YouTube_University_Data_Final[[Title]:[Title_language]],2,FALSE)</f>
        <v>Bilingual</v>
      </c>
      <c r="E1395" t="s">
        <v>3948</v>
      </c>
      <c r="F1395">
        <v>27</v>
      </c>
      <c r="G1395" s="1">
        <v>42912</v>
      </c>
      <c r="H1395">
        <v>76</v>
      </c>
      <c r="I1395" t="s">
        <v>3365</v>
      </c>
      <c r="J1395">
        <v>5178</v>
      </c>
      <c r="K1395">
        <v>23</v>
      </c>
      <c r="L1395">
        <v>0</v>
      </c>
      <c r="M1395">
        <v>0</v>
      </c>
      <c r="N1395" t="s">
        <v>78</v>
      </c>
      <c r="O1395">
        <v>2017</v>
      </c>
      <c r="P1395" t="s">
        <v>18</v>
      </c>
    </row>
    <row r="1396" spans="1:16" x14ac:dyDescent="0.3">
      <c r="A1396">
        <v>285</v>
      </c>
      <c r="B1396" t="s">
        <v>1443</v>
      </c>
      <c r="C1396" t="s">
        <v>3949</v>
      </c>
      <c r="D1396" t="str">
        <f>VLOOKUP(YouTube_University_Data_Final[[#This Row],[Title]],[1]!YouTube_University_Data_Final[[Title]:[Title_language]],2,FALSE)</f>
        <v>Bilingual</v>
      </c>
      <c r="E1396" t="s">
        <v>3950</v>
      </c>
      <c r="F1396">
        <v>27</v>
      </c>
      <c r="G1396" s="1">
        <v>42906</v>
      </c>
      <c r="H1396">
        <v>60</v>
      </c>
      <c r="I1396" t="s">
        <v>3365</v>
      </c>
      <c r="J1396">
        <v>228</v>
      </c>
      <c r="K1396">
        <v>9</v>
      </c>
      <c r="L1396">
        <v>0</v>
      </c>
      <c r="M1396">
        <v>0</v>
      </c>
      <c r="N1396" t="s">
        <v>78</v>
      </c>
      <c r="O1396">
        <v>2017</v>
      </c>
      <c r="P1396" t="s">
        <v>18</v>
      </c>
    </row>
    <row r="1397" spans="1:16" x14ac:dyDescent="0.3">
      <c r="A1397">
        <v>286</v>
      </c>
      <c r="B1397" t="s">
        <v>1443</v>
      </c>
      <c r="C1397" t="s">
        <v>3951</v>
      </c>
      <c r="D1397" t="str">
        <f>VLOOKUP(YouTube_University_Data_Final[[#This Row],[Title]],[1]!YouTube_University_Data_Final[[Title]:[Title_language]],2,FALSE)</f>
        <v>Bilingual</v>
      </c>
      <c r="E1397" t="s">
        <v>3952</v>
      </c>
      <c r="F1397">
        <v>27</v>
      </c>
      <c r="G1397" s="1">
        <v>42902</v>
      </c>
      <c r="H1397">
        <v>66</v>
      </c>
      <c r="I1397" t="s">
        <v>3365</v>
      </c>
      <c r="J1397">
        <v>246</v>
      </c>
      <c r="K1397">
        <v>1</v>
      </c>
      <c r="L1397">
        <v>0</v>
      </c>
      <c r="M1397">
        <v>0</v>
      </c>
      <c r="N1397" t="s">
        <v>78</v>
      </c>
      <c r="O1397">
        <v>2017</v>
      </c>
      <c r="P1397" t="s">
        <v>18</v>
      </c>
    </row>
    <row r="1398" spans="1:16" x14ac:dyDescent="0.3">
      <c r="A1398">
        <v>287</v>
      </c>
      <c r="B1398" t="s">
        <v>1443</v>
      </c>
      <c r="C1398" t="s">
        <v>3953</v>
      </c>
      <c r="D1398" t="str">
        <f>VLOOKUP(YouTube_University_Data_Final[[#This Row],[Title]],[1]!YouTube_University_Data_Final[[Title]:[Title_language]],2,FALSE)</f>
        <v>Bilingual</v>
      </c>
      <c r="E1398" t="s">
        <v>3954</v>
      </c>
      <c r="F1398">
        <v>27</v>
      </c>
      <c r="G1398" s="1">
        <v>42887</v>
      </c>
      <c r="H1398">
        <v>385</v>
      </c>
      <c r="I1398" t="s">
        <v>3365</v>
      </c>
      <c r="J1398">
        <v>252</v>
      </c>
      <c r="K1398">
        <v>0</v>
      </c>
      <c r="L1398">
        <v>0</v>
      </c>
      <c r="M1398">
        <v>0</v>
      </c>
      <c r="N1398" t="s">
        <v>78</v>
      </c>
      <c r="O1398">
        <v>2017</v>
      </c>
      <c r="P1398" t="s">
        <v>18</v>
      </c>
    </row>
    <row r="1399" spans="1:16" x14ac:dyDescent="0.3">
      <c r="A1399">
        <v>288</v>
      </c>
      <c r="B1399" t="s">
        <v>1443</v>
      </c>
      <c r="C1399" t="s">
        <v>3955</v>
      </c>
      <c r="D1399" t="str">
        <f>VLOOKUP(YouTube_University_Data_Final[[#This Row],[Title]],[1]!YouTube_University_Data_Final[[Title]:[Title_language]],2,FALSE)</f>
        <v>Bilingual</v>
      </c>
      <c r="E1399" t="s">
        <v>3956</v>
      </c>
      <c r="F1399">
        <v>27</v>
      </c>
      <c r="G1399" s="1">
        <v>42884</v>
      </c>
      <c r="H1399">
        <v>45</v>
      </c>
      <c r="I1399" t="s">
        <v>3365</v>
      </c>
      <c r="J1399">
        <v>782</v>
      </c>
      <c r="K1399">
        <v>4</v>
      </c>
      <c r="L1399">
        <v>0</v>
      </c>
      <c r="M1399">
        <v>0</v>
      </c>
      <c r="N1399" t="s">
        <v>81</v>
      </c>
      <c r="O1399">
        <v>2017</v>
      </c>
      <c r="P1399" t="s">
        <v>18</v>
      </c>
    </row>
    <row r="1400" spans="1:16" x14ac:dyDescent="0.3">
      <c r="A1400">
        <v>289</v>
      </c>
      <c r="B1400" t="s">
        <v>1443</v>
      </c>
      <c r="C1400" t="s">
        <v>3957</v>
      </c>
      <c r="D1400" t="str">
        <f>VLOOKUP(YouTube_University_Data_Final[[#This Row],[Title]],[1]!YouTube_University_Data_Final[[Title]:[Title_language]],2,FALSE)</f>
        <v>Bilingual</v>
      </c>
      <c r="E1400" t="s">
        <v>3958</v>
      </c>
      <c r="F1400">
        <v>27</v>
      </c>
      <c r="G1400" s="1">
        <v>42881</v>
      </c>
      <c r="H1400">
        <v>511</v>
      </c>
      <c r="I1400" t="s">
        <v>3365</v>
      </c>
      <c r="J1400">
        <v>227</v>
      </c>
      <c r="K1400">
        <v>3</v>
      </c>
      <c r="L1400">
        <v>0</v>
      </c>
      <c r="M1400">
        <v>0</v>
      </c>
      <c r="N1400" t="s">
        <v>81</v>
      </c>
      <c r="O1400">
        <v>2017</v>
      </c>
      <c r="P1400" t="s">
        <v>18</v>
      </c>
    </row>
    <row r="1401" spans="1:16" x14ac:dyDescent="0.3">
      <c r="A1401">
        <v>290</v>
      </c>
      <c r="B1401" t="s">
        <v>1443</v>
      </c>
      <c r="C1401" t="s">
        <v>3959</v>
      </c>
      <c r="D1401" t="str">
        <f>VLOOKUP(YouTube_University_Data_Final[[#This Row],[Title]],[1]!YouTube_University_Data_Final[[Title]:[Title_language]],2,FALSE)</f>
        <v>Bilingual</v>
      </c>
      <c r="E1401" t="s">
        <v>3960</v>
      </c>
      <c r="F1401">
        <v>27</v>
      </c>
      <c r="G1401" s="1">
        <v>42875</v>
      </c>
      <c r="H1401">
        <v>90</v>
      </c>
      <c r="I1401" t="s">
        <v>3365</v>
      </c>
      <c r="J1401">
        <v>117</v>
      </c>
      <c r="K1401">
        <v>3</v>
      </c>
      <c r="L1401">
        <v>0</v>
      </c>
      <c r="M1401">
        <v>0</v>
      </c>
      <c r="N1401" t="s">
        <v>81</v>
      </c>
      <c r="O1401">
        <v>2017</v>
      </c>
      <c r="P1401" t="s">
        <v>18</v>
      </c>
    </row>
    <row r="1402" spans="1:16" x14ac:dyDescent="0.3">
      <c r="A1402">
        <v>291</v>
      </c>
      <c r="B1402" t="s">
        <v>1443</v>
      </c>
      <c r="C1402" t="s">
        <v>3961</v>
      </c>
      <c r="D1402" t="str">
        <f>VLOOKUP(YouTube_University_Data_Final[[#This Row],[Title]],[1]!YouTube_University_Data_Final[[Title]:[Title_language]],2,FALSE)</f>
        <v>Bilingual</v>
      </c>
      <c r="E1402" t="s">
        <v>3962</v>
      </c>
      <c r="F1402">
        <v>27</v>
      </c>
      <c r="G1402" s="1">
        <v>42870</v>
      </c>
      <c r="H1402">
        <v>50</v>
      </c>
      <c r="I1402" t="s">
        <v>3963</v>
      </c>
      <c r="J1402">
        <v>3576</v>
      </c>
      <c r="K1402">
        <v>24</v>
      </c>
      <c r="L1402">
        <v>0</v>
      </c>
      <c r="M1402">
        <v>0</v>
      </c>
      <c r="N1402" t="s">
        <v>81</v>
      </c>
      <c r="O1402">
        <v>2017</v>
      </c>
      <c r="P1402" t="s">
        <v>18</v>
      </c>
    </row>
    <row r="1403" spans="1:16" x14ac:dyDescent="0.3">
      <c r="A1403">
        <v>292</v>
      </c>
      <c r="B1403" t="s">
        <v>1443</v>
      </c>
      <c r="C1403" t="s">
        <v>3964</v>
      </c>
      <c r="D1403" t="str">
        <f>VLOOKUP(YouTube_University_Data_Final[[#This Row],[Title]],[1]!YouTube_University_Data_Final[[Title]:[Title_language]],2,FALSE)</f>
        <v>Bilingual</v>
      </c>
      <c r="E1403" t="s">
        <v>3965</v>
      </c>
      <c r="F1403">
        <v>27</v>
      </c>
      <c r="G1403" s="1">
        <v>42848</v>
      </c>
      <c r="H1403">
        <v>221</v>
      </c>
      <c r="I1403" t="s">
        <v>3365</v>
      </c>
      <c r="J1403">
        <v>3205</v>
      </c>
      <c r="K1403">
        <v>41</v>
      </c>
      <c r="L1403">
        <v>0</v>
      </c>
      <c r="M1403">
        <v>0</v>
      </c>
      <c r="N1403" t="s">
        <v>87</v>
      </c>
      <c r="O1403">
        <v>2017</v>
      </c>
      <c r="P1403" t="s">
        <v>18</v>
      </c>
    </row>
    <row r="1404" spans="1:16" x14ac:dyDescent="0.3">
      <c r="A1404">
        <v>293</v>
      </c>
      <c r="B1404" t="s">
        <v>1443</v>
      </c>
      <c r="C1404" t="s">
        <v>3966</v>
      </c>
      <c r="D1404" t="str">
        <f>VLOOKUP(YouTube_University_Data_Final[[#This Row],[Title]],[1]!YouTube_University_Data_Final[[Title]:[Title_language]],2,FALSE)</f>
        <v>Bilingual</v>
      </c>
      <c r="E1404" t="s">
        <v>3967</v>
      </c>
      <c r="F1404">
        <v>27</v>
      </c>
      <c r="G1404" s="1">
        <v>42837</v>
      </c>
      <c r="H1404">
        <v>71</v>
      </c>
      <c r="I1404" t="s">
        <v>3365</v>
      </c>
      <c r="J1404">
        <v>777</v>
      </c>
      <c r="K1404">
        <v>3</v>
      </c>
      <c r="L1404">
        <v>0</v>
      </c>
      <c r="M1404">
        <v>0</v>
      </c>
      <c r="N1404" t="s">
        <v>87</v>
      </c>
      <c r="O1404">
        <v>2017</v>
      </c>
      <c r="P1404" t="s">
        <v>18</v>
      </c>
    </row>
    <row r="1405" spans="1:16" x14ac:dyDescent="0.3">
      <c r="A1405">
        <v>294</v>
      </c>
      <c r="B1405" t="s">
        <v>1443</v>
      </c>
      <c r="C1405" t="s">
        <v>3968</v>
      </c>
      <c r="D1405" t="str">
        <f>VLOOKUP(YouTube_University_Data_Final[[#This Row],[Title]],[1]!YouTube_University_Data_Final[[Title]:[Title_language]],2,FALSE)</f>
        <v>Bilingual</v>
      </c>
      <c r="E1405" t="s">
        <v>3969</v>
      </c>
      <c r="F1405">
        <v>27</v>
      </c>
      <c r="G1405" s="1">
        <v>42835</v>
      </c>
      <c r="H1405">
        <v>160</v>
      </c>
      <c r="I1405" t="s">
        <v>3365</v>
      </c>
      <c r="J1405">
        <v>17770</v>
      </c>
      <c r="K1405">
        <v>279</v>
      </c>
      <c r="L1405">
        <v>0</v>
      </c>
      <c r="M1405">
        <v>0</v>
      </c>
      <c r="N1405" t="s">
        <v>87</v>
      </c>
      <c r="O1405">
        <v>2017</v>
      </c>
      <c r="P1405" t="s">
        <v>18</v>
      </c>
    </row>
    <row r="1406" spans="1:16" x14ac:dyDescent="0.3">
      <c r="A1406">
        <v>295</v>
      </c>
      <c r="B1406" t="s">
        <v>1443</v>
      </c>
      <c r="C1406" t="s">
        <v>3970</v>
      </c>
      <c r="D1406" t="str">
        <f>VLOOKUP(YouTube_University_Data_Final[[#This Row],[Title]],[1]!YouTube_University_Data_Final[[Title]:[Title_language]],2,FALSE)</f>
        <v>Bilingual</v>
      </c>
      <c r="E1406" t="s">
        <v>3971</v>
      </c>
      <c r="F1406">
        <v>27</v>
      </c>
      <c r="G1406" s="1">
        <v>42822</v>
      </c>
      <c r="H1406">
        <v>90</v>
      </c>
      <c r="I1406" t="s">
        <v>3365</v>
      </c>
      <c r="J1406">
        <v>59478</v>
      </c>
      <c r="K1406">
        <v>172</v>
      </c>
      <c r="L1406">
        <v>0</v>
      </c>
      <c r="M1406">
        <v>0</v>
      </c>
      <c r="N1406" t="s">
        <v>90</v>
      </c>
      <c r="O1406">
        <v>2017</v>
      </c>
      <c r="P1406" t="s">
        <v>18</v>
      </c>
    </row>
    <row r="1407" spans="1:16" x14ac:dyDescent="0.3">
      <c r="A1407">
        <v>296</v>
      </c>
      <c r="B1407" t="s">
        <v>1443</v>
      </c>
      <c r="C1407" t="s">
        <v>3972</v>
      </c>
      <c r="D1407" t="str">
        <f>VLOOKUP(YouTube_University_Data_Final[[#This Row],[Title]],[1]!YouTube_University_Data_Final[[Title]:[Title_language]],2,FALSE)</f>
        <v>Bilingual</v>
      </c>
      <c r="E1407" t="s">
        <v>3973</v>
      </c>
      <c r="F1407">
        <v>27</v>
      </c>
      <c r="G1407" s="1">
        <v>42808</v>
      </c>
      <c r="H1407">
        <v>26</v>
      </c>
      <c r="I1407" t="s">
        <v>3365</v>
      </c>
      <c r="J1407">
        <v>8311</v>
      </c>
      <c r="K1407">
        <v>46</v>
      </c>
      <c r="L1407">
        <v>0</v>
      </c>
      <c r="M1407">
        <v>0</v>
      </c>
      <c r="N1407" t="s">
        <v>90</v>
      </c>
      <c r="O1407">
        <v>2017</v>
      </c>
      <c r="P1407" t="s">
        <v>18</v>
      </c>
    </row>
    <row r="1408" spans="1:16" x14ac:dyDescent="0.3">
      <c r="A1408">
        <v>297</v>
      </c>
      <c r="B1408" t="s">
        <v>1443</v>
      </c>
      <c r="C1408" t="s">
        <v>1463</v>
      </c>
      <c r="D1408" t="str">
        <f>VLOOKUP(YouTube_University_Data_Final[[#This Row],[Title]],[1]!YouTube_University_Data_Final[[Title]:[Title_language]],2,FALSE)</f>
        <v>English</v>
      </c>
      <c r="E1408" t="s">
        <v>3974</v>
      </c>
      <c r="F1408">
        <v>27</v>
      </c>
      <c r="G1408" s="1">
        <v>42801</v>
      </c>
      <c r="H1408">
        <v>240</v>
      </c>
      <c r="I1408" t="s">
        <v>3365</v>
      </c>
      <c r="J1408">
        <v>44564</v>
      </c>
      <c r="K1408">
        <v>314</v>
      </c>
      <c r="L1408">
        <v>0</v>
      </c>
      <c r="M1408">
        <v>0</v>
      </c>
      <c r="N1408" t="s">
        <v>90</v>
      </c>
      <c r="O1408">
        <v>2017</v>
      </c>
      <c r="P1408" t="s">
        <v>18</v>
      </c>
    </row>
    <row r="1409" spans="1:16" x14ac:dyDescent="0.3">
      <c r="A1409">
        <v>298</v>
      </c>
      <c r="B1409" t="s">
        <v>1443</v>
      </c>
      <c r="C1409" t="s">
        <v>3975</v>
      </c>
      <c r="D1409" t="str">
        <f>VLOOKUP(YouTube_University_Data_Final[[#This Row],[Title]],[1]!YouTube_University_Data_Final[[Title]:[Title_language]],2,FALSE)</f>
        <v>Bilingual</v>
      </c>
      <c r="E1409" t="s">
        <v>3976</v>
      </c>
      <c r="F1409">
        <v>27</v>
      </c>
      <c r="G1409" s="1">
        <v>42790</v>
      </c>
      <c r="H1409">
        <v>171</v>
      </c>
      <c r="I1409" t="s">
        <v>3365</v>
      </c>
      <c r="J1409">
        <v>2259</v>
      </c>
      <c r="K1409">
        <v>20</v>
      </c>
      <c r="L1409">
        <v>0</v>
      </c>
      <c r="M1409">
        <v>0</v>
      </c>
      <c r="N1409" t="s">
        <v>162</v>
      </c>
      <c r="O1409">
        <v>2017</v>
      </c>
      <c r="P1409" t="s">
        <v>18</v>
      </c>
    </row>
    <row r="1410" spans="1:16" x14ac:dyDescent="0.3">
      <c r="A1410">
        <v>299</v>
      </c>
      <c r="B1410" t="s">
        <v>1443</v>
      </c>
      <c r="C1410" t="s">
        <v>1464</v>
      </c>
      <c r="D1410" t="str">
        <f>VLOOKUP(YouTube_University_Data_Final[[#This Row],[Title]],[1]!YouTube_University_Data_Final[[Title]:[Title_language]],2,FALSE)</f>
        <v>English</v>
      </c>
      <c r="E1410" t="s">
        <v>3977</v>
      </c>
      <c r="F1410">
        <v>27</v>
      </c>
      <c r="G1410" s="1">
        <v>42790</v>
      </c>
      <c r="H1410">
        <v>146</v>
      </c>
      <c r="I1410" t="s">
        <v>3365</v>
      </c>
      <c r="J1410">
        <v>203</v>
      </c>
      <c r="K1410">
        <v>1</v>
      </c>
      <c r="L1410">
        <v>0</v>
      </c>
      <c r="M1410">
        <v>0</v>
      </c>
      <c r="N1410" t="s">
        <v>162</v>
      </c>
      <c r="O1410">
        <v>2017</v>
      </c>
      <c r="P1410" t="s">
        <v>18</v>
      </c>
    </row>
    <row r="1411" spans="1:16" x14ac:dyDescent="0.3">
      <c r="A1411">
        <v>300</v>
      </c>
      <c r="B1411" t="s">
        <v>1443</v>
      </c>
      <c r="C1411" t="s">
        <v>3978</v>
      </c>
      <c r="D1411" t="str">
        <f>VLOOKUP(YouTube_University_Data_Final[[#This Row],[Title]],[1]!YouTube_University_Data_Final[[Title]:[Title_language]],2,FALSE)</f>
        <v>Bilingual</v>
      </c>
      <c r="E1411" t="s">
        <v>3979</v>
      </c>
      <c r="F1411">
        <v>27</v>
      </c>
      <c r="G1411" s="1">
        <v>42779</v>
      </c>
      <c r="H1411">
        <v>111</v>
      </c>
      <c r="I1411" t="s">
        <v>3365</v>
      </c>
      <c r="J1411">
        <v>107</v>
      </c>
      <c r="K1411">
        <v>3</v>
      </c>
      <c r="L1411">
        <v>0</v>
      </c>
      <c r="M1411">
        <v>0</v>
      </c>
      <c r="N1411" t="s">
        <v>162</v>
      </c>
      <c r="O1411">
        <v>2017</v>
      </c>
      <c r="P1411" t="s">
        <v>18</v>
      </c>
    </row>
    <row r="1412" spans="1:16" x14ac:dyDescent="0.3">
      <c r="A1412">
        <v>301</v>
      </c>
      <c r="B1412" t="s">
        <v>1443</v>
      </c>
      <c r="C1412" t="s">
        <v>3980</v>
      </c>
      <c r="D1412" t="str">
        <f>VLOOKUP(YouTube_University_Data_Final[[#This Row],[Title]],[1]!YouTube_University_Data_Final[[Title]:[Title_language]],2,FALSE)</f>
        <v>Bilingual</v>
      </c>
      <c r="E1412" t="s">
        <v>3981</v>
      </c>
      <c r="F1412">
        <v>27</v>
      </c>
      <c r="G1412" s="1">
        <v>42775</v>
      </c>
      <c r="H1412">
        <v>36</v>
      </c>
      <c r="I1412" t="s">
        <v>3982</v>
      </c>
      <c r="J1412">
        <v>170</v>
      </c>
      <c r="K1412">
        <v>3</v>
      </c>
      <c r="L1412">
        <v>0</v>
      </c>
      <c r="M1412">
        <v>0</v>
      </c>
      <c r="N1412" t="s">
        <v>162</v>
      </c>
      <c r="O1412">
        <v>2017</v>
      </c>
      <c r="P1412" t="s">
        <v>18</v>
      </c>
    </row>
    <row r="1413" spans="1:16" x14ac:dyDescent="0.3">
      <c r="A1413">
        <v>302</v>
      </c>
      <c r="B1413" t="s">
        <v>1443</v>
      </c>
      <c r="C1413" t="s">
        <v>3983</v>
      </c>
      <c r="D1413" t="str">
        <f>VLOOKUP(YouTube_University_Data_Final[[#This Row],[Title]],[1]!YouTube_University_Data_Final[[Title]:[Title_language]],2,FALSE)</f>
        <v>Bilingual</v>
      </c>
      <c r="E1413" t="s">
        <v>3984</v>
      </c>
      <c r="F1413">
        <v>27</v>
      </c>
      <c r="G1413" s="1">
        <v>42761</v>
      </c>
      <c r="H1413">
        <v>172</v>
      </c>
      <c r="I1413" t="s">
        <v>3985</v>
      </c>
      <c r="J1413">
        <v>3176</v>
      </c>
      <c r="K1413">
        <v>16</v>
      </c>
      <c r="L1413">
        <v>0</v>
      </c>
      <c r="M1413">
        <v>0</v>
      </c>
      <c r="N1413" t="s">
        <v>93</v>
      </c>
      <c r="O1413">
        <v>2017</v>
      </c>
      <c r="P1413" t="s">
        <v>18</v>
      </c>
    </row>
    <row r="1414" spans="1:16" x14ac:dyDescent="0.3">
      <c r="A1414">
        <v>303</v>
      </c>
      <c r="B1414" t="s">
        <v>1443</v>
      </c>
      <c r="C1414" t="s">
        <v>3986</v>
      </c>
      <c r="D1414" t="str">
        <f>VLOOKUP(YouTube_University_Data_Final[[#This Row],[Title]],[1]!YouTube_University_Data_Final[[Title]:[Title_language]],2,FALSE)</f>
        <v>Bilingual</v>
      </c>
      <c r="E1414" t="s">
        <v>3987</v>
      </c>
      <c r="F1414">
        <v>27</v>
      </c>
      <c r="G1414" s="1">
        <v>42752</v>
      </c>
      <c r="H1414">
        <v>2</v>
      </c>
      <c r="I1414" t="s">
        <v>3365</v>
      </c>
      <c r="J1414">
        <v>116</v>
      </c>
      <c r="K1414">
        <v>1</v>
      </c>
      <c r="L1414">
        <v>0</v>
      </c>
      <c r="M1414">
        <v>0</v>
      </c>
      <c r="N1414" t="s">
        <v>93</v>
      </c>
      <c r="O1414">
        <v>2017</v>
      </c>
      <c r="P1414" t="s">
        <v>18</v>
      </c>
    </row>
    <row r="1415" spans="1:16" x14ac:dyDescent="0.3">
      <c r="A1415">
        <v>304</v>
      </c>
      <c r="B1415" t="s">
        <v>1443</v>
      </c>
      <c r="C1415" t="s">
        <v>3988</v>
      </c>
      <c r="D1415" t="str">
        <f>VLOOKUP(YouTube_University_Data_Final[[#This Row],[Title]],[1]!YouTube_University_Data_Final[[Title]:[Title_language]],2,FALSE)</f>
        <v>Bilingual</v>
      </c>
      <c r="E1415" t="s">
        <v>3989</v>
      </c>
      <c r="F1415">
        <v>27</v>
      </c>
      <c r="G1415" s="1">
        <v>42748</v>
      </c>
      <c r="H1415">
        <v>200</v>
      </c>
      <c r="I1415" t="s">
        <v>3990</v>
      </c>
      <c r="J1415">
        <v>3794</v>
      </c>
      <c r="K1415">
        <v>18</v>
      </c>
      <c r="L1415">
        <v>0</v>
      </c>
      <c r="M1415">
        <v>0</v>
      </c>
      <c r="N1415" t="s">
        <v>93</v>
      </c>
      <c r="O1415">
        <v>2017</v>
      </c>
      <c r="P1415" t="s">
        <v>18</v>
      </c>
    </row>
    <row r="1416" spans="1:16" x14ac:dyDescent="0.3">
      <c r="A1416">
        <v>305</v>
      </c>
      <c r="B1416" t="s">
        <v>1443</v>
      </c>
      <c r="C1416" t="s">
        <v>3991</v>
      </c>
      <c r="D1416" t="str">
        <f>VLOOKUP(YouTube_University_Data_Final[[#This Row],[Title]],[1]!YouTube_University_Data_Final[[Title]:[Title_language]],2,FALSE)</f>
        <v>Bilingual</v>
      </c>
      <c r="E1416" t="s">
        <v>3992</v>
      </c>
      <c r="F1416">
        <v>27</v>
      </c>
      <c r="G1416" s="1">
        <v>42733</v>
      </c>
      <c r="H1416">
        <v>264</v>
      </c>
      <c r="I1416" t="s">
        <v>3365</v>
      </c>
      <c r="J1416">
        <v>178</v>
      </c>
      <c r="K1416">
        <v>0</v>
      </c>
      <c r="L1416">
        <v>0</v>
      </c>
      <c r="M1416">
        <v>0</v>
      </c>
      <c r="N1416" t="s">
        <v>98</v>
      </c>
      <c r="O1416">
        <v>2016</v>
      </c>
      <c r="P1416" t="s">
        <v>18</v>
      </c>
    </row>
    <row r="1417" spans="1:16" x14ac:dyDescent="0.3">
      <c r="A1417">
        <v>306</v>
      </c>
      <c r="B1417" t="s">
        <v>1443</v>
      </c>
      <c r="C1417" t="s">
        <v>3993</v>
      </c>
      <c r="D1417" t="str">
        <f>VLOOKUP(YouTube_University_Data_Final[[#This Row],[Title]],[1]!YouTube_University_Data_Final[[Title]:[Title_language]],2,FALSE)</f>
        <v>Bilingual</v>
      </c>
      <c r="E1417" t="s">
        <v>3994</v>
      </c>
      <c r="F1417">
        <v>27</v>
      </c>
      <c r="G1417" s="1">
        <v>42733</v>
      </c>
      <c r="H1417">
        <v>150</v>
      </c>
      <c r="I1417" t="s">
        <v>3365</v>
      </c>
      <c r="J1417">
        <v>175</v>
      </c>
      <c r="K1417">
        <v>2</v>
      </c>
      <c r="L1417">
        <v>0</v>
      </c>
      <c r="M1417">
        <v>0</v>
      </c>
      <c r="N1417" t="s">
        <v>98</v>
      </c>
      <c r="O1417">
        <v>2016</v>
      </c>
      <c r="P1417" t="s">
        <v>18</v>
      </c>
    </row>
    <row r="1418" spans="1:16" x14ac:dyDescent="0.3">
      <c r="A1418">
        <v>307</v>
      </c>
      <c r="B1418" t="s">
        <v>1443</v>
      </c>
      <c r="C1418" t="s">
        <v>3995</v>
      </c>
      <c r="D1418" t="str">
        <f>VLOOKUP(YouTube_University_Data_Final[[#This Row],[Title]],[1]!YouTube_University_Data_Final[[Title]:[Title_language]],2,FALSE)</f>
        <v>Bilingual</v>
      </c>
      <c r="E1418" t="s">
        <v>3996</v>
      </c>
      <c r="F1418">
        <v>27</v>
      </c>
      <c r="G1418" s="1">
        <v>42726</v>
      </c>
      <c r="H1418">
        <v>381</v>
      </c>
      <c r="I1418" t="s">
        <v>3365</v>
      </c>
      <c r="J1418">
        <v>1588</v>
      </c>
      <c r="K1418">
        <v>2</v>
      </c>
      <c r="L1418">
        <v>0</v>
      </c>
      <c r="M1418">
        <v>0</v>
      </c>
      <c r="N1418" t="s">
        <v>98</v>
      </c>
      <c r="O1418">
        <v>2016</v>
      </c>
      <c r="P1418" t="s">
        <v>18</v>
      </c>
    </row>
    <row r="1419" spans="1:16" x14ac:dyDescent="0.3">
      <c r="A1419">
        <v>308</v>
      </c>
      <c r="B1419" t="s">
        <v>1443</v>
      </c>
      <c r="C1419" t="s">
        <v>3997</v>
      </c>
      <c r="D1419" t="str">
        <f>VLOOKUP(YouTube_University_Data_Final[[#This Row],[Title]],[1]!YouTube_University_Data_Final[[Title]:[Title_language]],2,FALSE)</f>
        <v>Bilingual</v>
      </c>
      <c r="E1419" t="s">
        <v>3998</v>
      </c>
      <c r="F1419">
        <v>27</v>
      </c>
      <c r="G1419" s="1">
        <v>42724</v>
      </c>
      <c r="H1419">
        <v>280</v>
      </c>
      <c r="I1419" t="s">
        <v>3365</v>
      </c>
      <c r="J1419">
        <v>795</v>
      </c>
      <c r="K1419">
        <v>4</v>
      </c>
      <c r="L1419">
        <v>0</v>
      </c>
      <c r="M1419">
        <v>0</v>
      </c>
      <c r="N1419" t="s">
        <v>98</v>
      </c>
      <c r="O1419">
        <v>2016</v>
      </c>
      <c r="P1419" t="s">
        <v>18</v>
      </c>
    </row>
    <row r="1420" spans="1:16" x14ac:dyDescent="0.3">
      <c r="A1420">
        <v>309</v>
      </c>
      <c r="B1420" t="s">
        <v>1443</v>
      </c>
      <c r="C1420" t="s">
        <v>1465</v>
      </c>
      <c r="D1420" t="str">
        <f>VLOOKUP(YouTube_University_Data_Final[[#This Row],[Title]],[1]!YouTube_University_Data_Final[[Title]:[Title_language]],2,FALSE)</f>
        <v>English</v>
      </c>
      <c r="E1420" t="s">
        <v>3999</v>
      </c>
      <c r="F1420">
        <v>27</v>
      </c>
      <c r="G1420" s="1">
        <v>42717</v>
      </c>
      <c r="H1420">
        <v>81</v>
      </c>
      <c r="I1420" t="s">
        <v>4000</v>
      </c>
      <c r="J1420">
        <v>664</v>
      </c>
      <c r="K1420">
        <v>2</v>
      </c>
      <c r="L1420">
        <v>0</v>
      </c>
      <c r="M1420">
        <v>0</v>
      </c>
      <c r="N1420" t="s">
        <v>98</v>
      </c>
      <c r="O1420">
        <v>2016</v>
      </c>
      <c r="P1420" t="s">
        <v>18</v>
      </c>
    </row>
    <row r="1421" spans="1:16" x14ac:dyDescent="0.3">
      <c r="A1421">
        <v>310</v>
      </c>
      <c r="B1421" t="s">
        <v>1443</v>
      </c>
      <c r="C1421" t="s">
        <v>4001</v>
      </c>
      <c r="D1421" t="str">
        <f>VLOOKUP(YouTube_University_Data_Final[[#This Row],[Title]],[1]!YouTube_University_Data_Final[[Title]:[Title_language]],2,FALSE)</f>
        <v>Chinese</v>
      </c>
      <c r="E1421" t="s">
        <v>4002</v>
      </c>
      <c r="F1421">
        <v>27</v>
      </c>
      <c r="G1421" s="1">
        <v>42717</v>
      </c>
      <c r="H1421">
        <v>93</v>
      </c>
      <c r="I1421" t="s">
        <v>4000</v>
      </c>
      <c r="J1421">
        <v>221</v>
      </c>
      <c r="K1421">
        <v>1</v>
      </c>
      <c r="L1421">
        <v>0</v>
      </c>
      <c r="M1421">
        <v>0</v>
      </c>
      <c r="N1421" t="s">
        <v>98</v>
      </c>
      <c r="O1421">
        <v>2016</v>
      </c>
      <c r="P1421" t="s">
        <v>18</v>
      </c>
    </row>
    <row r="1422" spans="1:16" x14ac:dyDescent="0.3">
      <c r="A1422">
        <v>311</v>
      </c>
      <c r="B1422" t="s">
        <v>1443</v>
      </c>
      <c r="C1422" t="s">
        <v>4003</v>
      </c>
      <c r="D1422" t="str">
        <f>VLOOKUP(YouTube_University_Data_Final[[#This Row],[Title]],[1]!YouTube_University_Data_Final[[Title]:[Title_language]],2,FALSE)</f>
        <v>Bilingual</v>
      </c>
      <c r="E1422" t="s">
        <v>4004</v>
      </c>
      <c r="F1422">
        <v>27</v>
      </c>
      <c r="G1422" s="1">
        <v>42710</v>
      </c>
      <c r="H1422">
        <v>271</v>
      </c>
      <c r="I1422" t="s">
        <v>3365</v>
      </c>
      <c r="J1422">
        <v>157</v>
      </c>
      <c r="K1422">
        <v>1</v>
      </c>
      <c r="L1422">
        <v>0</v>
      </c>
      <c r="M1422">
        <v>0</v>
      </c>
      <c r="N1422" t="s">
        <v>98</v>
      </c>
      <c r="O1422">
        <v>2016</v>
      </c>
      <c r="P1422" t="s">
        <v>18</v>
      </c>
    </row>
    <row r="1423" spans="1:16" x14ac:dyDescent="0.3">
      <c r="A1423">
        <v>312</v>
      </c>
      <c r="B1423" t="s">
        <v>1443</v>
      </c>
      <c r="C1423" t="s">
        <v>4005</v>
      </c>
      <c r="D1423" t="str">
        <f>VLOOKUP(YouTube_University_Data_Final[[#This Row],[Title]],[1]!YouTube_University_Data_Final[[Title]:[Title_language]],2,FALSE)</f>
        <v>Bilingual</v>
      </c>
      <c r="E1423" t="s">
        <v>4006</v>
      </c>
      <c r="F1423">
        <v>27</v>
      </c>
      <c r="G1423" s="1">
        <v>42710</v>
      </c>
      <c r="H1423">
        <v>616</v>
      </c>
      <c r="I1423" t="s">
        <v>3365</v>
      </c>
      <c r="J1423">
        <v>968</v>
      </c>
      <c r="K1423">
        <v>5</v>
      </c>
      <c r="L1423">
        <v>0</v>
      </c>
      <c r="M1423">
        <v>0</v>
      </c>
      <c r="N1423" t="s">
        <v>98</v>
      </c>
      <c r="O1423">
        <v>2016</v>
      </c>
      <c r="P1423" t="s">
        <v>18</v>
      </c>
    </row>
    <row r="1424" spans="1:16" x14ac:dyDescent="0.3">
      <c r="A1424">
        <v>313</v>
      </c>
      <c r="B1424" t="s">
        <v>1443</v>
      </c>
      <c r="C1424" t="s">
        <v>4007</v>
      </c>
      <c r="D1424" t="str">
        <f>VLOOKUP(YouTube_University_Data_Final[[#This Row],[Title]],[1]!YouTube_University_Data_Final[[Title]:[Title_language]],2,FALSE)</f>
        <v>Bilingual</v>
      </c>
      <c r="E1424" t="s">
        <v>4008</v>
      </c>
      <c r="F1424">
        <v>27</v>
      </c>
      <c r="G1424" s="1">
        <v>42710</v>
      </c>
      <c r="H1424">
        <v>695</v>
      </c>
      <c r="I1424" t="s">
        <v>3365</v>
      </c>
      <c r="J1424">
        <v>1075</v>
      </c>
      <c r="K1424">
        <v>4</v>
      </c>
      <c r="L1424">
        <v>0</v>
      </c>
      <c r="M1424">
        <v>0</v>
      </c>
      <c r="N1424" t="s">
        <v>98</v>
      </c>
      <c r="O1424">
        <v>2016</v>
      </c>
      <c r="P1424" t="s">
        <v>18</v>
      </c>
    </row>
    <row r="1425" spans="1:16" x14ac:dyDescent="0.3">
      <c r="A1425">
        <v>314</v>
      </c>
      <c r="B1425" t="s">
        <v>1443</v>
      </c>
      <c r="C1425" t="s">
        <v>4009</v>
      </c>
      <c r="D1425" t="str">
        <f>VLOOKUP(YouTube_University_Data_Final[[#This Row],[Title]],[1]!YouTube_University_Data_Final[[Title]:[Title_language]],2,FALSE)</f>
        <v>Bilingual</v>
      </c>
      <c r="E1425" t="s">
        <v>4010</v>
      </c>
      <c r="F1425">
        <v>27</v>
      </c>
      <c r="G1425" s="1">
        <v>42661</v>
      </c>
      <c r="H1425">
        <v>111</v>
      </c>
      <c r="I1425" t="s">
        <v>3365</v>
      </c>
      <c r="J1425">
        <v>1099</v>
      </c>
      <c r="K1425">
        <v>3</v>
      </c>
      <c r="L1425">
        <v>0</v>
      </c>
      <c r="M1425">
        <v>0</v>
      </c>
      <c r="N1425" t="s">
        <v>17</v>
      </c>
      <c r="O1425">
        <v>2016</v>
      </c>
      <c r="P1425" t="s">
        <v>18</v>
      </c>
    </row>
    <row r="1426" spans="1:16" x14ac:dyDescent="0.3">
      <c r="A1426">
        <v>315</v>
      </c>
      <c r="B1426" t="s">
        <v>1443</v>
      </c>
      <c r="C1426" t="s">
        <v>4011</v>
      </c>
      <c r="D1426" t="str">
        <f>VLOOKUP(YouTube_University_Data_Final[[#This Row],[Title]],[1]!YouTube_University_Data_Final[[Title]:[Title_language]],2,FALSE)</f>
        <v>Bilingual</v>
      </c>
      <c r="E1426" t="s">
        <v>4012</v>
      </c>
      <c r="F1426">
        <v>27</v>
      </c>
      <c r="G1426" s="1">
        <v>42619</v>
      </c>
      <c r="H1426">
        <v>409</v>
      </c>
      <c r="I1426" t="s">
        <v>3365</v>
      </c>
      <c r="J1426">
        <v>1370</v>
      </c>
      <c r="K1426">
        <v>9</v>
      </c>
      <c r="L1426">
        <v>0</v>
      </c>
      <c r="M1426">
        <v>0</v>
      </c>
      <c r="N1426" t="s">
        <v>21</v>
      </c>
      <c r="O1426">
        <v>2016</v>
      </c>
      <c r="P1426" t="s">
        <v>18</v>
      </c>
    </row>
    <row r="1427" spans="1:16" x14ac:dyDescent="0.3">
      <c r="A1427">
        <v>316</v>
      </c>
      <c r="B1427" t="s">
        <v>1443</v>
      </c>
      <c r="C1427" t="s">
        <v>4013</v>
      </c>
      <c r="D1427" t="str">
        <f>VLOOKUP(YouTube_University_Data_Final[[#This Row],[Title]],[1]!YouTube_University_Data_Final[[Title]:[Title_language]],2,FALSE)</f>
        <v>Chinese</v>
      </c>
      <c r="E1427" t="s">
        <v>4014</v>
      </c>
      <c r="F1427">
        <v>27</v>
      </c>
      <c r="G1427" s="1">
        <v>42608</v>
      </c>
      <c r="H1427">
        <v>629</v>
      </c>
      <c r="I1427" t="s">
        <v>3365</v>
      </c>
      <c r="J1427">
        <v>5766</v>
      </c>
      <c r="K1427">
        <v>36</v>
      </c>
      <c r="L1427">
        <v>0</v>
      </c>
      <c r="M1427">
        <v>0</v>
      </c>
      <c r="N1427" t="s">
        <v>48</v>
      </c>
      <c r="O1427">
        <v>2016</v>
      </c>
      <c r="P1427" t="s">
        <v>18</v>
      </c>
    </row>
    <row r="1428" spans="1:16" x14ac:dyDescent="0.3">
      <c r="A1428">
        <v>317</v>
      </c>
      <c r="B1428" t="s">
        <v>1443</v>
      </c>
      <c r="C1428" t="s">
        <v>4015</v>
      </c>
      <c r="D1428" t="str">
        <f>VLOOKUP(YouTube_University_Data_Final[[#This Row],[Title]],[1]!YouTube_University_Data_Final[[Title]:[Title_language]],2,FALSE)</f>
        <v>Bilingual</v>
      </c>
      <c r="E1428" t="s">
        <v>4016</v>
      </c>
      <c r="F1428">
        <v>27</v>
      </c>
      <c r="G1428" s="1">
        <v>42594</v>
      </c>
      <c r="H1428">
        <v>246</v>
      </c>
      <c r="I1428" t="s">
        <v>3365</v>
      </c>
      <c r="J1428">
        <v>102</v>
      </c>
      <c r="K1428">
        <v>3</v>
      </c>
      <c r="L1428">
        <v>0</v>
      </c>
      <c r="M1428">
        <v>0</v>
      </c>
      <c r="N1428" t="s">
        <v>48</v>
      </c>
      <c r="O1428">
        <v>2016</v>
      </c>
      <c r="P1428" t="s">
        <v>18</v>
      </c>
    </row>
    <row r="1429" spans="1:16" x14ac:dyDescent="0.3">
      <c r="A1429">
        <v>318</v>
      </c>
      <c r="B1429" t="s">
        <v>1443</v>
      </c>
      <c r="C1429" t="s">
        <v>4017</v>
      </c>
      <c r="D1429" t="str">
        <f>VLOOKUP(YouTube_University_Data_Final[[#This Row],[Title]],[1]!YouTube_University_Data_Final[[Title]:[Title_language]],2,FALSE)</f>
        <v>Bilingual</v>
      </c>
      <c r="E1429" t="s">
        <v>4018</v>
      </c>
      <c r="F1429">
        <v>27</v>
      </c>
      <c r="G1429" s="1">
        <v>42580</v>
      </c>
      <c r="H1429">
        <v>156</v>
      </c>
      <c r="I1429" t="s">
        <v>3365</v>
      </c>
      <c r="J1429">
        <v>4782</v>
      </c>
      <c r="K1429">
        <v>17</v>
      </c>
      <c r="L1429">
        <v>0</v>
      </c>
      <c r="M1429">
        <v>0</v>
      </c>
      <c r="N1429" t="s">
        <v>56</v>
      </c>
      <c r="O1429">
        <v>2016</v>
      </c>
      <c r="P1429" t="s">
        <v>18</v>
      </c>
    </row>
    <row r="1430" spans="1:16" x14ac:dyDescent="0.3">
      <c r="A1430">
        <v>319</v>
      </c>
      <c r="B1430" t="s">
        <v>1443</v>
      </c>
      <c r="C1430" t="s">
        <v>4019</v>
      </c>
      <c r="D1430" t="str">
        <f>VLOOKUP(YouTube_University_Data_Final[[#This Row],[Title]],[1]!YouTube_University_Data_Final[[Title]:[Title_language]],2,FALSE)</f>
        <v>Bilingual</v>
      </c>
      <c r="E1430" t="s">
        <v>4020</v>
      </c>
      <c r="F1430">
        <v>27</v>
      </c>
      <c r="G1430" s="1">
        <v>42565</v>
      </c>
      <c r="H1430">
        <v>208</v>
      </c>
      <c r="I1430" t="s">
        <v>3365</v>
      </c>
      <c r="J1430">
        <v>131</v>
      </c>
      <c r="K1430">
        <v>1</v>
      </c>
      <c r="L1430">
        <v>0</v>
      </c>
      <c r="M1430">
        <v>0</v>
      </c>
      <c r="N1430" t="s">
        <v>56</v>
      </c>
      <c r="O1430">
        <v>2016</v>
      </c>
      <c r="P1430" t="s">
        <v>18</v>
      </c>
    </row>
    <row r="1431" spans="1:16" x14ac:dyDescent="0.3">
      <c r="A1431">
        <v>320</v>
      </c>
      <c r="B1431" t="s">
        <v>1443</v>
      </c>
      <c r="C1431" t="s">
        <v>4021</v>
      </c>
      <c r="D1431" t="str">
        <f>VLOOKUP(YouTube_University_Data_Final[[#This Row],[Title]],[1]!YouTube_University_Data_Final[[Title]:[Title_language]],2,FALSE)</f>
        <v>Bilingual</v>
      </c>
      <c r="E1431" t="s">
        <v>4022</v>
      </c>
      <c r="F1431">
        <v>27</v>
      </c>
      <c r="G1431" s="1">
        <v>42537</v>
      </c>
      <c r="H1431">
        <v>265</v>
      </c>
      <c r="I1431" t="s">
        <v>3365</v>
      </c>
      <c r="J1431">
        <v>790</v>
      </c>
      <c r="K1431">
        <v>4</v>
      </c>
      <c r="L1431">
        <v>0</v>
      </c>
      <c r="M1431">
        <v>0</v>
      </c>
      <c r="N1431" t="s">
        <v>78</v>
      </c>
      <c r="O1431">
        <v>2016</v>
      </c>
      <c r="P1431" t="s">
        <v>18</v>
      </c>
    </row>
    <row r="1432" spans="1:16" x14ac:dyDescent="0.3">
      <c r="A1432">
        <v>321</v>
      </c>
      <c r="B1432" t="s">
        <v>1443</v>
      </c>
      <c r="C1432" t="s">
        <v>1466</v>
      </c>
      <c r="D1432" t="str">
        <f>VLOOKUP(YouTube_University_Data_Final[[#This Row],[Title]],[1]!YouTube_University_Data_Final[[Title]:[Title_language]],2,FALSE)</f>
        <v>English</v>
      </c>
      <c r="E1432" t="s">
        <v>4023</v>
      </c>
      <c r="F1432">
        <v>27</v>
      </c>
      <c r="G1432" s="1">
        <v>42527</v>
      </c>
      <c r="H1432">
        <v>539</v>
      </c>
      <c r="I1432" t="s">
        <v>3365</v>
      </c>
      <c r="J1432">
        <v>734</v>
      </c>
      <c r="K1432">
        <v>10</v>
      </c>
      <c r="L1432">
        <v>0</v>
      </c>
      <c r="M1432">
        <v>0</v>
      </c>
      <c r="N1432" t="s">
        <v>78</v>
      </c>
      <c r="O1432">
        <v>2016</v>
      </c>
      <c r="P1432" t="s">
        <v>18</v>
      </c>
    </row>
    <row r="1433" spans="1:16" x14ac:dyDescent="0.3">
      <c r="A1433">
        <v>322</v>
      </c>
      <c r="B1433" t="s">
        <v>1443</v>
      </c>
      <c r="C1433" t="s">
        <v>4024</v>
      </c>
      <c r="D1433" t="str">
        <f>VLOOKUP(YouTube_University_Data_Final[[#This Row],[Title]],[1]!YouTube_University_Data_Final[[Title]:[Title_language]],2,FALSE)</f>
        <v>Chinese</v>
      </c>
      <c r="E1433" t="s">
        <v>4025</v>
      </c>
      <c r="F1433">
        <v>27</v>
      </c>
      <c r="G1433" s="1">
        <v>42527</v>
      </c>
      <c r="H1433">
        <v>539</v>
      </c>
      <c r="I1433" t="s">
        <v>3365</v>
      </c>
      <c r="J1433">
        <v>1965</v>
      </c>
      <c r="K1433">
        <v>34</v>
      </c>
      <c r="L1433">
        <v>0</v>
      </c>
      <c r="M1433">
        <v>0</v>
      </c>
      <c r="N1433" t="s">
        <v>78</v>
      </c>
      <c r="O1433">
        <v>2016</v>
      </c>
      <c r="P1433" t="s">
        <v>18</v>
      </c>
    </row>
    <row r="1434" spans="1:16" x14ac:dyDescent="0.3">
      <c r="A1434">
        <v>323</v>
      </c>
      <c r="B1434" t="s">
        <v>1443</v>
      </c>
      <c r="C1434" t="s">
        <v>4026</v>
      </c>
      <c r="D1434" t="str">
        <f>VLOOKUP(YouTube_University_Data_Final[[#This Row],[Title]],[1]!YouTube_University_Data_Final[[Title]:[Title_language]],2,FALSE)</f>
        <v>Bilingual</v>
      </c>
      <c r="E1434" t="s">
        <v>4027</v>
      </c>
      <c r="F1434">
        <v>27</v>
      </c>
      <c r="G1434" s="1">
        <v>42521</v>
      </c>
      <c r="H1434">
        <v>301</v>
      </c>
      <c r="I1434" t="s">
        <v>3365</v>
      </c>
      <c r="J1434">
        <v>570</v>
      </c>
      <c r="K1434">
        <v>0</v>
      </c>
      <c r="L1434">
        <v>0</v>
      </c>
      <c r="M1434">
        <v>0</v>
      </c>
      <c r="N1434" t="s">
        <v>81</v>
      </c>
      <c r="O1434">
        <v>2016</v>
      </c>
      <c r="P1434" t="s">
        <v>18</v>
      </c>
    </row>
    <row r="1435" spans="1:16" x14ac:dyDescent="0.3">
      <c r="A1435">
        <v>324</v>
      </c>
      <c r="B1435" t="s">
        <v>1443</v>
      </c>
      <c r="C1435" t="s">
        <v>4028</v>
      </c>
      <c r="D1435" t="str">
        <f>VLOOKUP(YouTube_University_Data_Final[[#This Row],[Title]],[1]!YouTube_University_Data_Final[[Title]:[Title_language]],2,FALSE)</f>
        <v>Bilingual</v>
      </c>
      <c r="E1435" t="s">
        <v>4029</v>
      </c>
      <c r="F1435">
        <v>27</v>
      </c>
      <c r="G1435" s="1">
        <v>42503</v>
      </c>
      <c r="H1435">
        <v>276</v>
      </c>
      <c r="I1435" t="s">
        <v>3365</v>
      </c>
      <c r="J1435">
        <v>569</v>
      </c>
      <c r="K1435">
        <v>0</v>
      </c>
      <c r="L1435">
        <v>0</v>
      </c>
      <c r="M1435">
        <v>0</v>
      </c>
      <c r="N1435" t="s">
        <v>81</v>
      </c>
      <c r="O1435">
        <v>2016</v>
      </c>
      <c r="P1435" t="s">
        <v>18</v>
      </c>
    </row>
    <row r="1436" spans="1:16" x14ac:dyDescent="0.3">
      <c r="A1436">
        <v>325</v>
      </c>
      <c r="B1436" t="s">
        <v>1443</v>
      </c>
      <c r="C1436" t="s">
        <v>4030</v>
      </c>
      <c r="D1436" t="str">
        <f>VLOOKUP(YouTube_University_Data_Final[[#This Row],[Title]],[1]!YouTube_University_Data_Final[[Title]:[Title_language]],2,FALSE)</f>
        <v>Bilingual</v>
      </c>
      <c r="E1436" t="s">
        <v>4031</v>
      </c>
      <c r="F1436">
        <v>27</v>
      </c>
      <c r="G1436" s="1">
        <v>42489</v>
      </c>
      <c r="H1436">
        <v>522</v>
      </c>
      <c r="I1436" t="s">
        <v>3365</v>
      </c>
      <c r="J1436">
        <v>1273</v>
      </c>
      <c r="K1436">
        <v>7</v>
      </c>
      <c r="L1436">
        <v>0</v>
      </c>
      <c r="M1436">
        <v>0</v>
      </c>
      <c r="N1436" t="s">
        <v>87</v>
      </c>
      <c r="O1436">
        <v>2016</v>
      </c>
      <c r="P1436" t="s">
        <v>18</v>
      </c>
    </row>
    <row r="1437" spans="1:16" x14ac:dyDescent="0.3">
      <c r="A1437">
        <v>326</v>
      </c>
      <c r="B1437" t="s">
        <v>1443</v>
      </c>
      <c r="C1437" t="s">
        <v>4032</v>
      </c>
      <c r="D1437" t="str">
        <f>VLOOKUP(YouTube_University_Data_Final[[#This Row],[Title]],[1]!YouTube_University_Data_Final[[Title]:[Title_language]],2,FALSE)</f>
        <v>Bilingual</v>
      </c>
      <c r="E1437" t="s">
        <v>4033</v>
      </c>
      <c r="F1437">
        <v>27</v>
      </c>
      <c r="G1437" s="1">
        <v>42461</v>
      </c>
      <c r="H1437">
        <v>746</v>
      </c>
      <c r="I1437" t="s">
        <v>3365</v>
      </c>
      <c r="J1437">
        <v>517</v>
      </c>
      <c r="K1437">
        <v>6</v>
      </c>
      <c r="L1437">
        <v>0</v>
      </c>
      <c r="M1437">
        <v>0</v>
      </c>
      <c r="N1437" t="s">
        <v>87</v>
      </c>
      <c r="O1437">
        <v>2016</v>
      </c>
      <c r="P1437" t="s">
        <v>18</v>
      </c>
    </row>
    <row r="1438" spans="1:16" x14ac:dyDescent="0.3">
      <c r="A1438">
        <v>327</v>
      </c>
      <c r="B1438" t="s">
        <v>1443</v>
      </c>
      <c r="C1438" t="s">
        <v>4034</v>
      </c>
      <c r="D1438" t="str">
        <f>VLOOKUP(YouTube_University_Data_Final[[#This Row],[Title]],[1]!YouTube_University_Data_Final[[Title]:[Title_language]],2,FALSE)</f>
        <v>Bilingual</v>
      </c>
      <c r="E1438" t="s">
        <v>4035</v>
      </c>
      <c r="F1438">
        <v>27</v>
      </c>
      <c r="G1438" s="1">
        <v>42450</v>
      </c>
      <c r="H1438">
        <v>226</v>
      </c>
      <c r="I1438" t="s">
        <v>3365</v>
      </c>
      <c r="J1438">
        <v>141</v>
      </c>
      <c r="K1438">
        <v>0</v>
      </c>
      <c r="L1438">
        <v>0</v>
      </c>
      <c r="M1438">
        <v>0</v>
      </c>
      <c r="N1438" t="s">
        <v>90</v>
      </c>
      <c r="O1438">
        <v>2016</v>
      </c>
      <c r="P1438" t="s">
        <v>18</v>
      </c>
    </row>
    <row r="1439" spans="1:16" x14ac:dyDescent="0.3">
      <c r="A1439">
        <v>328</v>
      </c>
      <c r="B1439" t="s">
        <v>1443</v>
      </c>
      <c r="C1439" t="s">
        <v>4036</v>
      </c>
      <c r="D1439" t="str">
        <f>VLOOKUP(YouTube_University_Data_Final[[#This Row],[Title]],[1]!YouTube_University_Data_Final[[Title]:[Title_language]],2,FALSE)</f>
        <v>Bilingual</v>
      </c>
      <c r="E1439" t="s">
        <v>4037</v>
      </c>
      <c r="F1439">
        <v>27</v>
      </c>
      <c r="G1439" s="1">
        <v>42423</v>
      </c>
      <c r="H1439">
        <v>587</v>
      </c>
      <c r="I1439" t="s">
        <v>3365</v>
      </c>
      <c r="J1439">
        <v>1606</v>
      </c>
      <c r="K1439">
        <v>14</v>
      </c>
      <c r="L1439">
        <v>0</v>
      </c>
      <c r="M1439">
        <v>0</v>
      </c>
      <c r="N1439" t="s">
        <v>162</v>
      </c>
      <c r="O1439">
        <v>2016</v>
      </c>
      <c r="P1439" t="s">
        <v>18</v>
      </c>
    </row>
    <row r="1440" spans="1:16" x14ac:dyDescent="0.3">
      <c r="A1440">
        <v>329</v>
      </c>
      <c r="B1440" t="s">
        <v>1443</v>
      </c>
      <c r="C1440" t="s">
        <v>1467</v>
      </c>
      <c r="D1440" t="str">
        <f>VLOOKUP(YouTube_University_Data_Final[[#This Row],[Title]],[1]!YouTube_University_Data_Final[[Title]:[Title_language]],2,FALSE)</f>
        <v>English</v>
      </c>
      <c r="E1440" t="s">
        <v>4038</v>
      </c>
      <c r="F1440">
        <v>27</v>
      </c>
      <c r="G1440" s="1">
        <v>42398</v>
      </c>
      <c r="H1440">
        <v>273</v>
      </c>
      <c r="I1440" t="s">
        <v>3365</v>
      </c>
      <c r="J1440">
        <v>310</v>
      </c>
      <c r="K1440">
        <v>1</v>
      </c>
      <c r="L1440">
        <v>0</v>
      </c>
      <c r="M1440">
        <v>0</v>
      </c>
      <c r="N1440" t="s">
        <v>93</v>
      </c>
      <c r="O1440">
        <v>2016</v>
      </c>
      <c r="P1440" t="s">
        <v>18</v>
      </c>
    </row>
    <row r="1441" spans="1:16" x14ac:dyDescent="0.3">
      <c r="A1441">
        <v>330</v>
      </c>
      <c r="B1441" t="s">
        <v>1443</v>
      </c>
      <c r="C1441" t="s">
        <v>4039</v>
      </c>
      <c r="D1441" t="str">
        <f>VLOOKUP(YouTube_University_Data_Final[[#This Row],[Title]],[1]!YouTube_University_Data_Final[[Title]:[Title_language]],2,FALSE)</f>
        <v>Bilingual</v>
      </c>
      <c r="E1441" t="s">
        <v>4040</v>
      </c>
      <c r="F1441">
        <v>27</v>
      </c>
      <c r="G1441" s="1">
        <v>42387</v>
      </c>
      <c r="H1441">
        <v>550</v>
      </c>
      <c r="I1441" t="s">
        <v>3365</v>
      </c>
      <c r="J1441">
        <v>316</v>
      </c>
      <c r="K1441">
        <v>2</v>
      </c>
      <c r="L1441">
        <v>0</v>
      </c>
      <c r="M1441">
        <v>0</v>
      </c>
      <c r="N1441" t="s">
        <v>93</v>
      </c>
      <c r="O1441">
        <v>2016</v>
      </c>
      <c r="P1441" t="s">
        <v>18</v>
      </c>
    </row>
    <row r="1442" spans="1:16" x14ac:dyDescent="0.3">
      <c r="A1442">
        <v>331</v>
      </c>
      <c r="B1442" t="s">
        <v>1443</v>
      </c>
      <c r="C1442" t="s">
        <v>4041</v>
      </c>
      <c r="D1442" t="str">
        <f>VLOOKUP(YouTube_University_Data_Final[[#This Row],[Title]],[1]!YouTube_University_Data_Final[[Title]:[Title_language]],2,FALSE)</f>
        <v>Bilingual</v>
      </c>
      <c r="E1442" t="s">
        <v>4042</v>
      </c>
      <c r="F1442">
        <v>27</v>
      </c>
      <c r="G1442" s="1">
        <v>42366</v>
      </c>
      <c r="H1442">
        <v>251</v>
      </c>
      <c r="I1442" t="s">
        <v>3365</v>
      </c>
      <c r="J1442">
        <v>193</v>
      </c>
      <c r="K1442">
        <v>1</v>
      </c>
      <c r="L1442">
        <v>0</v>
      </c>
      <c r="M1442">
        <v>0</v>
      </c>
      <c r="N1442" t="s">
        <v>98</v>
      </c>
      <c r="O1442">
        <v>2015</v>
      </c>
      <c r="P1442" t="s">
        <v>18</v>
      </c>
    </row>
    <row r="1443" spans="1:16" x14ac:dyDescent="0.3">
      <c r="A1443">
        <v>332</v>
      </c>
      <c r="B1443" t="s">
        <v>1443</v>
      </c>
      <c r="C1443" t="s">
        <v>4043</v>
      </c>
      <c r="D1443" t="str">
        <f>VLOOKUP(YouTube_University_Data_Final[[#This Row],[Title]],[1]!YouTube_University_Data_Final[[Title]:[Title_language]],2,FALSE)</f>
        <v>Bilingual</v>
      </c>
      <c r="E1443" t="s">
        <v>4044</v>
      </c>
      <c r="F1443">
        <v>27</v>
      </c>
      <c r="G1443" s="1">
        <v>42366</v>
      </c>
      <c r="H1443">
        <v>151</v>
      </c>
      <c r="I1443" t="s">
        <v>3365</v>
      </c>
      <c r="J1443">
        <v>201</v>
      </c>
      <c r="K1443">
        <v>0</v>
      </c>
      <c r="L1443">
        <v>0</v>
      </c>
      <c r="M1443">
        <v>0</v>
      </c>
      <c r="N1443" t="s">
        <v>98</v>
      </c>
      <c r="O1443">
        <v>2015</v>
      </c>
      <c r="P1443" t="s">
        <v>18</v>
      </c>
    </row>
    <row r="1444" spans="1:16" x14ac:dyDescent="0.3">
      <c r="A1444">
        <v>333</v>
      </c>
      <c r="B1444" t="s">
        <v>1443</v>
      </c>
      <c r="C1444" t="s">
        <v>4045</v>
      </c>
      <c r="D1444" t="str">
        <f>VLOOKUP(YouTube_University_Data_Final[[#This Row],[Title]],[1]!YouTube_University_Data_Final[[Title]:[Title_language]],2,FALSE)</f>
        <v>Bilingual</v>
      </c>
      <c r="E1444" t="s">
        <v>4046</v>
      </c>
      <c r="F1444">
        <v>27</v>
      </c>
      <c r="G1444" s="1">
        <v>42349</v>
      </c>
      <c r="H1444">
        <v>306</v>
      </c>
      <c r="I1444" t="s">
        <v>3365</v>
      </c>
      <c r="J1444">
        <v>2798</v>
      </c>
      <c r="K1444">
        <v>9</v>
      </c>
      <c r="L1444">
        <v>0</v>
      </c>
      <c r="M1444">
        <v>0</v>
      </c>
      <c r="N1444" t="s">
        <v>98</v>
      </c>
      <c r="O1444">
        <v>2015</v>
      </c>
      <c r="P1444" t="s">
        <v>18</v>
      </c>
    </row>
    <row r="1445" spans="1:16" x14ac:dyDescent="0.3">
      <c r="A1445">
        <v>334</v>
      </c>
      <c r="B1445" t="s">
        <v>1443</v>
      </c>
      <c r="C1445" t="s">
        <v>4047</v>
      </c>
      <c r="D1445" t="str">
        <f>VLOOKUP(YouTube_University_Data_Final[[#This Row],[Title]],[1]!YouTube_University_Data_Final[[Title]:[Title_language]],2,FALSE)</f>
        <v>Bilingual</v>
      </c>
      <c r="E1445" t="s">
        <v>4048</v>
      </c>
      <c r="F1445">
        <v>27</v>
      </c>
      <c r="G1445" s="1">
        <v>42349</v>
      </c>
      <c r="H1445">
        <v>435</v>
      </c>
      <c r="I1445" t="s">
        <v>3365</v>
      </c>
      <c r="J1445">
        <v>444</v>
      </c>
      <c r="K1445">
        <v>0</v>
      </c>
      <c r="L1445">
        <v>0</v>
      </c>
      <c r="M1445">
        <v>0</v>
      </c>
      <c r="N1445" t="s">
        <v>98</v>
      </c>
      <c r="O1445">
        <v>2015</v>
      </c>
      <c r="P1445" t="s">
        <v>18</v>
      </c>
    </row>
    <row r="1446" spans="1:16" x14ac:dyDescent="0.3">
      <c r="A1446">
        <v>335</v>
      </c>
      <c r="B1446" t="s">
        <v>1443</v>
      </c>
      <c r="C1446" t="s">
        <v>4049</v>
      </c>
      <c r="D1446" t="str">
        <f>VLOOKUP(YouTube_University_Data_Final[[#This Row],[Title]],[1]!YouTube_University_Data_Final[[Title]:[Title_language]],2,FALSE)</f>
        <v>Bilingual</v>
      </c>
      <c r="E1446" t="s">
        <v>4050</v>
      </c>
      <c r="F1446">
        <v>27</v>
      </c>
      <c r="G1446" s="1">
        <v>42345</v>
      </c>
      <c r="H1446">
        <v>713</v>
      </c>
      <c r="I1446" t="s">
        <v>3365</v>
      </c>
      <c r="J1446">
        <v>1777</v>
      </c>
      <c r="K1446">
        <v>8</v>
      </c>
      <c r="L1446">
        <v>0</v>
      </c>
      <c r="M1446">
        <v>0</v>
      </c>
      <c r="N1446" t="s">
        <v>98</v>
      </c>
      <c r="O1446">
        <v>2015</v>
      </c>
      <c r="P1446" t="s">
        <v>18</v>
      </c>
    </row>
    <row r="1447" spans="1:16" x14ac:dyDescent="0.3">
      <c r="A1447">
        <v>336</v>
      </c>
      <c r="B1447" t="s">
        <v>1443</v>
      </c>
      <c r="C1447" t="s">
        <v>4051</v>
      </c>
      <c r="D1447" t="str">
        <f>VLOOKUP(YouTube_University_Data_Final[[#This Row],[Title]],[1]!YouTube_University_Data_Final[[Title]:[Title_language]],2,FALSE)</f>
        <v>Bilingual</v>
      </c>
      <c r="E1447" t="s">
        <v>4052</v>
      </c>
      <c r="F1447">
        <v>27</v>
      </c>
      <c r="G1447" s="1">
        <v>42335</v>
      </c>
      <c r="H1447">
        <v>413</v>
      </c>
      <c r="I1447" t="s">
        <v>3365</v>
      </c>
      <c r="J1447">
        <v>1021</v>
      </c>
      <c r="K1447">
        <v>4</v>
      </c>
      <c r="L1447">
        <v>0</v>
      </c>
      <c r="M1447">
        <v>0</v>
      </c>
      <c r="N1447" t="s">
        <v>101</v>
      </c>
      <c r="O1447">
        <v>2015</v>
      </c>
      <c r="P1447" t="s">
        <v>18</v>
      </c>
    </row>
    <row r="1448" spans="1:16" x14ac:dyDescent="0.3">
      <c r="A1448">
        <v>337</v>
      </c>
      <c r="B1448" t="s">
        <v>1443</v>
      </c>
      <c r="C1448" t="s">
        <v>4053</v>
      </c>
      <c r="D1448" t="str">
        <f>VLOOKUP(YouTube_University_Data_Final[[#This Row],[Title]],[1]!YouTube_University_Data_Final[[Title]:[Title_language]],2,FALSE)</f>
        <v>Bilingual</v>
      </c>
      <c r="E1448" t="s">
        <v>4054</v>
      </c>
      <c r="F1448">
        <v>27</v>
      </c>
      <c r="G1448" s="1">
        <v>42335</v>
      </c>
      <c r="H1448">
        <v>367</v>
      </c>
      <c r="I1448" t="s">
        <v>3365</v>
      </c>
      <c r="J1448">
        <v>63</v>
      </c>
      <c r="K1448">
        <v>0</v>
      </c>
      <c r="L1448">
        <v>0</v>
      </c>
      <c r="M1448">
        <v>0</v>
      </c>
      <c r="N1448" t="s">
        <v>101</v>
      </c>
      <c r="O1448">
        <v>2015</v>
      </c>
      <c r="P1448" t="s">
        <v>18</v>
      </c>
    </row>
    <row r="1449" spans="1:16" x14ac:dyDescent="0.3">
      <c r="A1449">
        <v>338</v>
      </c>
      <c r="B1449" t="s">
        <v>1443</v>
      </c>
      <c r="C1449" t="s">
        <v>4055</v>
      </c>
      <c r="D1449" t="str">
        <f>VLOOKUP(YouTube_University_Data_Final[[#This Row],[Title]],[1]!YouTube_University_Data_Final[[Title]:[Title_language]],2,FALSE)</f>
        <v>Bilingual</v>
      </c>
      <c r="E1449" t="s">
        <v>4056</v>
      </c>
      <c r="F1449">
        <v>27</v>
      </c>
      <c r="G1449" s="1">
        <v>42335</v>
      </c>
      <c r="H1449">
        <v>501</v>
      </c>
      <c r="I1449" t="s">
        <v>3365</v>
      </c>
      <c r="J1449">
        <v>819</v>
      </c>
      <c r="K1449">
        <v>2</v>
      </c>
      <c r="L1449">
        <v>0</v>
      </c>
      <c r="M1449">
        <v>0</v>
      </c>
      <c r="N1449" t="s">
        <v>101</v>
      </c>
      <c r="O1449">
        <v>2015</v>
      </c>
      <c r="P1449" t="s">
        <v>18</v>
      </c>
    </row>
    <row r="1450" spans="1:16" x14ac:dyDescent="0.3">
      <c r="A1450">
        <v>339</v>
      </c>
      <c r="B1450" t="s">
        <v>1443</v>
      </c>
      <c r="C1450" t="s">
        <v>4057</v>
      </c>
      <c r="D1450" t="str">
        <f>VLOOKUP(YouTube_University_Data_Final[[#This Row],[Title]],[1]!YouTube_University_Data_Final[[Title]:[Title_language]],2,FALSE)</f>
        <v>Bilingual</v>
      </c>
      <c r="E1450" t="s">
        <v>4058</v>
      </c>
      <c r="F1450">
        <v>27</v>
      </c>
      <c r="G1450" s="1">
        <v>42321</v>
      </c>
      <c r="H1450">
        <v>192</v>
      </c>
      <c r="I1450" t="s">
        <v>3365</v>
      </c>
      <c r="J1450">
        <v>561</v>
      </c>
      <c r="K1450">
        <v>2</v>
      </c>
      <c r="L1450">
        <v>0</v>
      </c>
      <c r="M1450">
        <v>0</v>
      </c>
      <c r="N1450" t="s">
        <v>101</v>
      </c>
      <c r="O1450">
        <v>2015</v>
      </c>
      <c r="P1450" t="s">
        <v>18</v>
      </c>
    </row>
    <row r="1451" spans="1:16" x14ac:dyDescent="0.3">
      <c r="A1451">
        <v>340</v>
      </c>
      <c r="B1451" t="s">
        <v>1443</v>
      </c>
      <c r="C1451" t="s">
        <v>4059</v>
      </c>
      <c r="D1451" t="str">
        <f>VLOOKUP(YouTube_University_Data_Final[[#This Row],[Title]],[1]!YouTube_University_Data_Final[[Title]:[Title_language]],2,FALSE)</f>
        <v>Bilingual</v>
      </c>
      <c r="E1451" t="s">
        <v>4060</v>
      </c>
      <c r="F1451">
        <v>27</v>
      </c>
      <c r="G1451" s="1">
        <v>42321</v>
      </c>
      <c r="H1451">
        <v>468</v>
      </c>
      <c r="I1451" t="s">
        <v>3365</v>
      </c>
      <c r="J1451">
        <v>605</v>
      </c>
      <c r="K1451">
        <v>3</v>
      </c>
      <c r="L1451">
        <v>0</v>
      </c>
      <c r="M1451">
        <v>0</v>
      </c>
      <c r="N1451" t="s">
        <v>101</v>
      </c>
      <c r="O1451">
        <v>2015</v>
      </c>
      <c r="P1451" t="s">
        <v>18</v>
      </c>
    </row>
    <row r="1452" spans="1:16" x14ac:dyDescent="0.3">
      <c r="A1452">
        <v>341</v>
      </c>
      <c r="B1452" t="s">
        <v>1443</v>
      </c>
      <c r="C1452" t="s">
        <v>4061</v>
      </c>
      <c r="D1452" t="str">
        <f>VLOOKUP(YouTube_University_Data_Final[[#This Row],[Title]],[1]!YouTube_University_Data_Final[[Title]:[Title_language]],2,FALSE)</f>
        <v>Bilingual</v>
      </c>
      <c r="E1452" t="s">
        <v>4062</v>
      </c>
      <c r="F1452">
        <v>27</v>
      </c>
      <c r="G1452" s="1">
        <v>42318</v>
      </c>
      <c r="H1452">
        <v>461</v>
      </c>
      <c r="I1452" t="s">
        <v>4063</v>
      </c>
      <c r="J1452">
        <v>242</v>
      </c>
      <c r="K1452">
        <v>3</v>
      </c>
      <c r="L1452">
        <v>0</v>
      </c>
      <c r="M1452">
        <v>0</v>
      </c>
      <c r="N1452" t="s">
        <v>101</v>
      </c>
      <c r="O1452">
        <v>2015</v>
      </c>
      <c r="P1452" t="s">
        <v>18</v>
      </c>
    </row>
    <row r="1453" spans="1:16" x14ac:dyDescent="0.3">
      <c r="A1453">
        <v>342</v>
      </c>
      <c r="B1453" t="s">
        <v>1443</v>
      </c>
      <c r="C1453" t="s">
        <v>4064</v>
      </c>
      <c r="D1453" t="str">
        <f>VLOOKUP(YouTube_University_Data_Final[[#This Row],[Title]],[1]!YouTube_University_Data_Final[[Title]:[Title_language]],2,FALSE)</f>
        <v>Bilingual</v>
      </c>
      <c r="E1453" t="s">
        <v>4065</v>
      </c>
      <c r="F1453">
        <v>27</v>
      </c>
      <c r="G1453" s="1">
        <v>42310</v>
      </c>
      <c r="H1453">
        <v>276</v>
      </c>
      <c r="I1453" t="s">
        <v>4066</v>
      </c>
      <c r="J1453">
        <v>222</v>
      </c>
      <c r="K1453">
        <v>2</v>
      </c>
      <c r="L1453">
        <v>0</v>
      </c>
      <c r="M1453">
        <v>0</v>
      </c>
      <c r="N1453" t="s">
        <v>101</v>
      </c>
      <c r="O1453">
        <v>2015</v>
      </c>
      <c r="P1453" t="s">
        <v>18</v>
      </c>
    </row>
    <row r="1454" spans="1:16" x14ac:dyDescent="0.3">
      <c r="A1454">
        <v>343</v>
      </c>
      <c r="B1454" t="s">
        <v>1443</v>
      </c>
      <c r="C1454" t="s">
        <v>4067</v>
      </c>
      <c r="D1454" t="str">
        <f>VLOOKUP(YouTube_University_Data_Final[[#This Row],[Title]],[1]!YouTube_University_Data_Final[[Title]:[Title_language]],2,FALSE)</f>
        <v>Bilingual</v>
      </c>
      <c r="E1454" t="s">
        <v>4068</v>
      </c>
      <c r="F1454">
        <v>27</v>
      </c>
      <c r="G1454" s="1">
        <v>42296</v>
      </c>
      <c r="H1454">
        <v>276</v>
      </c>
      <c r="I1454" t="s">
        <v>4069</v>
      </c>
      <c r="J1454">
        <v>544</v>
      </c>
      <c r="K1454">
        <v>4</v>
      </c>
      <c r="L1454">
        <v>0</v>
      </c>
      <c r="M1454">
        <v>0</v>
      </c>
      <c r="N1454" t="s">
        <v>17</v>
      </c>
      <c r="O1454">
        <v>2015</v>
      </c>
      <c r="P1454" t="s">
        <v>18</v>
      </c>
    </row>
    <row r="1455" spans="1:16" x14ac:dyDescent="0.3">
      <c r="A1455">
        <v>344</v>
      </c>
      <c r="B1455" t="s">
        <v>1443</v>
      </c>
      <c r="C1455" t="s">
        <v>4070</v>
      </c>
      <c r="D1455" t="str">
        <f>VLOOKUP(YouTube_University_Data_Final[[#This Row],[Title]],[1]!YouTube_University_Data_Final[[Title]:[Title_language]],2,FALSE)</f>
        <v>Chinese</v>
      </c>
      <c r="E1455" t="s">
        <v>4071</v>
      </c>
      <c r="F1455">
        <v>27</v>
      </c>
      <c r="G1455" s="1">
        <v>42276</v>
      </c>
      <c r="H1455">
        <v>526</v>
      </c>
      <c r="I1455" t="s">
        <v>3365</v>
      </c>
      <c r="J1455">
        <v>11602</v>
      </c>
      <c r="K1455">
        <v>120</v>
      </c>
      <c r="L1455">
        <v>0</v>
      </c>
      <c r="M1455">
        <v>0</v>
      </c>
      <c r="N1455" t="s">
        <v>21</v>
      </c>
      <c r="O1455">
        <v>2015</v>
      </c>
      <c r="P1455" t="s">
        <v>18</v>
      </c>
    </row>
    <row r="1456" spans="1:16" x14ac:dyDescent="0.3">
      <c r="A1456">
        <v>345</v>
      </c>
      <c r="B1456" t="s">
        <v>1443</v>
      </c>
      <c r="C1456" t="s">
        <v>4072</v>
      </c>
      <c r="D1456" t="str">
        <f>VLOOKUP(YouTube_University_Data_Final[[#This Row],[Title]],[1]!YouTube_University_Data_Final[[Title]:[Title_language]],2,FALSE)</f>
        <v>Bilingual</v>
      </c>
      <c r="E1456" t="s">
        <v>4073</v>
      </c>
      <c r="F1456">
        <v>27</v>
      </c>
      <c r="G1456" s="1">
        <v>42258</v>
      </c>
      <c r="H1456">
        <v>606</v>
      </c>
      <c r="I1456" t="s">
        <v>3365</v>
      </c>
      <c r="J1456">
        <v>341</v>
      </c>
      <c r="K1456">
        <v>0</v>
      </c>
      <c r="L1456">
        <v>0</v>
      </c>
      <c r="M1456">
        <v>0</v>
      </c>
      <c r="N1456" t="s">
        <v>21</v>
      </c>
      <c r="O1456">
        <v>2015</v>
      </c>
      <c r="P1456" t="s">
        <v>18</v>
      </c>
    </row>
    <row r="1457" spans="1:16" x14ac:dyDescent="0.3">
      <c r="A1457">
        <v>346</v>
      </c>
      <c r="B1457" t="s">
        <v>1443</v>
      </c>
      <c r="C1457" t="s">
        <v>4074</v>
      </c>
      <c r="D1457" t="str">
        <f>VLOOKUP(YouTube_University_Data_Final[[#This Row],[Title]],[1]!YouTube_University_Data_Final[[Title]:[Title_language]],2,FALSE)</f>
        <v>Bilingual</v>
      </c>
      <c r="E1457" t="s">
        <v>4075</v>
      </c>
      <c r="F1457">
        <v>27</v>
      </c>
      <c r="G1457" s="1">
        <v>42258</v>
      </c>
      <c r="H1457">
        <v>105</v>
      </c>
      <c r="I1457" t="s">
        <v>4069</v>
      </c>
      <c r="J1457">
        <v>8881</v>
      </c>
      <c r="K1457">
        <v>49</v>
      </c>
      <c r="L1457">
        <v>0</v>
      </c>
      <c r="M1457">
        <v>0</v>
      </c>
      <c r="N1457" t="s">
        <v>21</v>
      </c>
      <c r="O1457">
        <v>2015</v>
      </c>
      <c r="P1457" t="s">
        <v>18</v>
      </c>
    </row>
    <row r="1458" spans="1:16" x14ac:dyDescent="0.3">
      <c r="A1458">
        <v>347</v>
      </c>
      <c r="B1458" t="s">
        <v>1443</v>
      </c>
      <c r="C1458" t="s">
        <v>4076</v>
      </c>
      <c r="D1458" t="str">
        <f>VLOOKUP(YouTube_University_Data_Final[[#This Row],[Title]],[1]!YouTube_University_Data_Final[[Title]:[Title_language]],2,FALSE)</f>
        <v>Bilingual</v>
      </c>
      <c r="E1458" t="s">
        <v>4077</v>
      </c>
      <c r="F1458">
        <v>27</v>
      </c>
      <c r="G1458" s="1">
        <v>42258</v>
      </c>
      <c r="H1458">
        <v>121</v>
      </c>
      <c r="I1458" t="s">
        <v>4078</v>
      </c>
      <c r="J1458">
        <v>89</v>
      </c>
      <c r="K1458">
        <v>0</v>
      </c>
      <c r="L1458">
        <v>0</v>
      </c>
      <c r="M1458">
        <v>0</v>
      </c>
      <c r="N1458" t="s">
        <v>21</v>
      </c>
      <c r="O1458">
        <v>2015</v>
      </c>
      <c r="P1458" t="s">
        <v>18</v>
      </c>
    </row>
    <row r="1459" spans="1:16" x14ac:dyDescent="0.3">
      <c r="A1459">
        <v>348</v>
      </c>
      <c r="B1459" t="s">
        <v>1443</v>
      </c>
      <c r="C1459" t="s">
        <v>4079</v>
      </c>
      <c r="D1459" t="str">
        <f>VLOOKUP(YouTube_University_Data_Final[[#This Row],[Title]],[1]!YouTube_University_Data_Final[[Title]:[Title_language]],2,FALSE)</f>
        <v>Bilingual</v>
      </c>
      <c r="E1459" t="s">
        <v>4080</v>
      </c>
      <c r="F1459">
        <v>27</v>
      </c>
      <c r="G1459" s="1">
        <v>42240</v>
      </c>
      <c r="H1459">
        <v>241</v>
      </c>
      <c r="I1459" t="s">
        <v>3365</v>
      </c>
      <c r="J1459">
        <v>1620</v>
      </c>
      <c r="K1459">
        <v>13</v>
      </c>
      <c r="L1459">
        <v>0</v>
      </c>
      <c r="M1459">
        <v>0</v>
      </c>
      <c r="N1459" t="s">
        <v>48</v>
      </c>
      <c r="O1459">
        <v>2015</v>
      </c>
      <c r="P1459" t="s">
        <v>18</v>
      </c>
    </row>
    <row r="1460" spans="1:16" x14ac:dyDescent="0.3">
      <c r="A1460">
        <v>349</v>
      </c>
      <c r="B1460" t="s">
        <v>1443</v>
      </c>
      <c r="C1460" t="s">
        <v>4081</v>
      </c>
      <c r="D1460" t="str">
        <f>VLOOKUP(YouTube_University_Data_Final[[#This Row],[Title]],[1]!YouTube_University_Data_Final[[Title]:[Title_language]],2,FALSE)</f>
        <v>Bilingual</v>
      </c>
      <c r="E1460" t="s">
        <v>4082</v>
      </c>
      <c r="F1460">
        <v>27</v>
      </c>
      <c r="G1460" s="1">
        <v>42223</v>
      </c>
      <c r="H1460">
        <v>256</v>
      </c>
      <c r="I1460" t="s">
        <v>3365</v>
      </c>
      <c r="J1460">
        <v>486</v>
      </c>
      <c r="K1460">
        <v>5</v>
      </c>
      <c r="L1460">
        <v>0</v>
      </c>
      <c r="M1460">
        <v>0</v>
      </c>
      <c r="N1460" t="s">
        <v>48</v>
      </c>
      <c r="O1460">
        <v>2015</v>
      </c>
      <c r="P1460" t="s">
        <v>18</v>
      </c>
    </row>
    <row r="1461" spans="1:16" x14ac:dyDescent="0.3">
      <c r="A1461">
        <v>350</v>
      </c>
      <c r="B1461" t="s">
        <v>1443</v>
      </c>
      <c r="C1461" t="s">
        <v>4083</v>
      </c>
      <c r="D1461" t="str">
        <f>VLOOKUP(YouTube_University_Data_Final[[#This Row],[Title]],[1]!YouTube_University_Data_Final[[Title]:[Title_language]],2,FALSE)</f>
        <v>Bilingual</v>
      </c>
      <c r="E1461" t="s">
        <v>4084</v>
      </c>
      <c r="F1461">
        <v>27</v>
      </c>
      <c r="G1461" s="1">
        <v>42209</v>
      </c>
      <c r="H1461">
        <v>264</v>
      </c>
      <c r="I1461" t="s">
        <v>3365</v>
      </c>
      <c r="J1461">
        <v>206</v>
      </c>
      <c r="K1461">
        <v>2</v>
      </c>
      <c r="L1461">
        <v>0</v>
      </c>
      <c r="M1461">
        <v>0</v>
      </c>
      <c r="N1461" t="s">
        <v>56</v>
      </c>
      <c r="O1461">
        <v>2015</v>
      </c>
      <c r="P1461" t="s">
        <v>18</v>
      </c>
    </row>
    <row r="1462" spans="1:16" x14ac:dyDescent="0.3">
      <c r="A1462">
        <v>351</v>
      </c>
      <c r="B1462" t="s">
        <v>1443</v>
      </c>
      <c r="C1462" t="s">
        <v>4085</v>
      </c>
      <c r="D1462" t="str">
        <f>VLOOKUP(YouTube_University_Data_Final[[#This Row],[Title]],[1]!YouTube_University_Data_Final[[Title]:[Title_language]],2,FALSE)</f>
        <v>Chinese</v>
      </c>
      <c r="E1462" t="s">
        <v>4086</v>
      </c>
      <c r="F1462">
        <v>27</v>
      </c>
      <c r="G1462" s="1">
        <v>42179</v>
      </c>
      <c r="H1462">
        <v>597</v>
      </c>
      <c r="I1462" t="s">
        <v>3365</v>
      </c>
      <c r="J1462">
        <v>313962</v>
      </c>
      <c r="K1462">
        <v>3390</v>
      </c>
      <c r="L1462">
        <v>0</v>
      </c>
      <c r="M1462">
        <v>0</v>
      </c>
      <c r="N1462" t="s">
        <v>78</v>
      </c>
      <c r="O1462">
        <v>2015</v>
      </c>
      <c r="P1462" t="s">
        <v>18</v>
      </c>
    </row>
    <row r="1463" spans="1:16" x14ac:dyDescent="0.3">
      <c r="A1463">
        <v>352</v>
      </c>
      <c r="B1463" t="s">
        <v>1443</v>
      </c>
      <c r="C1463" t="s">
        <v>4087</v>
      </c>
      <c r="D1463" t="str">
        <f>VLOOKUP(YouTube_University_Data_Final[[#This Row],[Title]],[1]!YouTube_University_Data_Final[[Title]:[Title_language]],2,FALSE)</f>
        <v>Bilingual</v>
      </c>
      <c r="E1463" t="s">
        <v>4088</v>
      </c>
      <c r="F1463">
        <v>27</v>
      </c>
      <c r="G1463" s="1">
        <v>42163</v>
      </c>
      <c r="H1463">
        <v>156</v>
      </c>
      <c r="I1463" t="s">
        <v>4089</v>
      </c>
      <c r="J1463">
        <v>1121</v>
      </c>
      <c r="K1463">
        <v>6</v>
      </c>
      <c r="L1463">
        <v>0</v>
      </c>
      <c r="M1463">
        <v>0</v>
      </c>
      <c r="N1463" t="s">
        <v>78</v>
      </c>
      <c r="O1463">
        <v>2015</v>
      </c>
      <c r="P1463" t="s">
        <v>18</v>
      </c>
    </row>
    <row r="1464" spans="1:16" x14ac:dyDescent="0.3">
      <c r="A1464">
        <v>353</v>
      </c>
      <c r="B1464" t="s">
        <v>1443</v>
      </c>
      <c r="C1464" t="s">
        <v>4090</v>
      </c>
      <c r="D1464" t="str">
        <f>VLOOKUP(YouTube_University_Data_Final[[#This Row],[Title]],[1]!YouTube_University_Data_Final[[Title]:[Title_language]],2,FALSE)</f>
        <v>Bilingual</v>
      </c>
      <c r="E1464" t="s">
        <v>4091</v>
      </c>
      <c r="F1464">
        <v>27</v>
      </c>
      <c r="G1464" s="1">
        <v>42163</v>
      </c>
      <c r="H1464">
        <v>261</v>
      </c>
      <c r="I1464" t="s">
        <v>4092</v>
      </c>
      <c r="J1464">
        <v>971</v>
      </c>
      <c r="K1464">
        <v>11</v>
      </c>
      <c r="L1464">
        <v>0</v>
      </c>
      <c r="M1464">
        <v>0</v>
      </c>
      <c r="N1464" t="s">
        <v>78</v>
      </c>
      <c r="O1464">
        <v>2015</v>
      </c>
      <c r="P1464" t="s">
        <v>18</v>
      </c>
    </row>
    <row r="1465" spans="1:16" x14ac:dyDescent="0.3">
      <c r="A1465">
        <v>354</v>
      </c>
      <c r="B1465" t="s">
        <v>1443</v>
      </c>
      <c r="C1465" t="s">
        <v>4093</v>
      </c>
      <c r="D1465" t="str">
        <f>VLOOKUP(YouTube_University_Data_Final[[#This Row],[Title]],[1]!YouTube_University_Data_Final[[Title]:[Title_language]],2,FALSE)</f>
        <v>Bilingual</v>
      </c>
      <c r="E1465" t="s">
        <v>4094</v>
      </c>
      <c r="F1465">
        <v>27</v>
      </c>
      <c r="G1465" s="1">
        <v>42146</v>
      </c>
      <c r="H1465">
        <v>324</v>
      </c>
      <c r="I1465" t="s">
        <v>3365</v>
      </c>
      <c r="J1465">
        <v>107</v>
      </c>
      <c r="K1465">
        <v>0</v>
      </c>
      <c r="L1465">
        <v>0</v>
      </c>
      <c r="M1465">
        <v>0</v>
      </c>
      <c r="N1465" t="s">
        <v>81</v>
      </c>
      <c r="O1465">
        <v>2015</v>
      </c>
      <c r="P1465" t="s">
        <v>18</v>
      </c>
    </row>
    <row r="1466" spans="1:16" x14ac:dyDescent="0.3">
      <c r="A1466">
        <v>355</v>
      </c>
      <c r="B1466" t="s">
        <v>1443</v>
      </c>
      <c r="C1466" t="s">
        <v>4095</v>
      </c>
      <c r="D1466" t="str">
        <f>VLOOKUP(YouTube_University_Data_Final[[#This Row],[Title]],[1]!YouTube_University_Data_Final[[Title]:[Title_language]],2,FALSE)</f>
        <v>Chinese</v>
      </c>
      <c r="E1466" t="s">
        <v>4096</v>
      </c>
      <c r="F1466">
        <v>27</v>
      </c>
      <c r="G1466" s="1">
        <v>42146</v>
      </c>
      <c r="H1466">
        <v>584</v>
      </c>
      <c r="I1466" t="s">
        <v>4097</v>
      </c>
      <c r="J1466">
        <v>3355</v>
      </c>
      <c r="K1466">
        <v>40</v>
      </c>
      <c r="L1466">
        <v>0</v>
      </c>
      <c r="M1466">
        <v>0</v>
      </c>
      <c r="N1466" t="s">
        <v>81</v>
      </c>
      <c r="O1466">
        <v>2015</v>
      </c>
      <c r="P1466" t="s">
        <v>18</v>
      </c>
    </row>
    <row r="1467" spans="1:16" x14ac:dyDescent="0.3">
      <c r="A1467">
        <v>356</v>
      </c>
      <c r="B1467" t="s">
        <v>1443</v>
      </c>
      <c r="C1467" t="s">
        <v>4098</v>
      </c>
      <c r="D1467" t="str">
        <f>VLOOKUP(YouTube_University_Data_Final[[#This Row],[Title]],[1]!YouTube_University_Data_Final[[Title]:[Title_language]],2,FALSE)</f>
        <v>Bilingual</v>
      </c>
      <c r="E1467" t="s">
        <v>4099</v>
      </c>
      <c r="F1467">
        <v>27</v>
      </c>
      <c r="G1467" s="1">
        <v>42135</v>
      </c>
      <c r="H1467">
        <v>276</v>
      </c>
      <c r="I1467" t="s">
        <v>4100</v>
      </c>
      <c r="J1467">
        <v>61</v>
      </c>
      <c r="K1467">
        <v>0</v>
      </c>
      <c r="L1467">
        <v>0</v>
      </c>
      <c r="M1467">
        <v>0</v>
      </c>
      <c r="N1467" t="s">
        <v>81</v>
      </c>
      <c r="O1467">
        <v>2015</v>
      </c>
      <c r="P1467" t="s">
        <v>18</v>
      </c>
    </row>
    <row r="1468" spans="1:16" x14ac:dyDescent="0.3">
      <c r="A1468">
        <v>357</v>
      </c>
      <c r="B1468" t="s">
        <v>1443</v>
      </c>
      <c r="C1468" t="s">
        <v>4101</v>
      </c>
      <c r="D1468" t="str">
        <f>VLOOKUP(YouTube_University_Data_Final[[#This Row],[Title]],[1]!YouTube_University_Data_Final[[Title]:[Title_language]],2,FALSE)</f>
        <v>Bilingual</v>
      </c>
      <c r="E1468" t="s">
        <v>4102</v>
      </c>
      <c r="F1468">
        <v>27</v>
      </c>
      <c r="G1468" s="1">
        <v>42122</v>
      </c>
      <c r="H1468">
        <v>206</v>
      </c>
      <c r="I1468" t="s">
        <v>3365</v>
      </c>
      <c r="J1468">
        <v>70</v>
      </c>
      <c r="K1468">
        <v>3</v>
      </c>
      <c r="L1468">
        <v>0</v>
      </c>
      <c r="M1468">
        <v>0</v>
      </c>
      <c r="N1468" t="s">
        <v>87</v>
      </c>
      <c r="O1468">
        <v>2015</v>
      </c>
      <c r="P1468" t="s">
        <v>18</v>
      </c>
    </row>
    <row r="1469" spans="1:16" x14ac:dyDescent="0.3">
      <c r="A1469">
        <v>358</v>
      </c>
      <c r="B1469" t="s">
        <v>1443</v>
      </c>
      <c r="C1469" t="s">
        <v>4103</v>
      </c>
      <c r="D1469" t="str">
        <f>VLOOKUP(YouTube_University_Data_Final[[#This Row],[Title]],[1]!YouTube_University_Data_Final[[Title]:[Title_language]],2,FALSE)</f>
        <v>Bilingual</v>
      </c>
      <c r="E1469" t="s">
        <v>4104</v>
      </c>
      <c r="F1469">
        <v>27</v>
      </c>
      <c r="G1469" s="1">
        <v>42103</v>
      </c>
      <c r="H1469">
        <v>401</v>
      </c>
      <c r="I1469" t="s">
        <v>3365</v>
      </c>
      <c r="J1469">
        <v>199</v>
      </c>
      <c r="K1469">
        <v>2</v>
      </c>
      <c r="L1469">
        <v>0</v>
      </c>
      <c r="M1469">
        <v>0</v>
      </c>
      <c r="N1469" t="s">
        <v>87</v>
      </c>
      <c r="O1469">
        <v>2015</v>
      </c>
      <c r="P1469" t="s">
        <v>18</v>
      </c>
    </row>
    <row r="1470" spans="1:16" x14ac:dyDescent="0.3">
      <c r="A1470">
        <v>359</v>
      </c>
      <c r="B1470" t="s">
        <v>1443</v>
      </c>
      <c r="C1470" t="s">
        <v>4105</v>
      </c>
      <c r="D1470" t="str">
        <f>VLOOKUP(YouTube_University_Data_Final[[#This Row],[Title]],[1]!YouTube_University_Data_Final[[Title]:[Title_language]],2,FALSE)</f>
        <v>Bilingual</v>
      </c>
      <c r="E1470" t="s">
        <v>4106</v>
      </c>
      <c r="F1470">
        <v>27</v>
      </c>
      <c r="G1470" s="1">
        <v>42087</v>
      </c>
      <c r="H1470">
        <v>169</v>
      </c>
      <c r="I1470" t="s">
        <v>4107</v>
      </c>
      <c r="J1470">
        <v>106</v>
      </c>
      <c r="K1470">
        <v>0</v>
      </c>
      <c r="L1470">
        <v>0</v>
      </c>
      <c r="M1470">
        <v>0</v>
      </c>
      <c r="N1470" t="s">
        <v>90</v>
      </c>
      <c r="O1470">
        <v>2015</v>
      </c>
      <c r="P1470" t="s">
        <v>18</v>
      </c>
    </row>
    <row r="1471" spans="1:16" x14ac:dyDescent="0.3">
      <c r="A1471">
        <v>360</v>
      </c>
      <c r="B1471" t="s">
        <v>1443</v>
      </c>
      <c r="C1471" t="s">
        <v>4108</v>
      </c>
      <c r="D1471" t="str">
        <f>VLOOKUP(YouTube_University_Data_Final[[#This Row],[Title]],[1]!YouTube_University_Data_Final[[Title]:[Title_language]],2,FALSE)</f>
        <v>Bilingual</v>
      </c>
      <c r="E1471" t="s">
        <v>4109</v>
      </c>
      <c r="F1471">
        <v>27</v>
      </c>
      <c r="G1471" s="1">
        <v>42083</v>
      </c>
      <c r="H1471">
        <v>476</v>
      </c>
      <c r="I1471" t="s">
        <v>3365</v>
      </c>
      <c r="J1471">
        <v>1536</v>
      </c>
      <c r="K1471">
        <v>20</v>
      </c>
      <c r="L1471">
        <v>0</v>
      </c>
      <c r="M1471">
        <v>0</v>
      </c>
      <c r="N1471" t="s">
        <v>90</v>
      </c>
      <c r="O1471">
        <v>2015</v>
      </c>
      <c r="P1471" t="s">
        <v>18</v>
      </c>
    </row>
    <row r="1472" spans="1:16" x14ac:dyDescent="0.3">
      <c r="A1472">
        <v>361</v>
      </c>
      <c r="B1472" t="s">
        <v>1443</v>
      </c>
      <c r="C1472" t="s">
        <v>4110</v>
      </c>
      <c r="D1472" t="str">
        <f>VLOOKUP(YouTube_University_Data_Final[[#This Row],[Title]],[1]!YouTube_University_Data_Final[[Title]:[Title_language]],2,FALSE)</f>
        <v>Bilingual</v>
      </c>
      <c r="E1472" t="s">
        <v>4111</v>
      </c>
      <c r="F1472">
        <v>27</v>
      </c>
      <c r="G1472" s="1">
        <v>42069</v>
      </c>
      <c r="H1472">
        <v>240</v>
      </c>
      <c r="I1472" t="s">
        <v>3365</v>
      </c>
      <c r="J1472">
        <v>111</v>
      </c>
      <c r="K1472">
        <v>2</v>
      </c>
      <c r="L1472">
        <v>0</v>
      </c>
      <c r="M1472">
        <v>0</v>
      </c>
      <c r="N1472" t="s">
        <v>90</v>
      </c>
      <c r="O1472">
        <v>2015</v>
      </c>
      <c r="P1472" t="s">
        <v>18</v>
      </c>
    </row>
    <row r="1473" spans="1:16" x14ac:dyDescent="0.3">
      <c r="A1473">
        <v>362</v>
      </c>
      <c r="B1473" t="s">
        <v>1443</v>
      </c>
      <c r="C1473" t="s">
        <v>4112</v>
      </c>
      <c r="D1473" t="str">
        <f>VLOOKUP(YouTube_University_Data_Final[[#This Row],[Title]],[1]!YouTube_University_Data_Final[[Title]:[Title_language]],2,FALSE)</f>
        <v>Bilingual</v>
      </c>
      <c r="E1473" t="s">
        <v>4113</v>
      </c>
      <c r="F1473">
        <v>27</v>
      </c>
      <c r="G1473" s="1">
        <v>42058</v>
      </c>
      <c r="H1473">
        <v>154</v>
      </c>
      <c r="I1473" t="s">
        <v>3365</v>
      </c>
      <c r="J1473">
        <v>306</v>
      </c>
      <c r="K1473">
        <v>3</v>
      </c>
      <c r="L1473">
        <v>0</v>
      </c>
      <c r="M1473">
        <v>0</v>
      </c>
      <c r="N1473" t="s">
        <v>162</v>
      </c>
      <c r="O1473">
        <v>2015</v>
      </c>
      <c r="P1473" t="s">
        <v>18</v>
      </c>
    </row>
    <row r="1474" spans="1:16" x14ac:dyDescent="0.3">
      <c r="A1474">
        <v>363</v>
      </c>
      <c r="B1474" t="s">
        <v>1443</v>
      </c>
      <c r="C1474" t="s">
        <v>4114</v>
      </c>
      <c r="D1474" t="str">
        <f>VLOOKUP(YouTube_University_Data_Final[[#This Row],[Title]],[1]!YouTube_University_Data_Final[[Title]:[Title_language]],2,FALSE)</f>
        <v>Bilingual</v>
      </c>
      <c r="E1474" t="s">
        <v>1468</v>
      </c>
      <c r="F1474">
        <v>27</v>
      </c>
      <c r="G1474" s="1">
        <v>42052</v>
      </c>
      <c r="H1474">
        <v>291</v>
      </c>
      <c r="I1474" t="s">
        <v>3365</v>
      </c>
      <c r="J1474">
        <v>138</v>
      </c>
      <c r="K1474">
        <v>1</v>
      </c>
      <c r="L1474">
        <v>0</v>
      </c>
      <c r="M1474">
        <v>0</v>
      </c>
      <c r="N1474" t="s">
        <v>162</v>
      </c>
      <c r="O1474">
        <v>2015</v>
      </c>
      <c r="P1474" t="s">
        <v>18</v>
      </c>
    </row>
    <row r="1475" spans="1:16" x14ac:dyDescent="0.3">
      <c r="A1475">
        <v>364</v>
      </c>
      <c r="B1475" t="s">
        <v>1443</v>
      </c>
      <c r="C1475" t="s">
        <v>4115</v>
      </c>
      <c r="D1475" t="str">
        <f>VLOOKUP(YouTube_University_Data_Final[[#This Row],[Title]],[1]!YouTube_University_Data_Final[[Title]:[Title_language]],2,FALSE)</f>
        <v>Chinese</v>
      </c>
      <c r="E1475" t="s">
        <v>4116</v>
      </c>
      <c r="F1475">
        <v>27</v>
      </c>
      <c r="G1475" s="1">
        <v>42052</v>
      </c>
      <c r="H1475">
        <v>232</v>
      </c>
      <c r="I1475" t="s">
        <v>3365</v>
      </c>
      <c r="J1475">
        <v>4839</v>
      </c>
      <c r="K1475">
        <v>36</v>
      </c>
      <c r="L1475">
        <v>0</v>
      </c>
      <c r="M1475">
        <v>2</v>
      </c>
      <c r="N1475" t="s">
        <v>162</v>
      </c>
      <c r="O1475">
        <v>2015</v>
      </c>
      <c r="P1475" t="s">
        <v>18</v>
      </c>
    </row>
    <row r="1476" spans="1:16" x14ac:dyDescent="0.3">
      <c r="A1476">
        <v>365</v>
      </c>
      <c r="B1476" t="s">
        <v>1443</v>
      </c>
      <c r="C1476" t="s">
        <v>4117</v>
      </c>
      <c r="D1476" t="str">
        <f>VLOOKUP(YouTube_University_Data_Final[[#This Row],[Title]],[1]!YouTube_University_Data_Final[[Title]:[Title_language]],2,FALSE)</f>
        <v>Chinese</v>
      </c>
      <c r="E1476" t="s">
        <v>4118</v>
      </c>
      <c r="F1476">
        <v>27</v>
      </c>
      <c r="G1476" s="1">
        <v>42052</v>
      </c>
      <c r="H1476">
        <v>371</v>
      </c>
      <c r="I1476" t="s">
        <v>3365</v>
      </c>
      <c r="J1476">
        <v>111</v>
      </c>
      <c r="K1476">
        <v>0</v>
      </c>
      <c r="L1476">
        <v>0</v>
      </c>
      <c r="M1476">
        <v>0</v>
      </c>
      <c r="N1476" t="s">
        <v>162</v>
      </c>
      <c r="O1476">
        <v>2015</v>
      </c>
      <c r="P1476" t="s">
        <v>18</v>
      </c>
    </row>
    <row r="1477" spans="1:16" x14ac:dyDescent="0.3">
      <c r="A1477">
        <v>366</v>
      </c>
      <c r="B1477" t="s">
        <v>1443</v>
      </c>
      <c r="C1477" t="s">
        <v>4119</v>
      </c>
      <c r="D1477" t="str">
        <f>VLOOKUP(YouTube_University_Data_Final[[#This Row],[Title]],[1]!YouTube_University_Data_Final[[Title]:[Title_language]],2,FALSE)</f>
        <v>Bilingual</v>
      </c>
      <c r="E1477" t="s">
        <v>4120</v>
      </c>
      <c r="F1477">
        <v>27</v>
      </c>
      <c r="G1477" s="1">
        <v>42045</v>
      </c>
      <c r="H1477">
        <v>285</v>
      </c>
      <c r="I1477" t="s">
        <v>4121</v>
      </c>
      <c r="J1477">
        <v>325</v>
      </c>
      <c r="K1477">
        <v>1</v>
      </c>
      <c r="L1477">
        <v>0</v>
      </c>
      <c r="M1477">
        <v>0</v>
      </c>
      <c r="N1477" t="s">
        <v>162</v>
      </c>
      <c r="O1477">
        <v>2015</v>
      </c>
      <c r="P1477" t="s">
        <v>18</v>
      </c>
    </row>
    <row r="1478" spans="1:16" x14ac:dyDescent="0.3">
      <c r="A1478">
        <v>367</v>
      </c>
      <c r="B1478" t="s">
        <v>1443</v>
      </c>
      <c r="C1478" t="s">
        <v>4122</v>
      </c>
      <c r="D1478" t="str">
        <f>VLOOKUP(YouTube_University_Data_Final[[#This Row],[Title]],[1]!YouTube_University_Data_Final[[Title]:[Title_language]],2,FALSE)</f>
        <v>Bilingual</v>
      </c>
      <c r="E1478" t="s">
        <v>4123</v>
      </c>
      <c r="F1478">
        <v>27</v>
      </c>
      <c r="G1478" s="1">
        <v>42027</v>
      </c>
      <c r="H1478">
        <v>489</v>
      </c>
      <c r="I1478" t="s">
        <v>4124</v>
      </c>
      <c r="J1478">
        <v>2108</v>
      </c>
      <c r="K1478">
        <v>21</v>
      </c>
      <c r="L1478">
        <v>0</v>
      </c>
      <c r="M1478">
        <v>0</v>
      </c>
      <c r="N1478" t="s">
        <v>93</v>
      </c>
      <c r="O1478">
        <v>2015</v>
      </c>
      <c r="P1478" t="s">
        <v>18</v>
      </c>
    </row>
    <row r="1479" spans="1:16" x14ac:dyDescent="0.3">
      <c r="A1479">
        <v>368</v>
      </c>
      <c r="B1479" t="s">
        <v>1443</v>
      </c>
      <c r="C1479" t="s">
        <v>1469</v>
      </c>
      <c r="D1479" t="str">
        <f>VLOOKUP(YouTube_University_Data_Final[[#This Row],[Title]],[1]!YouTube_University_Data_Final[[Title]:[Title_language]],2,FALSE)</f>
        <v>English</v>
      </c>
      <c r="E1479" t="s">
        <v>4125</v>
      </c>
      <c r="F1479">
        <v>27</v>
      </c>
      <c r="G1479" s="1">
        <v>42027</v>
      </c>
      <c r="H1479">
        <v>495</v>
      </c>
      <c r="I1479" t="s">
        <v>4126</v>
      </c>
      <c r="J1479">
        <v>1651</v>
      </c>
      <c r="K1479">
        <v>12</v>
      </c>
      <c r="L1479">
        <v>0</v>
      </c>
      <c r="M1479">
        <v>0</v>
      </c>
      <c r="N1479" t="s">
        <v>93</v>
      </c>
      <c r="O1479">
        <v>2015</v>
      </c>
      <c r="P1479" t="s">
        <v>18</v>
      </c>
    </row>
    <row r="1480" spans="1:16" x14ac:dyDescent="0.3">
      <c r="A1480">
        <v>369</v>
      </c>
      <c r="B1480" t="s">
        <v>1443</v>
      </c>
      <c r="C1480" t="s">
        <v>4127</v>
      </c>
      <c r="D1480" t="str">
        <f>VLOOKUP(YouTube_University_Data_Final[[#This Row],[Title]],[1]!YouTube_University_Data_Final[[Title]:[Title_language]],2,FALSE)</f>
        <v>Bilingual</v>
      </c>
      <c r="E1480" t="s">
        <v>4128</v>
      </c>
      <c r="F1480">
        <v>27</v>
      </c>
      <c r="G1480" s="1">
        <v>42019</v>
      </c>
      <c r="H1480">
        <v>573</v>
      </c>
      <c r="I1480" t="s">
        <v>4069</v>
      </c>
      <c r="J1480">
        <v>127</v>
      </c>
      <c r="K1480">
        <v>0</v>
      </c>
      <c r="L1480">
        <v>0</v>
      </c>
      <c r="M1480">
        <v>0</v>
      </c>
      <c r="N1480" t="s">
        <v>93</v>
      </c>
      <c r="O1480">
        <v>2015</v>
      </c>
      <c r="P1480" t="s">
        <v>18</v>
      </c>
    </row>
    <row r="1481" spans="1:16" x14ac:dyDescent="0.3">
      <c r="A1481">
        <v>370</v>
      </c>
      <c r="B1481" t="s">
        <v>1443</v>
      </c>
      <c r="C1481" t="s">
        <v>4129</v>
      </c>
      <c r="D1481" t="str">
        <f>VLOOKUP(YouTube_University_Data_Final[[#This Row],[Title]],[1]!YouTube_University_Data_Final[[Title]:[Title_language]],2,FALSE)</f>
        <v>Bilingual</v>
      </c>
      <c r="E1481" t="s">
        <v>4130</v>
      </c>
      <c r="F1481">
        <v>27</v>
      </c>
      <c r="G1481" s="1">
        <v>42013</v>
      </c>
      <c r="H1481">
        <v>654</v>
      </c>
      <c r="I1481" t="s">
        <v>4131</v>
      </c>
      <c r="J1481">
        <v>7319</v>
      </c>
      <c r="K1481">
        <v>47</v>
      </c>
      <c r="L1481">
        <v>0</v>
      </c>
      <c r="M1481">
        <v>0</v>
      </c>
      <c r="N1481" t="s">
        <v>93</v>
      </c>
      <c r="O1481">
        <v>2015</v>
      </c>
      <c r="P1481" t="s">
        <v>18</v>
      </c>
    </row>
    <row r="1482" spans="1:16" x14ac:dyDescent="0.3">
      <c r="A1482">
        <v>371</v>
      </c>
      <c r="B1482" t="s">
        <v>1443</v>
      </c>
      <c r="C1482" t="s">
        <v>4132</v>
      </c>
      <c r="D1482" t="str">
        <f>VLOOKUP(YouTube_University_Data_Final[[#This Row],[Title]],[1]!YouTube_University_Data_Final[[Title]:[Title_language]],2,FALSE)</f>
        <v>Bilingual</v>
      </c>
      <c r="E1482" t="s">
        <v>4133</v>
      </c>
      <c r="F1482">
        <v>27</v>
      </c>
      <c r="G1482" s="1">
        <v>42013</v>
      </c>
      <c r="H1482">
        <v>346</v>
      </c>
      <c r="I1482" t="s">
        <v>4121</v>
      </c>
      <c r="J1482">
        <v>3371</v>
      </c>
      <c r="K1482">
        <v>12</v>
      </c>
      <c r="L1482">
        <v>0</v>
      </c>
      <c r="M1482">
        <v>0</v>
      </c>
      <c r="N1482" t="s">
        <v>93</v>
      </c>
      <c r="O1482">
        <v>2015</v>
      </c>
      <c r="P1482" t="s">
        <v>18</v>
      </c>
    </row>
    <row r="1483" spans="1:16" x14ac:dyDescent="0.3">
      <c r="A1483">
        <v>372</v>
      </c>
      <c r="B1483" t="s">
        <v>1443</v>
      </c>
      <c r="C1483" t="s">
        <v>4134</v>
      </c>
      <c r="D1483" t="str">
        <f>VLOOKUP(YouTube_University_Data_Final[[#This Row],[Title]],[1]!YouTube_University_Data_Final[[Title]:[Title_language]],2,FALSE)</f>
        <v>Bilingual</v>
      </c>
      <c r="E1483" t="s">
        <v>4135</v>
      </c>
      <c r="F1483">
        <v>27</v>
      </c>
      <c r="G1483" s="1">
        <v>41996</v>
      </c>
      <c r="H1483">
        <v>296</v>
      </c>
      <c r="I1483" t="s">
        <v>4136</v>
      </c>
      <c r="J1483">
        <v>321</v>
      </c>
      <c r="K1483">
        <v>2</v>
      </c>
      <c r="L1483">
        <v>0</v>
      </c>
      <c r="M1483">
        <v>0</v>
      </c>
      <c r="N1483" t="s">
        <v>98</v>
      </c>
      <c r="O1483">
        <v>2014</v>
      </c>
      <c r="P1483" t="s">
        <v>18</v>
      </c>
    </row>
    <row r="1484" spans="1:16" x14ac:dyDescent="0.3">
      <c r="A1484">
        <v>373</v>
      </c>
      <c r="B1484" t="s">
        <v>1443</v>
      </c>
      <c r="C1484" t="s">
        <v>1470</v>
      </c>
      <c r="D1484" t="str">
        <f>VLOOKUP(YouTube_University_Data_Final[[#This Row],[Title]],[1]!YouTube_University_Data_Final[[Title]:[Title_language]],2,FALSE)</f>
        <v>English</v>
      </c>
      <c r="E1484" t="s">
        <v>4137</v>
      </c>
      <c r="F1484">
        <v>27</v>
      </c>
      <c r="G1484" s="1">
        <v>41985</v>
      </c>
      <c r="H1484">
        <v>876</v>
      </c>
      <c r="I1484" t="s">
        <v>4138</v>
      </c>
      <c r="J1484">
        <v>528</v>
      </c>
      <c r="K1484">
        <v>1</v>
      </c>
      <c r="L1484">
        <v>0</v>
      </c>
      <c r="M1484">
        <v>0</v>
      </c>
      <c r="N1484" t="s">
        <v>98</v>
      </c>
      <c r="O1484">
        <v>2014</v>
      </c>
      <c r="P1484" t="s">
        <v>18</v>
      </c>
    </row>
    <row r="1485" spans="1:16" x14ac:dyDescent="0.3">
      <c r="A1485">
        <v>374</v>
      </c>
      <c r="B1485" t="s">
        <v>1443</v>
      </c>
      <c r="C1485" t="s">
        <v>1471</v>
      </c>
      <c r="D1485" t="str">
        <f>VLOOKUP(YouTube_University_Data_Final[[#This Row],[Title]],[1]!YouTube_University_Data_Final[[Title]:[Title_language]],2,FALSE)</f>
        <v>English</v>
      </c>
      <c r="E1485" t="s">
        <v>4139</v>
      </c>
      <c r="F1485">
        <v>27</v>
      </c>
      <c r="G1485" s="1">
        <v>41974</v>
      </c>
      <c r="H1485">
        <v>593</v>
      </c>
      <c r="I1485" t="s">
        <v>4140</v>
      </c>
      <c r="J1485">
        <v>974</v>
      </c>
      <c r="K1485">
        <v>8</v>
      </c>
      <c r="L1485">
        <v>0</v>
      </c>
      <c r="M1485">
        <v>0</v>
      </c>
      <c r="N1485" t="s">
        <v>98</v>
      </c>
      <c r="O1485">
        <v>2014</v>
      </c>
      <c r="P1485" t="s">
        <v>18</v>
      </c>
    </row>
    <row r="1486" spans="1:16" x14ac:dyDescent="0.3">
      <c r="A1486">
        <v>375</v>
      </c>
      <c r="B1486" t="s">
        <v>1443</v>
      </c>
      <c r="C1486" t="s">
        <v>4141</v>
      </c>
      <c r="D1486" t="str">
        <f>VLOOKUP(YouTube_University_Data_Final[[#This Row],[Title]],[1]!YouTube_University_Data_Final[[Title]:[Title_language]],2,FALSE)</f>
        <v>Bilingual</v>
      </c>
      <c r="E1486" t="s">
        <v>4142</v>
      </c>
      <c r="F1486">
        <v>27</v>
      </c>
      <c r="G1486" s="1">
        <v>41974</v>
      </c>
      <c r="H1486">
        <v>533</v>
      </c>
      <c r="I1486" t="s">
        <v>4143</v>
      </c>
      <c r="J1486">
        <v>271</v>
      </c>
      <c r="K1486">
        <v>1</v>
      </c>
      <c r="L1486">
        <v>0</v>
      </c>
      <c r="M1486">
        <v>0</v>
      </c>
      <c r="N1486" t="s">
        <v>98</v>
      </c>
      <c r="O1486">
        <v>2014</v>
      </c>
      <c r="P1486" t="s">
        <v>18</v>
      </c>
    </row>
    <row r="1487" spans="1:16" x14ac:dyDescent="0.3">
      <c r="A1487">
        <v>376</v>
      </c>
      <c r="B1487" t="s">
        <v>1443</v>
      </c>
      <c r="C1487" t="s">
        <v>4144</v>
      </c>
      <c r="D1487" t="str">
        <f>VLOOKUP(YouTube_University_Data_Final[[#This Row],[Title]],[1]!YouTube_University_Data_Final[[Title]:[Title_language]],2,FALSE)</f>
        <v>Bilingual</v>
      </c>
      <c r="E1487" t="s">
        <v>4145</v>
      </c>
      <c r="F1487">
        <v>27</v>
      </c>
      <c r="G1487" s="1">
        <v>41974</v>
      </c>
      <c r="H1487">
        <v>354</v>
      </c>
      <c r="I1487" t="s">
        <v>3365</v>
      </c>
      <c r="J1487">
        <v>458</v>
      </c>
      <c r="K1487">
        <v>0</v>
      </c>
      <c r="L1487">
        <v>0</v>
      </c>
      <c r="M1487">
        <v>0</v>
      </c>
      <c r="N1487" t="s">
        <v>98</v>
      </c>
      <c r="O1487">
        <v>2014</v>
      </c>
      <c r="P1487" t="s">
        <v>18</v>
      </c>
    </row>
    <row r="1488" spans="1:16" x14ac:dyDescent="0.3">
      <c r="A1488">
        <v>377</v>
      </c>
      <c r="B1488" t="s">
        <v>1443</v>
      </c>
      <c r="C1488" t="s">
        <v>4146</v>
      </c>
      <c r="D1488" t="str">
        <f>VLOOKUP(YouTube_University_Data_Final[[#This Row],[Title]],[1]!YouTube_University_Data_Final[[Title]:[Title_language]],2,FALSE)</f>
        <v>Bilingual</v>
      </c>
      <c r="E1488" t="s">
        <v>4147</v>
      </c>
      <c r="F1488">
        <v>27</v>
      </c>
      <c r="G1488" s="1">
        <v>41957</v>
      </c>
      <c r="H1488">
        <v>534</v>
      </c>
      <c r="I1488" t="s">
        <v>4148</v>
      </c>
      <c r="J1488">
        <v>3509</v>
      </c>
      <c r="K1488">
        <v>19</v>
      </c>
      <c r="L1488">
        <v>0</v>
      </c>
      <c r="M1488">
        <v>0</v>
      </c>
      <c r="N1488" t="s">
        <v>101</v>
      </c>
      <c r="O1488">
        <v>2014</v>
      </c>
      <c r="P1488" t="s">
        <v>18</v>
      </c>
    </row>
    <row r="1489" spans="1:16" x14ac:dyDescent="0.3">
      <c r="A1489">
        <v>378</v>
      </c>
      <c r="B1489" t="s">
        <v>1443</v>
      </c>
      <c r="C1489" t="s">
        <v>4149</v>
      </c>
      <c r="D1489" t="str">
        <f>VLOOKUP(YouTube_University_Data_Final[[#This Row],[Title]],[1]!YouTube_University_Data_Final[[Title]:[Title_language]],2,FALSE)</f>
        <v>Bilingual</v>
      </c>
      <c r="E1489" t="s">
        <v>4150</v>
      </c>
      <c r="F1489">
        <v>27</v>
      </c>
      <c r="G1489" s="1">
        <v>41957</v>
      </c>
      <c r="H1489">
        <v>400</v>
      </c>
      <c r="I1489" t="s">
        <v>3365</v>
      </c>
      <c r="J1489">
        <v>1980</v>
      </c>
      <c r="K1489">
        <v>30</v>
      </c>
      <c r="L1489">
        <v>0</v>
      </c>
      <c r="M1489">
        <v>0</v>
      </c>
      <c r="N1489" t="s">
        <v>101</v>
      </c>
      <c r="O1489">
        <v>2014</v>
      </c>
      <c r="P1489" t="s">
        <v>18</v>
      </c>
    </row>
    <row r="1490" spans="1:16" x14ac:dyDescent="0.3">
      <c r="A1490">
        <v>379</v>
      </c>
      <c r="B1490" t="s">
        <v>1443</v>
      </c>
      <c r="C1490" t="s">
        <v>4151</v>
      </c>
      <c r="D1490" t="str">
        <f>VLOOKUP(YouTube_University_Data_Final[[#This Row],[Title]],[1]!YouTube_University_Data_Final[[Title]:[Title_language]],2,FALSE)</f>
        <v>Bilingual</v>
      </c>
      <c r="E1490" t="s">
        <v>4152</v>
      </c>
      <c r="F1490">
        <v>27</v>
      </c>
      <c r="G1490" s="1">
        <v>41950</v>
      </c>
      <c r="H1490">
        <v>391</v>
      </c>
      <c r="I1490" t="s">
        <v>3365</v>
      </c>
      <c r="J1490">
        <v>267</v>
      </c>
      <c r="K1490">
        <v>2</v>
      </c>
      <c r="L1490">
        <v>0</v>
      </c>
      <c r="M1490">
        <v>0</v>
      </c>
      <c r="N1490" t="s">
        <v>101</v>
      </c>
      <c r="O1490">
        <v>2014</v>
      </c>
      <c r="P1490" t="s">
        <v>18</v>
      </c>
    </row>
    <row r="1491" spans="1:16" x14ac:dyDescent="0.3">
      <c r="A1491">
        <v>380</v>
      </c>
      <c r="B1491" t="s">
        <v>1443</v>
      </c>
      <c r="C1491" t="s">
        <v>1472</v>
      </c>
      <c r="D1491" t="str">
        <f>VLOOKUP(YouTube_University_Data_Final[[#This Row],[Title]],[1]!YouTube_University_Data_Final[[Title]:[Title_language]],2,FALSE)</f>
        <v>English</v>
      </c>
      <c r="E1491" t="s">
        <v>4153</v>
      </c>
      <c r="F1491">
        <v>27</v>
      </c>
      <c r="G1491" s="1">
        <v>41946</v>
      </c>
      <c r="H1491">
        <v>578</v>
      </c>
      <c r="I1491" t="s">
        <v>3365</v>
      </c>
      <c r="J1491">
        <v>337</v>
      </c>
      <c r="K1491">
        <v>0</v>
      </c>
      <c r="L1491">
        <v>0</v>
      </c>
      <c r="M1491">
        <v>0</v>
      </c>
      <c r="N1491" t="s">
        <v>101</v>
      </c>
      <c r="O1491">
        <v>2014</v>
      </c>
      <c r="P1491" t="s">
        <v>18</v>
      </c>
    </row>
    <row r="1492" spans="1:16" x14ac:dyDescent="0.3">
      <c r="A1492">
        <v>381</v>
      </c>
      <c r="B1492" t="s">
        <v>1443</v>
      </c>
      <c r="C1492" t="s">
        <v>4154</v>
      </c>
      <c r="D1492" t="str">
        <f>VLOOKUP(YouTube_University_Data_Final[[#This Row],[Title]],[1]!YouTube_University_Data_Final[[Title]:[Title_language]],2,FALSE)</f>
        <v>Bilingual</v>
      </c>
      <c r="E1492" t="s">
        <v>4155</v>
      </c>
      <c r="F1492">
        <v>27</v>
      </c>
      <c r="G1492" s="1">
        <v>41946</v>
      </c>
      <c r="H1492">
        <v>529</v>
      </c>
      <c r="I1492" t="s">
        <v>3365</v>
      </c>
      <c r="J1492">
        <v>688</v>
      </c>
      <c r="K1492">
        <v>2</v>
      </c>
      <c r="L1492">
        <v>0</v>
      </c>
      <c r="M1492">
        <v>0</v>
      </c>
      <c r="N1492" t="s">
        <v>101</v>
      </c>
      <c r="O1492">
        <v>2014</v>
      </c>
      <c r="P1492" t="s">
        <v>18</v>
      </c>
    </row>
    <row r="1493" spans="1:16" x14ac:dyDescent="0.3">
      <c r="A1493">
        <v>382</v>
      </c>
      <c r="B1493" t="s">
        <v>1443</v>
      </c>
      <c r="C1493" t="s">
        <v>4156</v>
      </c>
      <c r="D1493" t="str">
        <f>VLOOKUP(YouTube_University_Data_Final[[#This Row],[Title]],[1]!YouTube_University_Data_Final[[Title]:[Title_language]],2,FALSE)</f>
        <v>Bilingual</v>
      </c>
      <c r="E1493" t="s">
        <v>4157</v>
      </c>
      <c r="F1493">
        <v>27</v>
      </c>
      <c r="G1493" s="1">
        <v>41946</v>
      </c>
      <c r="H1493">
        <v>300</v>
      </c>
      <c r="I1493" t="s">
        <v>3365</v>
      </c>
      <c r="J1493">
        <v>84</v>
      </c>
      <c r="K1493">
        <v>0</v>
      </c>
      <c r="L1493">
        <v>0</v>
      </c>
      <c r="M1493">
        <v>0</v>
      </c>
      <c r="N1493" t="s">
        <v>101</v>
      </c>
      <c r="O1493">
        <v>2014</v>
      </c>
      <c r="P1493" t="s">
        <v>18</v>
      </c>
    </row>
    <row r="1494" spans="1:16" x14ac:dyDescent="0.3">
      <c r="A1494">
        <v>383</v>
      </c>
      <c r="B1494" t="s">
        <v>1443</v>
      </c>
      <c r="C1494" t="s">
        <v>1473</v>
      </c>
      <c r="D1494" t="str">
        <f>VLOOKUP(YouTube_University_Data_Final[[#This Row],[Title]],[1]!YouTube_University_Data_Final[[Title]:[Title_language]],2,FALSE)</f>
        <v>English</v>
      </c>
      <c r="E1494" t="s">
        <v>4158</v>
      </c>
      <c r="F1494">
        <v>27</v>
      </c>
      <c r="G1494" s="1">
        <v>41932</v>
      </c>
      <c r="H1494">
        <v>626</v>
      </c>
      <c r="I1494" t="s">
        <v>3365</v>
      </c>
      <c r="J1494">
        <v>2271</v>
      </c>
      <c r="K1494">
        <v>30</v>
      </c>
      <c r="L1494">
        <v>0</v>
      </c>
      <c r="M1494">
        <v>0</v>
      </c>
      <c r="N1494" t="s">
        <v>17</v>
      </c>
      <c r="O1494">
        <v>2014</v>
      </c>
      <c r="P1494" t="s">
        <v>18</v>
      </c>
    </row>
    <row r="1495" spans="1:16" x14ac:dyDescent="0.3">
      <c r="A1495">
        <v>384</v>
      </c>
      <c r="B1495" t="s">
        <v>1443</v>
      </c>
      <c r="C1495" t="s">
        <v>4159</v>
      </c>
      <c r="D1495" t="str">
        <f>VLOOKUP(YouTube_University_Data_Final[[#This Row],[Title]],[1]!YouTube_University_Data_Final[[Title]:[Title_language]],2,FALSE)</f>
        <v>Bilingual</v>
      </c>
      <c r="E1495" t="s">
        <v>4160</v>
      </c>
      <c r="F1495">
        <v>27</v>
      </c>
      <c r="G1495" s="1">
        <v>41932</v>
      </c>
      <c r="H1495">
        <v>900</v>
      </c>
      <c r="I1495" t="s">
        <v>4161</v>
      </c>
      <c r="J1495">
        <v>1180</v>
      </c>
      <c r="K1495">
        <v>17</v>
      </c>
      <c r="L1495">
        <v>0</v>
      </c>
      <c r="M1495">
        <v>0</v>
      </c>
      <c r="N1495" t="s">
        <v>17</v>
      </c>
      <c r="O1495">
        <v>2014</v>
      </c>
      <c r="P1495" t="s">
        <v>18</v>
      </c>
    </row>
    <row r="1496" spans="1:16" x14ac:dyDescent="0.3">
      <c r="A1496">
        <v>385</v>
      </c>
      <c r="B1496" t="s">
        <v>1443</v>
      </c>
      <c r="C1496" t="s">
        <v>4162</v>
      </c>
      <c r="D1496" t="str">
        <f>VLOOKUP(YouTube_University_Data_Final[[#This Row],[Title]],[1]!YouTube_University_Data_Final[[Title]:[Title_language]],2,FALSE)</f>
        <v>Bilingual</v>
      </c>
      <c r="E1496" t="s">
        <v>4163</v>
      </c>
      <c r="F1496">
        <v>27</v>
      </c>
      <c r="G1496" s="1">
        <v>41918</v>
      </c>
      <c r="H1496">
        <v>619</v>
      </c>
      <c r="I1496" t="s">
        <v>4164</v>
      </c>
      <c r="J1496">
        <v>3151</v>
      </c>
      <c r="K1496">
        <v>47</v>
      </c>
      <c r="L1496">
        <v>0</v>
      </c>
      <c r="M1496">
        <v>0</v>
      </c>
      <c r="N1496" t="s">
        <v>17</v>
      </c>
      <c r="O1496">
        <v>2014</v>
      </c>
      <c r="P1496" t="s">
        <v>18</v>
      </c>
    </row>
    <row r="1497" spans="1:16" x14ac:dyDescent="0.3">
      <c r="A1497">
        <v>386</v>
      </c>
      <c r="B1497" t="s">
        <v>1443</v>
      </c>
      <c r="C1497" t="s">
        <v>1474</v>
      </c>
      <c r="D1497" t="str">
        <f>VLOOKUP(YouTube_University_Data_Final[[#This Row],[Title]],[1]!YouTube_University_Data_Final[[Title]:[Title_language]],2,FALSE)</f>
        <v>English</v>
      </c>
      <c r="E1497" t="s">
        <v>3724</v>
      </c>
      <c r="F1497">
        <v>27</v>
      </c>
      <c r="G1497" s="1">
        <v>41912</v>
      </c>
      <c r="H1497">
        <v>389</v>
      </c>
      <c r="I1497" t="s">
        <v>3365</v>
      </c>
      <c r="J1497">
        <v>1577</v>
      </c>
      <c r="K1497">
        <v>7</v>
      </c>
      <c r="L1497">
        <v>0</v>
      </c>
      <c r="M1497">
        <v>0</v>
      </c>
      <c r="N1497" t="s">
        <v>21</v>
      </c>
      <c r="O1497">
        <v>2014</v>
      </c>
      <c r="P1497" t="s">
        <v>18</v>
      </c>
    </row>
    <row r="1498" spans="1:16" x14ac:dyDescent="0.3">
      <c r="A1498">
        <v>387</v>
      </c>
      <c r="B1498" t="s">
        <v>1443</v>
      </c>
      <c r="C1498" t="s">
        <v>4165</v>
      </c>
      <c r="D1498" t="str">
        <f>VLOOKUP(YouTube_University_Data_Final[[#This Row],[Title]],[1]!YouTube_University_Data_Final[[Title]:[Title_language]],2,FALSE)</f>
        <v>Bilingual</v>
      </c>
      <c r="E1498" t="s">
        <v>1475</v>
      </c>
      <c r="F1498">
        <v>27</v>
      </c>
      <c r="G1498" s="1">
        <v>41904</v>
      </c>
      <c r="H1498">
        <v>456</v>
      </c>
      <c r="I1498" t="s">
        <v>3365</v>
      </c>
      <c r="J1498">
        <v>271</v>
      </c>
      <c r="K1498">
        <v>1</v>
      </c>
      <c r="L1498">
        <v>0</v>
      </c>
      <c r="M1498">
        <v>0</v>
      </c>
      <c r="N1498" t="s">
        <v>21</v>
      </c>
      <c r="O1498">
        <v>2014</v>
      </c>
      <c r="P1498" t="s">
        <v>18</v>
      </c>
    </row>
    <row r="1499" spans="1:16" x14ac:dyDescent="0.3">
      <c r="A1499">
        <v>388</v>
      </c>
      <c r="B1499" t="s">
        <v>1443</v>
      </c>
      <c r="C1499" t="s">
        <v>4166</v>
      </c>
      <c r="D1499" t="str">
        <f>VLOOKUP(YouTube_University_Data_Final[[#This Row],[Title]],[1]!YouTube_University_Data_Final[[Title]:[Title_language]],2,FALSE)</f>
        <v>Bilingual</v>
      </c>
      <c r="E1499" t="s">
        <v>1476</v>
      </c>
      <c r="F1499">
        <v>27</v>
      </c>
      <c r="G1499" s="1">
        <v>41904</v>
      </c>
      <c r="H1499">
        <v>287</v>
      </c>
      <c r="I1499" t="s">
        <v>3365</v>
      </c>
      <c r="J1499">
        <v>517</v>
      </c>
      <c r="K1499">
        <v>3</v>
      </c>
      <c r="L1499">
        <v>0</v>
      </c>
      <c r="M1499">
        <v>0</v>
      </c>
      <c r="N1499" t="s">
        <v>21</v>
      </c>
      <c r="O1499">
        <v>2014</v>
      </c>
      <c r="P1499" t="s">
        <v>18</v>
      </c>
    </row>
    <row r="1500" spans="1:16" x14ac:dyDescent="0.3">
      <c r="A1500">
        <v>389</v>
      </c>
      <c r="B1500" t="s">
        <v>1443</v>
      </c>
      <c r="C1500" t="s">
        <v>4167</v>
      </c>
      <c r="D1500" t="str">
        <f>VLOOKUP(YouTube_University_Data_Final[[#This Row],[Title]],[1]!YouTube_University_Data_Final[[Title]:[Title_language]],2,FALSE)</f>
        <v>Bilingual</v>
      </c>
      <c r="E1500" t="s">
        <v>4168</v>
      </c>
      <c r="F1500">
        <v>27</v>
      </c>
      <c r="G1500" s="1">
        <v>41887</v>
      </c>
      <c r="H1500">
        <v>8</v>
      </c>
      <c r="I1500" t="s">
        <v>3365</v>
      </c>
      <c r="J1500">
        <v>42160</v>
      </c>
      <c r="K1500">
        <v>341</v>
      </c>
      <c r="L1500">
        <v>0</v>
      </c>
      <c r="M1500">
        <v>0</v>
      </c>
      <c r="N1500" t="s">
        <v>21</v>
      </c>
      <c r="O1500">
        <v>2014</v>
      </c>
      <c r="P1500" t="s">
        <v>18</v>
      </c>
    </row>
    <row r="1501" spans="1:16" x14ac:dyDescent="0.3">
      <c r="A1501">
        <v>390</v>
      </c>
      <c r="B1501" t="s">
        <v>1443</v>
      </c>
      <c r="C1501" t="s">
        <v>1477</v>
      </c>
      <c r="D1501" t="str">
        <f>VLOOKUP(YouTube_University_Data_Final[[#This Row],[Title]],[1]!YouTube_University_Data_Final[[Title]:[Title_language]],2,FALSE)</f>
        <v>English</v>
      </c>
      <c r="E1501" t="s">
        <v>3724</v>
      </c>
      <c r="F1501">
        <v>27</v>
      </c>
      <c r="G1501" s="1">
        <v>41876</v>
      </c>
      <c r="H1501">
        <v>523</v>
      </c>
      <c r="I1501" t="s">
        <v>4169</v>
      </c>
      <c r="J1501">
        <v>104</v>
      </c>
      <c r="K1501">
        <v>0</v>
      </c>
      <c r="L1501">
        <v>0</v>
      </c>
      <c r="M1501">
        <v>0</v>
      </c>
      <c r="N1501" t="s">
        <v>48</v>
      </c>
      <c r="O1501">
        <v>2014</v>
      </c>
      <c r="P1501" t="s">
        <v>18</v>
      </c>
    </row>
    <row r="1502" spans="1:16" x14ac:dyDescent="0.3">
      <c r="A1502">
        <v>391</v>
      </c>
      <c r="B1502" t="s">
        <v>1443</v>
      </c>
      <c r="C1502" t="s">
        <v>1478</v>
      </c>
      <c r="D1502" t="str">
        <f>VLOOKUP(YouTube_University_Data_Final[[#This Row],[Title]],[1]!YouTube_University_Data_Final[[Title]:[Title_language]],2,FALSE)</f>
        <v>English</v>
      </c>
      <c r="E1502" t="s">
        <v>4170</v>
      </c>
      <c r="F1502">
        <v>27</v>
      </c>
      <c r="G1502" s="1">
        <v>41873</v>
      </c>
      <c r="H1502">
        <v>325</v>
      </c>
      <c r="I1502" t="s">
        <v>4171</v>
      </c>
      <c r="J1502">
        <v>147</v>
      </c>
      <c r="K1502">
        <v>0</v>
      </c>
      <c r="L1502">
        <v>0</v>
      </c>
      <c r="M1502">
        <v>0</v>
      </c>
      <c r="N1502" t="s">
        <v>48</v>
      </c>
      <c r="O1502">
        <v>2014</v>
      </c>
      <c r="P1502" t="s">
        <v>18</v>
      </c>
    </row>
    <row r="1503" spans="1:16" x14ac:dyDescent="0.3">
      <c r="A1503">
        <v>392</v>
      </c>
      <c r="B1503" t="s">
        <v>1443</v>
      </c>
      <c r="C1503" t="s">
        <v>4172</v>
      </c>
      <c r="D1503" t="str">
        <f>VLOOKUP(YouTube_University_Data_Final[[#This Row],[Title]],[1]!YouTube_University_Data_Final[[Title]:[Title_language]],2,FALSE)</f>
        <v>Bilingual</v>
      </c>
      <c r="E1503" t="s">
        <v>3724</v>
      </c>
      <c r="F1503">
        <v>27</v>
      </c>
      <c r="G1503" s="1">
        <v>41871</v>
      </c>
      <c r="H1503">
        <v>166</v>
      </c>
      <c r="I1503" t="s">
        <v>4173</v>
      </c>
      <c r="J1503">
        <v>17484</v>
      </c>
      <c r="K1503">
        <v>0</v>
      </c>
      <c r="L1503">
        <v>0</v>
      </c>
      <c r="M1503">
        <v>0</v>
      </c>
      <c r="N1503" t="s">
        <v>48</v>
      </c>
      <c r="O1503">
        <v>2014</v>
      </c>
      <c r="P1503" t="s">
        <v>18</v>
      </c>
    </row>
    <row r="1504" spans="1:16" x14ac:dyDescent="0.3">
      <c r="A1504">
        <v>393</v>
      </c>
      <c r="B1504" t="s">
        <v>1443</v>
      </c>
      <c r="C1504" t="s">
        <v>1479</v>
      </c>
      <c r="D1504" t="str">
        <f>VLOOKUP(YouTube_University_Data_Final[[#This Row],[Title]],[1]!YouTube_University_Data_Final[[Title]:[Title_language]],2,FALSE)</f>
        <v>English</v>
      </c>
      <c r="E1504" t="s">
        <v>4174</v>
      </c>
      <c r="F1504">
        <v>27</v>
      </c>
      <c r="G1504" s="1">
        <v>41864</v>
      </c>
      <c r="H1504">
        <v>147</v>
      </c>
      <c r="I1504" t="s">
        <v>3365</v>
      </c>
      <c r="J1504">
        <v>599</v>
      </c>
      <c r="K1504">
        <v>0</v>
      </c>
      <c r="L1504">
        <v>0</v>
      </c>
      <c r="M1504">
        <v>0</v>
      </c>
      <c r="N1504" t="s">
        <v>48</v>
      </c>
      <c r="O1504">
        <v>2014</v>
      </c>
      <c r="P1504" t="s">
        <v>18</v>
      </c>
    </row>
    <row r="1505" spans="1:16" x14ac:dyDescent="0.3">
      <c r="A1505">
        <v>394</v>
      </c>
      <c r="B1505" t="s">
        <v>1443</v>
      </c>
      <c r="C1505" t="s">
        <v>1480</v>
      </c>
      <c r="D1505" t="str">
        <f>VLOOKUP(YouTube_University_Data_Final[[#This Row],[Title]],[1]!YouTube_University_Data_Final[[Title]:[Title_language]],2,FALSE)</f>
        <v>English</v>
      </c>
      <c r="E1505" t="s">
        <v>4174</v>
      </c>
      <c r="F1505">
        <v>27</v>
      </c>
      <c r="G1505" s="1">
        <v>41864</v>
      </c>
      <c r="H1505">
        <v>159</v>
      </c>
      <c r="I1505" t="s">
        <v>3365</v>
      </c>
      <c r="J1505">
        <v>419</v>
      </c>
      <c r="K1505">
        <v>0</v>
      </c>
      <c r="L1505">
        <v>0</v>
      </c>
      <c r="M1505">
        <v>0</v>
      </c>
      <c r="N1505" t="s">
        <v>48</v>
      </c>
      <c r="O1505">
        <v>2014</v>
      </c>
      <c r="P1505" t="s">
        <v>18</v>
      </c>
    </row>
    <row r="1506" spans="1:16" x14ac:dyDescent="0.3">
      <c r="A1506">
        <v>395</v>
      </c>
      <c r="B1506" t="s">
        <v>1443</v>
      </c>
      <c r="C1506" t="s">
        <v>1481</v>
      </c>
      <c r="D1506" t="str">
        <f>VLOOKUP(YouTube_University_Data_Final[[#This Row],[Title]],[1]!YouTube_University_Data_Final[[Title]:[Title_language]],2,FALSE)</f>
        <v>English</v>
      </c>
      <c r="E1506" t="s">
        <v>4174</v>
      </c>
      <c r="F1506">
        <v>27</v>
      </c>
      <c r="G1506" s="1">
        <v>41864</v>
      </c>
      <c r="H1506">
        <v>180</v>
      </c>
      <c r="I1506" t="s">
        <v>4175</v>
      </c>
      <c r="J1506">
        <v>2458</v>
      </c>
      <c r="K1506">
        <v>0</v>
      </c>
      <c r="L1506">
        <v>0</v>
      </c>
      <c r="M1506">
        <v>0</v>
      </c>
      <c r="N1506" t="s">
        <v>48</v>
      </c>
      <c r="O1506">
        <v>2014</v>
      </c>
      <c r="P1506" t="s">
        <v>18</v>
      </c>
    </row>
    <row r="1507" spans="1:16" x14ac:dyDescent="0.3">
      <c r="A1507">
        <v>396</v>
      </c>
      <c r="B1507" t="s">
        <v>1443</v>
      </c>
      <c r="C1507" t="s">
        <v>1482</v>
      </c>
      <c r="D1507" t="str">
        <f>VLOOKUP(YouTube_University_Data_Final[[#This Row],[Title]],[1]!YouTube_University_Data_Final[[Title]:[Title_language]],2,FALSE)</f>
        <v>English</v>
      </c>
      <c r="E1507" t="s">
        <v>4174</v>
      </c>
      <c r="F1507">
        <v>27</v>
      </c>
      <c r="G1507" s="1">
        <v>41864</v>
      </c>
      <c r="H1507">
        <v>140</v>
      </c>
      <c r="I1507" t="s">
        <v>3365</v>
      </c>
      <c r="J1507">
        <v>175</v>
      </c>
      <c r="K1507">
        <v>0</v>
      </c>
      <c r="L1507">
        <v>0</v>
      </c>
      <c r="M1507">
        <v>0</v>
      </c>
      <c r="N1507" t="s">
        <v>48</v>
      </c>
      <c r="O1507">
        <v>2014</v>
      </c>
      <c r="P1507" t="s">
        <v>18</v>
      </c>
    </row>
    <row r="1508" spans="1:16" x14ac:dyDescent="0.3">
      <c r="A1508">
        <v>397</v>
      </c>
      <c r="B1508" t="s">
        <v>1443</v>
      </c>
      <c r="C1508" t="s">
        <v>1483</v>
      </c>
      <c r="D1508" t="str">
        <f>VLOOKUP(YouTube_University_Data_Final[[#This Row],[Title]],[1]!YouTube_University_Data_Final[[Title]:[Title_language]],2,FALSE)</f>
        <v>English</v>
      </c>
      <c r="E1508" t="s">
        <v>4174</v>
      </c>
      <c r="F1508">
        <v>27</v>
      </c>
      <c r="G1508" s="1">
        <v>41864</v>
      </c>
      <c r="H1508">
        <v>152</v>
      </c>
      <c r="I1508" t="s">
        <v>4175</v>
      </c>
      <c r="J1508">
        <v>578</v>
      </c>
      <c r="K1508">
        <v>0</v>
      </c>
      <c r="L1508">
        <v>0</v>
      </c>
      <c r="M1508">
        <v>0</v>
      </c>
      <c r="N1508" t="s">
        <v>48</v>
      </c>
      <c r="O1508">
        <v>2014</v>
      </c>
      <c r="P1508" t="s">
        <v>18</v>
      </c>
    </row>
    <row r="1509" spans="1:16" x14ac:dyDescent="0.3">
      <c r="A1509">
        <v>398</v>
      </c>
      <c r="B1509" t="s">
        <v>1443</v>
      </c>
      <c r="C1509" t="s">
        <v>1484</v>
      </c>
      <c r="D1509" t="str">
        <f>VLOOKUP(YouTube_University_Data_Final[[#This Row],[Title]],[1]!YouTube_University_Data_Final[[Title]:[Title_language]],2,FALSE)</f>
        <v>English</v>
      </c>
      <c r="E1509" t="s">
        <v>4174</v>
      </c>
      <c r="F1509">
        <v>27</v>
      </c>
      <c r="G1509" s="1">
        <v>41864</v>
      </c>
      <c r="H1509">
        <v>133</v>
      </c>
      <c r="I1509" t="s">
        <v>3365</v>
      </c>
      <c r="J1509">
        <v>301</v>
      </c>
      <c r="K1509">
        <v>0</v>
      </c>
      <c r="L1509">
        <v>0</v>
      </c>
      <c r="M1509">
        <v>0</v>
      </c>
      <c r="N1509" t="s">
        <v>48</v>
      </c>
      <c r="O1509">
        <v>2014</v>
      </c>
      <c r="P1509" t="s">
        <v>18</v>
      </c>
    </row>
    <row r="1510" spans="1:16" x14ac:dyDescent="0.3">
      <c r="A1510">
        <v>399</v>
      </c>
      <c r="B1510" t="s">
        <v>1443</v>
      </c>
      <c r="C1510" t="s">
        <v>1485</v>
      </c>
      <c r="D1510" t="str">
        <f>VLOOKUP(YouTube_University_Data_Final[[#This Row],[Title]],[1]!YouTube_University_Data_Final[[Title]:[Title_language]],2,FALSE)</f>
        <v>English</v>
      </c>
      <c r="E1510" t="s">
        <v>4174</v>
      </c>
      <c r="F1510">
        <v>27</v>
      </c>
      <c r="G1510" s="1">
        <v>41864</v>
      </c>
      <c r="H1510">
        <v>170</v>
      </c>
      <c r="I1510" t="s">
        <v>4176</v>
      </c>
      <c r="J1510">
        <v>1158</v>
      </c>
      <c r="K1510">
        <v>0</v>
      </c>
      <c r="L1510">
        <v>0</v>
      </c>
      <c r="M1510">
        <v>0</v>
      </c>
      <c r="N1510" t="s">
        <v>48</v>
      </c>
      <c r="O1510">
        <v>2014</v>
      </c>
      <c r="P1510" t="s">
        <v>18</v>
      </c>
    </row>
    <row r="1511" spans="1:16" x14ac:dyDescent="0.3">
      <c r="A1511">
        <v>400</v>
      </c>
      <c r="B1511" t="s">
        <v>1443</v>
      </c>
      <c r="C1511" t="s">
        <v>1486</v>
      </c>
      <c r="D1511" t="str">
        <f>VLOOKUP(YouTube_University_Data_Final[[#This Row],[Title]],[1]!YouTube_University_Data_Final[[Title]:[Title_language]],2,FALSE)</f>
        <v>English</v>
      </c>
      <c r="E1511" t="s">
        <v>4177</v>
      </c>
      <c r="F1511">
        <v>27</v>
      </c>
      <c r="G1511" s="1">
        <v>41848</v>
      </c>
      <c r="H1511">
        <v>484</v>
      </c>
      <c r="I1511" t="s">
        <v>3365</v>
      </c>
      <c r="J1511">
        <v>162</v>
      </c>
      <c r="K1511">
        <v>0</v>
      </c>
      <c r="L1511">
        <v>0</v>
      </c>
      <c r="M1511">
        <v>0</v>
      </c>
      <c r="N1511" t="s">
        <v>56</v>
      </c>
      <c r="O1511">
        <v>2014</v>
      </c>
      <c r="P1511" t="s">
        <v>18</v>
      </c>
    </row>
    <row r="1512" spans="1:16" x14ac:dyDescent="0.3">
      <c r="A1512">
        <v>401</v>
      </c>
      <c r="B1512" t="s">
        <v>1443</v>
      </c>
      <c r="C1512" t="s">
        <v>1487</v>
      </c>
      <c r="D1512" t="str">
        <f>VLOOKUP(YouTube_University_Data_Final[[#This Row],[Title]],[1]!YouTube_University_Data_Final[[Title]:[Title_language]],2,FALSE)</f>
        <v>English</v>
      </c>
      <c r="E1512" t="s">
        <v>4178</v>
      </c>
      <c r="F1512">
        <v>27</v>
      </c>
      <c r="G1512" s="1">
        <v>41848</v>
      </c>
      <c r="H1512">
        <v>216</v>
      </c>
      <c r="I1512" t="s">
        <v>3365</v>
      </c>
      <c r="J1512">
        <v>306</v>
      </c>
      <c r="K1512">
        <v>0</v>
      </c>
      <c r="L1512">
        <v>0</v>
      </c>
      <c r="M1512">
        <v>0</v>
      </c>
      <c r="N1512" t="s">
        <v>56</v>
      </c>
      <c r="O1512">
        <v>2014</v>
      </c>
      <c r="P1512" t="s">
        <v>18</v>
      </c>
    </row>
    <row r="1513" spans="1:16" x14ac:dyDescent="0.3">
      <c r="A1513">
        <v>402</v>
      </c>
      <c r="B1513" t="s">
        <v>1443</v>
      </c>
      <c r="C1513" t="s">
        <v>4179</v>
      </c>
      <c r="D1513" t="str">
        <f>VLOOKUP(YouTube_University_Data_Final[[#This Row],[Title]],[1]!YouTube_University_Data_Final[[Title]:[Title_language]],2,FALSE)</f>
        <v>Chinese</v>
      </c>
      <c r="E1513" t="s">
        <v>3724</v>
      </c>
      <c r="F1513">
        <v>27</v>
      </c>
      <c r="G1513" s="1">
        <v>41835</v>
      </c>
      <c r="H1513">
        <v>565</v>
      </c>
      <c r="I1513" t="s">
        <v>3365</v>
      </c>
      <c r="J1513">
        <v>95</v>
      </c>
      <c r="K1513">
        <v>0</v>
      </c>
      <c r="L1513">
        <v>0</v>
      </c>
      <c r="M1513">
        <v>0</v>
      </c>
      <c r="N1513" t="s">
        <v>56</v>
      </c>
      <c r="O1513">
        <v>2014</v>
      </c>
      <c r="P1513" t="s">
        <v>18</v>
      </c>
    </row>
    <row r="1514" spans="1:16" x14ac:dyDescent="0.3">
      <c r="A1514">
        <v>403</v>
      </c>
      <c r="B1514" t="s">
        <v>1443</v>
      </c>
      <c r="C1514" t="s">
        <v>4180</v>
      </c>
      <c r="D1514" t="str">
        <f>VLOOKUP(YouTube_University_Data_Final[[#This Row],[Title]],[1]!YouTube_University_Data_Final[[Title]:[Title_language]],2,FALSE)</f>
        <v>Bilingual</v>
      </c>
      <c r="E1514" t="s">
        <v>4181</v>
      </c>
      <c r="F1514">
        <v>27</v>
      </c>
      <c r="G1514" s="1">
        <v>41835</v>
      </c>
      <c r="H1514">
        <v>349</v>
      </c>
      <c r="I1514" t="s">
        <v>3365</v>
      </c>
      <c r="J1514">
        <v>124</v>
      </c>
      <c r="K1514">
        <v>0</v>
      </c>
      <c r="L1514">
        <v>0</v>
      </c>
      <c r="M1514">
        <v>0</v>
      </c>
      <c r="N1514" t="s">
        <v>56</v>
      </c>
      <c r="O1514">
        <v>2014</v>
      </c>
      <c r="P1514" t="s">
        <v>18</v>
      </c>
    </row>
    <row r="1515" spans="1:16" x14ac:dyDescent="0.3">
      <c r="A1515">
        <v>404</v>
      </c>
      <c r="B1515" t="s">
        <v>1443</v>
      </c>
      <c r="C1515" t="s">
        <v>4182</v>
      </c>
      <c r="D1515" t="str">
        <f>VLOOKUP(YouTube_University_Data_Final[[#This Row],[Title]],[1]!YouTube_University_Data_Final[[Title]:[Title_language]],2,FALSE)</f>
        <v>Bilingual</v>
      </c>
      <c r="E1515" t="s">
        <v>4183</v>
      </c>
      <c r="F1515">
        <v>27</v>
      </c>
      <c r="G1515" s="1">
        <v>41822</v>
      </c>
      <c r="H1515">
        <v>26</v>
      </c>
      <c r="I1515" t="s">
        <v>3365</v>
      </c>
      <c r="J1515">
        <v>328</v>
      </c>
      <c r="K1515">
        <v>1</v>
      </c>
      <c r="L1515">
        <v>0</v>
      </c>
      <c r="M1515">
        <v>0</v>
      </c>
      <c r="N1515" t="s">
        <v>56</v>
      </c>
      <c r="O1515">
        <v>2014</v>
      </c>
      <c r="P1515" t="s">
        <v>18</v>
      </c>
    </row>
    <row r="1516" spans="1:16" x14ac:dyDescent="0.3">
      <c r="A1516">
        <v>405</v>
      </c>
      <c r="B1516" t="s">
        <v>1443</v>
      </c>
      <c r="C1516" t="s">
        <v>4184</v>
      </c>
      <c r="D1516" t="str">
        <f>VLOOKUP(YouTube_University_Data_Final[[#This Row],[Title]],[1]!YouTube_University_Data_Final[[Title]:[Title_language]],2,FALSE)</f>
        <v>Chinese</v>
      </c>
      <c r="E1516" t="s">
        <v>4185</v>
      </c>
      <c r="F1516">
        <v>27</v>
      </c>
      <c r="G1516" s="1">
        <v>41814</v>
      </c>
      <c r="H1516">
        <v>421</v>
      </c>
      <c r="I1516" t="s">
        <v>3365</v>
      </c>
      <c r="J1516">
        <v>752</v>
      </c>
      <c r="K1516">
        <v>3</v>
      </c>
      <c r="L1516">
        <v>0</v>
      </c>
      <c r="M1516">
        <v>0</v>
      </c>
      <c r="N1516" t="s">
        <v>78</v>
      </c>
      <c r="O1516">
        <v>2014</v>
      </c>
      <c r="P1516" t="s">
        <v>18</v>
      </c>
    </row>
    <row r="1517" spans="1:16" x14ac:dyDescent="0.3">
      <c r="A1517">
        <v>406</v>
      </c>
      <c r="B1517" t="s">
        <v>1443</v>
      </c>
      <c r="C1517" t="s">
        <v>4186</v>
      </c>
      <c r="D1517" t="str">
        <f>VLOOKUP(YouTube_University_Data_Final[[#This Row],[Title]],[1]!YouTube_University_Data_Final[[Title]:[Title_language]],2,FALSE)</f>
        <v>Bilingual</v>
      </c>
      <c r="E1517" t="s">
        <v>4187</v>
      </c>
      <c r="F1517">
        <v>27</v>
      </c>
      <c r="G1517" s="1">
        <v>41802</v>
      </c>
      <c r="H1517">
        <v>341</v>
      </c>
      <c r="I1517" t="s">
        <v>4188</v>
      </c>
      <c r="J1517">
        <v>1510</v>
      </c>
      <c r="K1517">
        <v>13</v>
      </c>
      <c r="L1517">
        <v>0</v>
      </c>
      <c r="M1517">
        <v>0</v>
      </c>
      <c r="N1517" t="s">
        <v>78</v>
      </c>
      <c r="O1517">
        <v>2014</v>
      </c>
      <c r="P1517" t="s">
        <v>18</v>
      </c>
    </row>
    <row r="1518" spans="1:16" x14ac:dyDescent="0.3">
      <c r="A1518">
        <v>407</v>
      </c>
      <c r="B1518" t="s">
        <v>1443</v>
      </c>
      <c r="C1518" t="s">
        <v>1488</v>
      </c>
      <c r="D1518" t="str">
        <f>VLOOKUP(YouTube_University_Data_Final[[#This Row],[Title]],[1]!YouTube_University_Data_Final[[Title]:[Title_language]],2,FALSE)</f>
        <v>English</v>
      </c>
      <c r="E1518" t="s">
        <v>3724</v>
      </c>
      <c r="F1518">
        <v>27</v>
      </c>
      <c r="G1518" s="1">
        <v>41795</v>
      </c>
      <c r="H1518">
        <v>617</v>
      </c>
      <c r="I1518" t="s">
        <v>3365</v>
      </c>
      <c r="J1518">
        <v>287</v>
      </c>
      <c r="K1518">
        <v>0</v>
      </c>
      <c r="L1518">
        <v>0</v>
      </c>
      <c r="M1518">
        <v>0</v>
      </c>
      <c r="N1518" t="s">
        <v>78</v>
      </c>
      <c r="O1518">
        <v>2014</v>
      </c>
      <c r="P1518" t="s">
        <v>18</v>
      </c>
    </row>
    <row r="1519" spans="1:16" x14ac:dyDescent="0.3">
      <c r="A1519">
        <v>408</v>
      </c>
      <c r="B1519" t="s">
        <v>1443</v>
      </c>
      <c r="C1519" t="s">
        <v>4189</v>
      </c>
      <c r="D1519" t="str">
        <f>VLOOKUP(YouTube_University_Data_Final[[#This Row],[Title]],[1]!YouTube_University_Data_Final[[Title]:[Title_language]],2,FALSE)</f>
        <v>Chinese</v>
      </c>
      <c r="E1519" t="s">
        <v>4190</v>
      </c>
      <c r="F1519">
        <v>27</v>
      </c>
      <c r="G1519" s="1">
        <v>41782</v>
      </c>
      <c r="H1519">
        <v>456</v>
      </c>
      <c r="I1519" t="s">
        <v>3365</v>
      </c>
      <c r="J1519">
        <v>1162</v>
      </c>
      <c r="K1519">
        <v>6</v>
      </c>
      <c r="L1519">
        <v>0</v>
      </c>
      <c r="M1519">
        <v>0</v>
      </c>
      <c r="N1519" t="s">
        <v>81</v>
      </c>
      <c r="O1519">
        <v>2014</v>
      </c>
      <c r="P1519" t="s">
        <v>18</v>
      </c>
    </row>
    <row r="1520" spans="1:16" x14ac:dyDescent="0.3">
      <c r="A1520">
        <v>409</v>
      </c>
      <c r="B1520" t="s">
        <v>1443</v>
      </c>
      <c r="C1520" t="s">
        <v>4191</v>
      </c>
      <c r="D1520" t="str">
        <f>VLOOKUP(YouTube_University_Data_Final[[#This Row],[Title]],[1]!YouTube_University_Data_Final[[Title]:[Title_language]],2,FALSE)</f>
        <v>Chinese</v>
      </c>
      <c r="E1520" t="s">
        <v>3724</v>
      </c>
      <c r="F1520">
        <v>27</v>
      </c>
      <c r="G1520" s="1">
        <v>41782</v>
      </c>
      <c r="H1520">
        <v>349</v>
      </c>
      <c r="I1520" t="s">
        <v>3365</v>
      </c>
      <c r="J1520">
        <v>209</v>
      </c>
      <c r="K1520">
        <v>0</v>
      </c>
      <c r="L1520">
        <v>0</v>
      </c>
      <c r="M1520">
        <v>0</v>
      </c>
      <c r="N1520" t="s">
        <v>81</v>
      </c>
      <c r="O1520">
        <v>2014</v>
      </c>
      <c r="P1520" t="s">
        <v>18</v>
      </c>
    </row>
    <row r="1521" spans="1:16" x14ac:dyDescent="0.3">
      <c r="A1521">
        <v>410</v>
      </c>
      <c r="B1521" t="s">
        <v>1443</v>
      </c>
      <c r="C1521" t="s">
        <v>4192</v>
      </c>
      <c r="D1521" t="str">
        <f>VLOOKUP(YouTube_University_Data_Final[[#This Row],[Title]],[1]!YouTube_University_Data_Final[[Title]:[Title_language]],2,FALSE)</f>
        <v>Chinese</v>
      </c>
      <c r="E1521" t="s">
        <v>3724</v>
      </c>
      <c r="F1521">
        <v>27</v>
      </c>
      <c r="G1521" s="1">
        <v>41779</v>
      </c>
      <c r="H1521">
        <v>491</v>
      </c>
      <c r="I1521" t="s">
        <v>3365</v>
      </c>
      <c r="J1521">
        <v>90</v>
      </c>
      <c r="K1521">
        <v>0</v>
      </c>
      <c r="L1521">
        <v>0</v>
      </c>
      <c r="M1521">
        <v>0</v>
      </c>
      <c r="N1521" t="s">
        <v>81</v>
      </c>
      <c r="O1521">
        <v>2014</v>
      </c>
      <c r="P1521" t="s">
        <v>18</v>
      </c>
    </row>
    <row r="1522" spans="1:16" x14ac:dyDescent="0.3">
      <c r="A1522">
        <v>411</v>
      </c>
      <c r="B1522" t="s">
        <v>1443</v>
      </c>
      <c r="C1522" t="s">
        <v>1489</v>
      </c>
      <c r="D1522" t="str">
        <f>VLOOKUP(YouTube_University_Data_Final[[#This Row],[Title]],[1]!YouTube_University_Data_Final[[Title]:[Title_language]],2,FALSE)</f>
        <v>English</v>
      </c>
      <c r="E1522" t="s">
        <v>3724</v>
      </c>
      <c r="F1522">
        <v>27</v>
      </c>
      <c r="G1522" s="1">
        <v>41779</v>
      </c>
      <c r="H1522">
        <v>494</v>
      </c>
      <c r="I1522" t="s">
        <v>3365</v>
      </c>
      <c r="J1522">
        <v>357</v>
      </c>
      <c r="K1522">
        <v>0</v>
      </c>
      <c r="L1522">
        <v>0</v>
      </c>
      <c r="M1522">
        <v>0</v>
      </c>
      <c r="N1522" t="s">
        <v>81</v>
      </c>
      <c r="O1522">
        <v>2014</v>
      </c>
      <c r="P1522" t="s">
        <v>18</v>
      </c>
    </row>
    <row r="1523" spans="1:16" x14ac:dyDescent="0.3">
      <c r="A1523">
        <v>412</v>
      </c>
      <c r="B1523" t="s">
        <v>1443</v>
      </c>
      <c r="C1523" t="s">
        <v>4193</v>
      </c>
      <c r="D1523" t="str">
        <f>VLOOKUP(YouTube_University_Data_Final[[#This Row],[Title]],[1]!YouTube_University_Data_Final[[Title]:[Title_language]],2,FALSE)</f>
        <v>Chinese</v>
      </c>
      <c r="E1523" t="s">
        <v>4194</v>
      </c>
      <c r="F1523">
        <v>27</v>
      </c>
      <c r="G1523" s="1">
        <v>41779</v>
      </c>
      <c r="H1523">
        <v>469</v>
      </c>
      <c r="I1523" t="s">
        <v>3365</v>
      </c>
      <c r="J1523">
        <v>139</v>
      </c>
      <c r="K1523">
        <v>1</v>
      </c>
      <c r="L1523">
        <v>0</v>
      </c>
      <c r="M1523">
        <v>0</v>
      </c>
      <c r="N1523" t="s">
        <v>81</v>
      </c>
      <c r="O1523">
        <v>2014</v>
      </c>
      <c r="P1523" t="s">
        <v>18</v>
      </c>
    </row>
    <row r="1524" spans="1:16" x14ac:dyDescent="0.3">
      <c r="A1524">
        <v>413</v>
      </c>
      <c r="B1524" t="s">
        <v>1443</v>
      </c>
      <c r="C1524" t="s">
        <v>4195</v>
      </c>
      <c r="D1524" t="str">
        <f>VLOOKUP(YouTube_University_Data_Final[[#This Row],[Title]],[1]!YouTube_University_Data_Final[[Title]:[Title_language]],2,FALSE)</f>
        <v>Bilingual</v>
      </c>
      <c r="E1524" t="s">
        <v>3724</v>
      </c>
      <c r="F1524">
        <v>27</v>
      </c>
      <c r="G1524" s="1">
        <v>41772</v>
      </c>
      <c r="H1524">
        <v>325</v>
      </c>
      <c r="I1524" t="s">
        <v>3365</v>
      </c>
      <c r="J1524">
        <v>1729</v>
      </c>
      <c r="K1524">
        <v>3</v>
      </c>
      <c r="L1524">
        <v>0</v>
      </c>
      <c r="M1524">
        <v>0</v>
      </c>
      <c r="N1524" t="s">
        <v>81</v>
      </c>
      <c r="O1524">
        <v>2014</v>
      </c>
      <c r="P1524" t="s">
        <v>18</v>
      </c>
    </row>
    <row r="1525" spans="1:16" x14ac:dyDescent="0.3">
      <c r="A1525">
        <v>414</v>
      </c>
      <c r="B1525" t="s">
        <v>1443</v>
      </c>
      <c r="C1525" t="s">
        <v>4196</v>
      </c>
      <c r="D1525" t="str">
        <f>VLOOKUP(YouTube_University_Data_Final[[#This Row],[Title]],[1]!YouTube_University_Data_Final[[Title]:[Title_language]],2,FALSE)</f>
        <v>Bilingual</v>
      </c>
      <c r="E1525" t="s">
        <v>3724</v>
      </c>
      <c r="F1525">
        <v>27</v>
      </c>
      <c r="G1525" s="1">
        <v>41766</v>
      </c>
      <c r="H1525">
        <v>251</v>
      </c>
      <c r="I1525" t="s">
        <v>3365</v>
      </c>
      <c r="J1525">
        <v>58</v>
      </c>
      <c r="K1525">
        <v>0</v>
      </c>
      <c r="L1525">
        <v>0</v>
      </c>
      <c r="M1525">
        <v>0</v>
      </c>
      <c r="N1525" t="s">
        <v>81</v>
      </c>
      <c r="O1525">
        <v>2014</v>
      </c>
      <c r="P1525" t="s">
        <v>18</v>
      </c>
    </row>
    <row r="1526" spans="1:16" x14ac:dyDescent="0.3">
      <c r="A1526">
        <v>415</v>
      </c>
      <c r="B1526" t="s">
        <v>1443</v>
      </c>
      <c r="C1526" t="s">
        <v>4197</v>
      </c>
      <c r="D1526" t="str">
        <f>VLOOKUP(YouTube_University_Data_Final[[#This Row],[Title]],[1]!YouTube_University_Data_Final[[Title]:[Title_language]],2,FALSE)</f>
        <v>Bilingual</v>
      </c>
      <c r="E1526" t="s">
        <v>3724</v>
      </c>
      <c r="F1526">
        <v>27</v>
      </c>
      <c r="G1526" s="1">
        <v>41757</v>
      </c>
      <c r="H1526">
        <v>316</v>
      </c>
      <c r="I1526" t="s">
        <v>3365</v>
      </c>
      <c r="J1526">
        <v>155</v>
      </c>
      <c r="K1526">
        <v>0</v>
      </c>
      <c r="L1526">
        <v>0</v>
      </c>
      <c r="M1526">
        <v>0</v>
      </c>
      <c r="N1526" t="s">
        <v>87</v>
      </c>
      <c r="O1526">
        <v>2014</v>
      </c>
      <c r="P1526" t="s">
        <v>18</v>
      </c>
    </row>
    <row r="1527" spans="1:16" x14ac:dyDescent="0.3">
      <c r="A1527">
        <v>416</v>
      </c>
      <c r="B1527" t="s">
        <v>1443</v>
      </c>
      <c r="C1527" t="s">
        <v>4198</v>
      </c>
      <c r="D1527" t="str">
        <f>VLOOKUP(YouTube_University_Data_Final[[#This Row],[Title]],[1]!YouTube_University_Data_Final[[Title]:[Title_language]],2,FALSE)</f>
        <v>Chinese</v>
      </c>
      <c r="E1527" t="s">
        <v>3724</v>
      </c>
      <c r="F1527">
        <v>27</v>
      </c>
      <c r="G1527" s="1">
        <v>41757</v>
      </c>
      <c r="H1527">
        <v>231</v>
      </c>
      <c r="I1527" t="s">
        <v>3365</v>
      </c>
      <c r="J1527">
        <v>4937</v>
      </c>
      <c r="K1527">
        <v>19</v>
      </c>
      <c r="L1527">
        <v>0</v>
      </c>
      <c r="M1527">
        <v>0</v>
      </c>
      <c r="N1527" t="s">
        <v>87</v>
      </c>
      <c r="O1527">
        <v>2014</v>
      </c>
      <c r="P1527" t="s">
        <v>18</v>
      </c>
    </row>
    <row r="1528" spans="1:16" x14ac:dyDescent="0.3">
      <c r="A1528">
        <v>417</v>
      </c>
      <c r="B1528" t="s">
        <v>1443</v>
      </c>
      <c r="C1528" t="s">
        <v>4199</v>
      </c>
      <c r="D1528" t="str">
        <f>VLOOKUP(YouTube_University_Data_Final[[#This Row],[Title]],[1]!YouTube_University_Data_Final[[Title]:[Title_language]],2,FALSE)</f>
        <v>Chinese</v>
      </c>
      <c r="E1528" t="s">
        <v>3724</v>
      </c>
      <c r="F1528">
        <v>27</v>
      </c>
      <c r="G1528" s="1">
        <v>41757</v>
      </c>
      <c r="H1528">
        <v>417</v>
      </c>
      <c r="I1528" t="s">
        <v>3365</v>
      </c>
      <c r="J1528">
        <v>35974</v>
      </c>
      <c r="K1528">
        <v>398</v>
      </c>
      <c r="L1528">
        <v>0</v>
      </c>
      <c r="M1528">
        <v>0</v>
      </c>
      <c r="N1528" t="s">
        <v>87</v>
      </c>
      <c r="O1528">
        <v>2014</v>
      </c>
      <c r="P1528" t="s">
        <v>18</v>
      </c>
    </row>
    <row r="1529" spans="1:16" x14ac:dyDescent="0.3">
      <c r="A1529">
        <v>418</v>
      </c>
      <c r="B1529" t="s">
        <v>1443</v>
      </c>
      <c r="C1529" t="s">
        <v>4200</v>
      </c>
      <c r="D1529" t="str">
        <f>VLOOKUP(YouTube_University_Data_Final[[#This Row],[Title]],[1]!YouTube_University_Data_Final[[Title]:[Title_language]],2,FALSE)</f>
        <v>Chinese</v>
      </c>
      <c r="E1529" t="s">
        <v>3724</v>
      </c>
      <c r="F1529">
        <v>27</v>
      </c>
      <c r="G1529" s="1">
        <v>41757</v>
      </c>
      <c r="H1529">
        <v>381</v>
      </c>
      <c r="I1529" t="s">
        <v>3365</v>
      </c>
      <c r="J1529">
        <v>510</v>
      </c>
      <c r="K1529">
        <v>2</v>
      </c>
      <c r="L1529">
        <v>0</v>
      </c>
      <c r="M1529">
        <v>0</v>
      </c>
      <c r="N1529" t="s">
        <v>87</v>
      </c>
      <c r="O1529">
        <v>2014</v>
      </c>
      <c r="P1529" t="s">
        <v>18</v>
      </c>
    </row>
    <row r="1530" spans="1:16" x14ac:dyDescent="0.3">
      <c r="A1530">
        <v>419</v>
      </c>
      <c r="B1530" t="s">
        <v>1443</v>
      </c>
      <c r="C1530" t="s">
        <v>4201</v>
      </c>
      <c r="D1530" t="str">
        <f>VLOOKUP(YouTube_University_Data_Final[[#This Row],[Title]],[1]!YouTube_University_Data_Final[[Title]:[Title_language]],2,FALSE)</f>
        <v>Bilingual</v>
      </c>
      <c r="E1530" t="s">
        <v>3724</v>
      </c>
      <c r="F1530">
        <v>27</v>
      </c>
      <c r="G1530" s="1">
        <v>41745</v>
      </c>
      <c r="H1530">
        <v>245</v>
      </c>
      <c r="I1530" t="s">
        <v>4202</v>
      </c>
      <c r="J1530">
        <v>164</v>
      </c>
      <c r="K1530">
        <v>0</v>
      </c>
      <c r="L1530">
        <v>0</v>
      </c>
      <c r="M1530">
        <v>0</v>
      </c>
      <c r="N1530" t="s">
        <v>87</v>
      </c>
      <c r="O1530">
        <v>2014</v>
      </c>
      <c r="P1530" t="s">
        <v>18</v>
      </c>
    </row>
    <row r="1531" spans="1:16" x14ac:dyDescent="0.3">
      <c r="A1531">
        <v>420</v>
      </c>
      <c r="B1531" t="s">
        <v>1443</v>
      </c>
      <c r="C1531" t="s">
        <v>4203</v>
      </c>
      <c r="D1531" t="str">
        <f>VLOOKUP(YouTube_University_Data_Final[[#This Row],[Title]],[1]!YouTube_University_Data_Final[[Title]:[Title_language]],2,FALSE)</f>
        <v>Chinese</v>
      </c>
      <c r="E1531" t="s">
        <v>4204</v>
      </c>
      <c r="F1531">
        <v>27</v>
      </c>
      <c r="G1531" s="1">
        <v>41740</v>
      </c>
      <c r="H1531">
        <v>491</v>
      </c>
      <c r="I1531" t="s">
        <v>3365</v>
      </c>
      <c r="J1531">
        <v>3043</v>
      </c>
      <c r="K1531">
        <v>26</v>
      </c>
      <c r="L1531">
        <v>0</v>
      </c>
      <c r="M1531">
        <v>0</v>
      </c>
      <c r="N1531" t="s">
        <v>87</v>
      </c>
      <c r="O1531">
        <v>2014</v>
      </c>
      <c r="P1531" t="s">
        <v>18</v>
      </c>
    </row>
    <row r="1532" spans="1:16" x14ac:dyDescent="0.3">
      <c r="A1532">
        <v>421</v>
      </c>
      <c r="B1532" t="s">
        <v>1443</v>
      </c>
      <c r="C1532" t="s">
        <v>4205</v>
      </c>
      <c r="D1532" t="str">
        <f>VLOOKUP(YouTube_University_Data_Final[[#This Row],[Title]],[1]!YouTube_University_Data_Final[[Title]:[Title_language]],2,FALSE)</f>
        <v>Bilingual</v>
      </c>
      <c r="E1532" t="s">
        <v>3724</v>
      </c>
      <c r="F1532">
        <v>27</v>
      </c>
      <c r="G1532" s="1">
        <v>41730</v>
      </c>
      <c r="H1532">
        <v>168</v>
      </c>
      <c r="I1532" t="s">
        <v>4206</v>
      </c>
      <c r="J1532">
        <v>244</v>
      </c>
      <c r="K1532">
        <v>4</v>
      </c>
      <c r="L1532">
        <v>0</v>
      </c>
      <c r="M1532">
        <v>0</v>
      </c>
      <c r="N1532" t="s">
        <v>87</v>
      </c>
      <c r="O1532">
        <v>2014</v>
      </c>
      <c r="P1532" t="s">
        <v>18</v>
      </c>
    </row>
    <row r="1533" spans="1:16" x14ac:dyDescent="0.3">
      <c r="A1533">
        <v>422</v>
      </c>
      <c r="B1533" t="s">
        <v>1443</v>
      </c>
      <c r="C1533" t="s">
        <v>4207</v>
      </c>
      <c r="D1533" t="str">
        <f>VLOOKUP(YouTube_University_Data_Final[[#This Row],[Title]],[1]!YouTube_University_Data_Final[[Title]:[Title_language]],2,FALSE)</f>
        <v>Bilingual</v>
      </c>
      <c r="E1533" t="s">
        <v>3724</v>
      </c>
      <c r="F1533">
        <v>27</v>
      </c>
      <c r="G1533" s="1">
        <v>41725</v>
      </c>
      <c r="H1533">
        <v>249</v>
      </c>
      <c r="I1533" t="s">
        <v>4208</v>
      </c>
      <c r="J1533">
        <v>7917</v>
      </c>
      <c r="K1533">
        <v>25</v>
      </c>
      <c r="L1533">
        <v>0</v>
      </c>
      <c r="M1533">
        <v>0</v>
      </c>
      <c r="N1533" t="s">
        <v>90</v>
      </c>
      <c r="O1533">
        <v>2014</v>
      </c>
      <c r="P1533" t="s">
        <v>18</v>
      </c>
    </row>
    <row r="1534" spans="1:16" x14ac:dyDescent="0.3">
      <c r="A1534">
        <v>423</v>
      </c>
      <c r="B1534" t="s">
        <v>1443</v>
      </c>
      <c r="C1534" t="s">
        <v>4209</v>
      </c>
      <c r="D1534" t="str">
        <f>VLOOKUP(YouTube_University_Data_Final[[#This Row],[Title]],[1]!YouTube_University_Data_Final[[Title]:[Title_language]],2,FALSE)</f>
        <v>Chinese</v>
      </c>
      <c r="E1534" t="s">
        <v>4210</v>
      </c>
      <c r="F1534">
        <v>27</v>
      </c>
      <c r="G1534" s="1">
        <v>41725</v>
      </c>
      <c r="H1534">
        <v>593</v>
      </c>
      <c r="I1534" t="s">
        <v>3365</v>
      </c>
      <c r="J1534">
        <v>3811</v>
      </c>
      <c r="K1534">
        <v>52</v>
      </c>
      <c r="L1534">
        <v>0</v>
      </c>
      <c r="M1534">
        <v>0</v>
      </c>
      <c r="N1534" t="s">
        <v>90</v>
      </c>
      <c r="O1534">
        <v>2014</v>
      </c>
      <c r="P1534" t="s">
        <v>18</v>
      </c>
    </row>
    <row r="1535" spans="1:16" x14ac:dyDescent="0.3">
      <c r="A1535">
        <v>424</v>
      </c>
      <c r="B1535" t="s">
        <v>1443</v>
      </c>
      <c r="C1535" t="s">
        <v>4211</v>
      </c>
      <c r="D1535" t="str">
        <f>VLOOKUP(YouTube_University_Data_Final[[#This Row],[Title]],[1]!YouTube_University_Data_Final[[Title]:[Title_language]],2,FALSE)</f>
        <v>Bilingual</v>
      </c>
      <c r="E1535" t="s">
        <v>4212</v>
      </c>
      <c r="F1535">
        <v>27</v>
      </c>
      <c r="G1535" s="1">
        <v>41725</v>
      </c>
      <c r="H1535">
        <v>554</v>
      </c>
      <c r="I1535" t="s">
        <v>4213</v>
      </c>
      <c r="J1535">
        <v>12648</v>
      </c>
      <c r="K1535">
        <v>65</v>
      </c>
      <c r="L1535">
        <v>0</v>
      </c>
      <c r="M1535">
        <v>0</v>
      </c>
      <c r="N1535" t="s">
        <v>90</v>
      </c>
      <c r="O1535">
        <v>2014</v>
      </c>
      <c r="P1535" t="s">
        <v>18</v>
      </c>
    </row>
    <row r="1536" spans="1:16" x14ac:dyDescent="0.3">
      <c r="A1536">
        <v>425</v>
      </c>
      <c r="B1536" t="s">
        <v>1443</v>
      </c>
      <c r="C1536" t="s">
        <v>4214</v>
      </c>
      <c r="D1536" t="str">
        <f>VLOOKUP(YouTube_University_Data_Final[[#This Row],[Title]],[1]!YouTube_University_Data_Final[[Title]:[Title_language]],2,FALSE)</f>
        <v>Bilingual</v>
      </c>
      <c r="E1536" t="s">
        <v>3724</v>
      </c>
      <c r="F1536">
        <v>27</v>
      </c>
      <c r="G1536" s="1">
        <v>41705</v>
      </c>
      <c r="H1536">
        <v>100</v>
      </c>
      <c r="I1536" t="s">
        <v>3365</v>
      </c>
      <c r="J1536">
        <v>245</v>
      </c>
      <c r="K1536">
        <v>0</v>
      </c>
      <c r="L1536">
        <v>0</v>
      </c>
      <c r="M1536">
        <v>0</v>
      </c>
      <c r="N1536" t="s">
        <v>90</v>
      </c>
      <c r="O1536">
        <v>2014</v>
      </c>
      <c r="P1536" t="s">
        <v>18</v>
      </c>
    </row>
    <row r="1537" spans="1:16" x14ac:dyDescent="0.3">
      <c r="A1537">
        <v>426</v>
      </c>
      <c r="B1537" t="s">
        <v>1443</v>
      </c>
      <c r="C1537" t="s">
        <v>4215</v>
      </c>
      <c r="D1537" t="str">
        <f>VLOOKUP(YouTube_University_Data_Final[[#This Row],[Title]],[1]!YouTube_University_Data_Final[[Title]:[Title_language]],2,FALSE)</f>
        <v>Chinese</v>
      </c>
      <c r="E1537" t="s">
        <v>4216</v>
      </c>
      <c r="F1537">
        <v>27</v>
      </c>
      <c r="G1537" s="1">
        <v>41696</v>
      </c>
      <c r="H1537">
        <v>490</v>
      </c>
      <c r="I1537" t="s">
        <v>3365</v>
      </c>
      <c r="J1537">
        <v>22001</v>
      </c>
      <c r="K1537">
        <v>290</v>
      </c>
      <c r="L1537">
        <v>0</v>
      </c>
      <c r="M1537">
        <v>0</v>
      </c>
      <c r="N1537" t="s">
        <v>162</v>
      </c>
      <c r="O1537">
        <v>2014</v>
      </c>
      <c r="P1537" t="s">
        <v>18</v>
      </c>
    </row>
    <row r="1538" spans="1:16" x14ac:dyDescent="0.3">
      <c r="A1538">
        <v>427</v>
      </c>
      <c r="B1538" t="s">
        <v>1443</v>
      </c>
      <c r="C1538" t="s">
        <v>4217</v>
      </c>
      <c r="D1538" t="str">
        <f>VLOOKUP(YouTube_University_Data_Final[[#This Row],[Title]],[1]!YouTube_University_Data_Final[[Title]:[Title_language]],2,FALSE)</f>
        <v>Bilingual</v>
      </c>
      <c r="E1538" t="s">
        <v>4218</v>
      </c>
      <c r="F1538">
        <v>27</v>
      </c>
      <c r="G1538" s="1">
        <v>41683</v>
      </c>
      <c r="H1538">
        <v>336</v>
      </c>
      <c r="I1538" t="s">
        <v>3365</v>
      </c>
      <c r="J1538">
        <v>136</v>
      </c>
      <c r="K1538">
        <v>0</v>
      </c>
      <c r="L1538">
        <v>0</v>
      </c>
      <c r="M1538">
        <v>0</v>
      </c>
      <c r="N1538" t="s">
        <v>162</v>
      </c>
      <c r="O1538">
        <v>2014</v>
      </c>
      <c r="P1538" t="s">
        <v>18</v>
      </c>
    </row>
    <row r="1539" spans="1:16" x14ac:dyDescent="0.3">
      <c r="A1539">
        <v>428</v>
      </c>
      <c r="B1539" t="s">
        <v>1443</v>
      </c>
      <c r="C1539" t="s">
        <v>1490</v>
      </c>
      <c r="D1539" t="str">
        <f>VLOOKUP(YouTube_University_Data_Final[[#This Row],[Title]],[1]!YouTube_University_Data_Final[[Title]:[Title_language]],2,FALSE)</f>
        <v>English</v>
      </c>
      <c r="E1539" t="s">
        <v>4219</v>
      </c>
      <c r="F1539">
        <v>27</v>
      </c>
      <c r="G1539" s="1">
        <v>41681</v>
      </c>
      <c r="H1539">
        <v>294</v>
      </c>
      <c r="I1539" t="s">
        <v>3365</v>
      </c>
      <c r="J1539">
        <v>161</v>
      </c>
      <c r="K1539">
        <v>1</v>
      </c>
      <c r="L1539">
        <v>0</v>
      </c>
      <c r="M1539">
        <v>0</v>
      </c>
      <c r="N1539" t="s">
        <v>162</v>
      </c>
      <c r="O1539">
        <v>2014</v>
      </c>
      <c r="P1539" t="s">
        <v>18</v>
      </c>
    </row>
    <row r="1540" spans="1:16" x14ac:dyDescent="0.3">
      <c r="A1540">
        <v>429</v>
      </c>
      <c r="B1540" t="s">
        <v>1443</v>
      </c>
      <c r="C1540" t="s">
        <v>4220</v>
      </c>
      <c r="D1540" t="str">
        <f>VLOOKUP(YouTube_University_Data_Final[[#This Row],[Title]],[1]!YouTube_University_Data_Final[[Title]:[Title_language]],2,FALSE)</f>
        <v>Chinese</v>
      </c>
      <c r="E1540" t="s">
        <v>4221</v>
      </c>
      <c r="F1540">
        <v>27</v>
      </c>
      <c r="G1540" s="1">
        <v>41662</v>
      </c>
      <c r="H1540">
        <v>333</v>
      </c>
      <c r="I1540" t="s">
        <v>3365</v>
      </c>
      <c r="J1540">
        <v>530</v>
      </c>
      <c r="K1540">
        <v>3</v>
      </c>
      <c r="L1540">
        <v>0</v>
      </c>
      <c r="M1540">
        <v>0</v>
      </c>
      <c r="N1540" t="s">
        <v>93</v>
      </c>
      <c r="O1540">
        <v>2014</v>
      </c>
      <c r="P1540" t="s">
        <v>18</v>
      </c>
    </row>
    <row r="1541" spans="1:16" x14ac:dyDescent="0.3">
      <c r="A1541">
        <v>430</v>
      </c>
      <c r="B1541" t="s">
        <v>1443</v>
      </c>
      <c r="C1541" t="s">
        <v>4222</v>
      </c>
      <c r="D1541" t="str">
        <f>VLOOKUP(YouTube_University_Data_Final[[#This Row],[Title]],[1]!YouTube_University_Data_Final[[Title]:[Title_language]],2,FALSE)</f>
        <v>Chinese</v>
      </c>
      <c r="E1541" t="s">
        <v>4223</v>
      </c>
      <c r="F1541">
        <v>27</v>
      </c>
      <c r="G1541" s="1">
        <v>41655</v>
      </c>
      <c r="H1541">
        <v>381</v>
      </c>
      <c r="I1541" t="s">
        <v>3365</v>
      </c>
      <c r="J1541">
        <v>1550</v>
      </c>
      <c r="K1541">
        <v>11</v>
      </c>
      <c r="L1541">
        <v>0</v>
      </c>
      <c r="M1541">
        <v>0</v>
      </c>
      <c r="N1541" t="s">
        <v>93</v>
      </c>
      <c r="O1541">
        <v>2014</v>
      </c>
      <c r="P1541" t="s">
        <v>18</v>
      </c>
    </row>
    <row r="1542" spans="1:16" x14ac:dyDescent="0.3">
      <c r="A1542">
        <v>431</v>
      </c>
      <c r="B1542" t="s">
        <v>1443</v>
      </c>
      <c r="C1542" t="s">
        <v>4224</v>
      </c>
      <c r="D1542" t="str">
        <f>VLOOKUP(YouTube_University_Data_Final[[#This Row],[Title]],[1]!YouTube_University_Data_Final[[Title]:[Title_language]],2,FALSE)</f>
        <v>Chinese</v>
      </c>
      <c r="E1542" t="s">
        <v>4225</v>
      </c>
      <c r="F1542">
        <v>27</v>
      </c>
      <c r="G1542" s="1">
        <v>41649</v>
      </c>
      <c r="H1542">
        <v>485</v>
      </c>
      <c r="I1542" t="s">
        <v>4226</v>
      </c>
      <c r="J1542">
        <v>4049</v>
      </c>
      <c r="K1542">
        <v>29</v>
      </c>
      <c r="L1542">
        <v>0</v>
      </c>
      <c r="M1542">
        <v>0</v>
      </c>
      <c r="N1542" t="s">
        <v>93</v>
      </c>
      <c r="O1542">
        <v>2014</v>
      </c>
      <c r="P1542" t="s">
        <v>18</v>
      </c>
    </row>
    <row r="1543" spans="1:16" x14ac:dyDescent="0.3">
      <c r="A1543">
        <v>432</v>
      </c>
      <c r="B1543" t="s">
        <v>1443</v>
      </c>
      <c r="C1543" t="s">
        <v>4227</v>
      </c>
      <c r="D1543" t="str">
        <f>VLOOKUP(YouTube_University_Data_Final[[#This Row],[Title]],[1]!YouTube_University_Data_Final[[Title]:[Title_language]],2,FALSE)</f>
        <v>Chinese</v>
      </c>
      <c r="E1543" t="s">
        <v>4228</v>
      </c>
      <c r="F1543">
        <v>27</v>
      </c>
      <c r="G1543" s="1">
        <v>41646</v>
      </c>
      <c r="H1543">
        <v>703</v>
      </c>
      <c r="I1543" t="s">
        <v>3365</v>
      </c>
      <c r="J1543">
        <v>175</v>
      </c>
      <c r="K1543">
        <v>1</v>
      </c>
      <c r="L1543">
        <v>0</v>
      </c>
      <c r="M1543">
        <v>0</v>
      </c>
      <c r="N1543" t="s">
        <v>93</v>
      </c>
      <c r="O1543">
        <v>2014</v>
      </c>
      <c r="P1543" t="s">
        <v>18</v>
      </c>
    </row>
    <row r="1544" spans="1:16" x14ac:dyDescent="0.3">
      <c r="A1544">
        <v>433</v>
      </c>
      <c r="B1544" t="s">
        <v>1443</v>
      </c>
      <c r="C1544" t="s">
        <v>4229</v>
      </c>
      <c r="D1544" t="str">
        <f>VLOOKUP(YouTube_University_Data_Final[[#This Row],[Title]],[1]!YouTube_University_Data_Final[[Title]:[Title_language]],2,FALSE)</f>
        <v>Chinese</v>
      </c>
      <c r="E1544" t="s">
        <v>4230</v>
      </c>
      <c r="F1544">
        <v>27</v>
      </c>
      <c r="G1544" s="1">
        <v>41646</v>
      </c>
      <c r="H1544">
        <v>683</v>
      </c>
      <c r="I1544" t="s">
        <v>3365</v>
      </c>
      <c r="J1544">
        <v>646</v>
      </c>
      <c r="K1544">
        <v>2</v>
      </c>
      <c r="L1544">
        <v>0</v>
      </c>
      <c r="M1544">
        <v>0</v>
      </c>
      <c r="N1544" t="s">
        <v>93</v>
      </c>
      <c r="O1544">
        <v>2014</v>
      </c>
      <c r="P1544" t="s">
        <v>18</v>
      </c>
    </row>
    <row r="1545" spans="1:16" x14ac:dyDescent="0.3">
      <c r="A1545">
        <v>434</v>
      </c>
      <c r="B1545" t="s">
        <v>1443</v>
      </c>
      <c r="C1545" t="s">
        <v>1491</v>
      </c>
      <c r="D1545" t="str">
        <f>VLOOKUP(YouTube_University_Data_Final[[#This Row],[Title]],[1]!YouTube_University_Data_Final[[Title]:[Title_language]],2,FALSE)</f>
        <v>English</v>
      </c>
      <c r="E1545" t="s">
        <v>1492</v>
      </c>
      <c r="F1545">
        <v>27</v>
      </c>
      <c r="G1545" s="1">
        <v>41638</v>
      </c>
      <c r="H1545">
        <v>221</v>
      </c>
      <c r="I1545" t="s">
        <v>3365</v>
      </c>
      <c r="J1545">
        <v>48</v>
      </c>
      <c r="K1545">
        <v>1</v>
      </c>
      <c r="L1545">
        <v>0</v>
      </c>
      <c r="M1545">
        <v>0</v>
      </c>
      <c r="N1545" t="s">
        <v>98</v>
      </c>
      <c r="O1545">
        <v>2013</v>
      </c>
      <c r="P1545" t="s">
        <v>18</v>
      </c>
    </row>
    <row r="1546" spans="1:16" x14ac:dyDescent="0.3">
      <c r="A1546">
        <v>435</v>
      </c>
      <c r="B1546" t="s">
        <v>1443</v>
      </c>
      <c r="C1546" t="s">
        <v>4231</v>
      </c>
      <c r="D1546" t="str">
        <f>VLOOKUP(YouTube_University_Data_Final[[#This Row],[Title]],[1]!YouTube_University_Data_Final[[Title]:[Title_language]],2,FALSE)</f>
        <v>Chinese</v>
      </c>
      <c r="E1546" t="s">
        <v>4232</v>
      </c>
      <c r="F1546">
        <v>27</v>
      </c>
      <c r="G1546" s="1">
        <v>41635</v>
      </c>
      <c r="H1546">
        <v>532</v>
      </c>
      <c r="I1546" t="s">
        <v>3365</v>
      </c>
      <c r="J1546">
        <v>501</v>
      </c>
      <c r="K1546">
        <v>1</v>
      </c>
      <c r="L1546">
        <v>0</v>
      </c>
      <c r="M1546">
        <v>0</v>
      </c>
      <c r="N1546" t="s">
        <v>98</v>
      </c>
      <c r="O1546">
        <v>2013</v>
      </c>
      <c r="P1546" t="s">
        <v>18</v>
      </c>
    </row>
    <row r="1547" spans="1:16" x14ac:dyDescent="0.3">
      <c r="A1547">
        <v>436</v>
      </c>
      <c r="B1547" t="s">
        <v>1443</v>
      </c>
      <c r="C1547" t="s">
        <v>4233</v>
      </c>
      <c r="D1547" t="str">
        <f>VLOOKUP(YouTube_University_Data_Final[[#This Row],[Title]],[1]!YouTube_University_Data_Final[[Title]:[Title_language]],2,FALSE)</f>
        <v>Chinese</v>
      </c>
      <c r="E1547" t="s">
        <v>4234</v>
      </c>
      <c r="F1547">
        <v>27</v>
      </c>
      <c r="G1547" s="1">
        <v>41628</v>
      </c>
      <c r="H1547">
        <v>476</v>
      </c>
      <c r="I1547" t="s">
        <v>3365</v>
      </c>
      <c r="J1547">
        <v>17945</v>
      </c>
      <c r="K1547">
        <v>169</v>
      </c>
      <c r="L1547">
        <v>0</v>
      </c>
      <c r="M1547">
        <v>0</v>
      </c>
      <c r="N1547" t="s">
        <v>98</v>
      </c>
      <c r="O1547">
        <v>2013</v>
      </c>
      <c r="P1547" t="s">
        <v>18</v>
      </c>
    </row>
    <row r="1548" spans="1:16" x14ac:dyDescent="0.3">
      <c r="A1548">
        <v>437</v>
      </c>
      <c r="B1548" t="s">
        <v>1443</v>
      </c>
      <c r="C1548" t="s">
        <v>4235</v>
      </c>
      <c r="D1548" t="str">
        <f>VLOOKUP(YouTube_University_Data_Final[[#This Row],[Title]],[1]!YouTube_University_Data_Final[[Title]:[Title_language]],2,FALSE)</f>
        <v>Chinese</v>
      </c>
      <c r="E1548" t="s">
        <v>4236</v>
      </c>
      <c r="F1548">
        <v>27</v>
      </c>
      <c r="G1548" s="1">
        <v>41626</v>
      </c>
      <c r="H1548">
        <v>464</v>
      </c>
      <c r="I1548" t="s">
        <v>3365</v>
      </c>
      <c r="J1548">
        <v>348</v>
      </c>
      <c r="K1548">
        <v>1</v>
      </c>
      <c r="L1548">
        <v>0</v>
      </c>
      <c r="M1548">
        <v>0</v>
      </c>
      <c r="N1548" t="s">
        <v>98</v>
      </c>
      <c r="O1548">
        <v>2013</v>
      </c>
      <c r="P1548" t="s">
        <v>18</v>
      </c>
    </row>
    <row r="1549" spans="1:16" x14ac:dyDescent="0.3">
      <c r="A1549">
        <v>438</v>
      </c>
      <c r="B1549" t="s">
        <v>1443</v>
      </c>
      <c r="C1549" t="s">
        <v>4237</v>
      </c>
      <c r="D1549" t="str">
        <f>VLOOKUP(YouTube_University_Data_Final[[#This Row],[Title]],[1]!YouTube_University_Data_Final[[Title]:[Title_language]],2,FALSE)</f>
        <v>Chinese</v>
      </c>
      <c r="E1549" t="s">
        <v>4238</v>
      </c>
      <c r="F1549">
        <v>27</v>
      </c>
      <c r="G1549" s="1">
        <v>41626</v>
      </c>
      <c r="H1549">
        <v>555</v>
      </c>
      <c r="I1549" t="s">
        <v>3365</v>
      </c>
      <c r="J1549">
        <v>23460</v>
      </c>
      <c r="K1549">
        <v>149</v>
      </c>
      <c r="L1549">
        <v>0</v>
      </c>
      <c r="M1549">
        <v>0</v>
      </c>
      <c r="N1549" t="s">
        <v>98</v>
      </c>
      <c r="O1549">
        <v>2013</v>
      </c>
      <c r="P1549" t="s">
        <v>18</v>
      </c>
    </row>
    <row r="1550" spans="1:16" x14ac:dyDescent="0.3">
      <c r="A1550">
        <v>439</v>
      </c>
      <c r="B1550" t="s">
        <v>1443</v>
      </c>
      <c r="C1550" t="s">
        <v>4239</v>
      </c>
      <c r="D1550" t="str">
        <f>VLOOKUP(YouTube_University_Data_Final[[#This Row],[Title]],[1]!YouTube_University_Data_Final[[Title]:[Title_language]],2,FALSE)</f>
        <v>Chinese</v>
      </c>
      <c r="E1550" t="s">
        <v>1493</v>
      </c>
      <c r="F1550">
        <v>27</v>
      </c>
      <c r="G1550" s="1">
        <v>41620</v>
      </c>
      <c r="H1550">
        <v>514</v>
      </c>
      <c r="I1550" t="s">
        <v>3365</v>
      </c>
      <c r="J1550">
        <v>1166</v>
      </c>
      <c r="K1550">
        <v>5</v>
      </c>
      <c r="L1550">
        <v>0</v>
      </c>
      <c r="M1550">
        <v>0</v>
      </c>
      <c r="N1550" t="s">
        <v>98</v>
      </c>
      <c r="O1550">
        <v>2013</v>
      </c>
      <c r="P1550" t="s">
        <v>18</v>
      </c>
    </row>
    <row r="1551" spans="1:16" x14ac:dyDescent="0.3">
      <c r="A1551">
        <v>440</v>
      </c>
      <c r="B1551" t="s">
        <v>1443</v>
      </c>
      <c r="C1551" t="s">
        <v>1494</v>
      </c>
      <c r="D1551" t="str">
        <f>VLOOKUP(YouTube_University_Data_Final[[#This Row],[Title]],[1]!YouTube_University_Data_Final[[Title]:[Title_language]],2,FALSE)</f>
        <v>English</v>
      </c>
      <c r="E1551" t="s">
        <v>1495</v>
      </c>
      <c r="F1551">
        <v>27</v>
      </c>
      <c r="G1551" s="1">
        <v>41620</v>
      </c>
      <c r="H1551">
        <v>430</v>
      </c>
      <c r="I1551" t="s">
        <v>3365</v>
      </c>
      <c r="J1551">
        <v>31</v>
      </c>
      <c r="K1551">
        <v>1</v>
      </c>
      <c r="L1551">
        <v>0</v>
      </c>
      <c r="M1551">
        <v>0</v>
      </c>
      <c r="N1551" t="s">
        <v>98</v>
      </c>
      <c r="O1551">
        <v>2013</v>
      </c>
      <c r="P1551" t="s">
        <v>18</v>
      </c>
    </row>
    <row r="1552" spans="1:16" x14ac:dyDescent="0.3">
      <c r="A1552">
        <v>441</v>
      </c>
      <c r="B1552" t="s">
        <v>1443</v>
      </c>
      <c r="C1552" t="s">
        <v>4240</v>
      </c>
      <c r="D1552" t="str">
        <f>VLOOKUP(YouTube_University_Data_Final[[#This Row],[Title]],[1]!YouTube_University_Data_Final[[Title]:[Title_language]],2,FALSE)</f>
        <v>Chinese</v>
      </c>
      <c r="E1552" t="s">
        <v>4241</v>
      </c>
      <c r="F1552">
        <v>27</v>
      </c>
      <c r="G1552" s="1">
        <v>41606</v>
      </c>
      <c r="H1552">
        <v>600</v>
      </c>
      <c r="I1552" t="s">
        <v>3365</v>
      </c>
      <c r="J1552">
        <v>4520</v>
      </c>
      <c r="K1552">
        <v>40</v>
      </c>
      <c r="L1552">
        <v>0</v>
      </c>
      <c r="M1552">
        <v>0</v>
      </c>
      <c r="N1552" t="s">
        <v>101</v>
      </c>
      <c r="O1552">
        <v>2013</v>
      </c>
      <c r="P1552" t="s">
        <v>18</v>
      </c>
    </row>
    <row r="1553" spans="1:16" x14ac:dyDescent="0.3">
      <c r="A1553">
        <v>442</v>
      </c>
      <c r="B1553" t="s">
        <v>1443</v>
      </c>
      <c r="C1553" t="s">
        <v>1496</v>
      </c>
      <c r="D1553" t="str">
        <f>VLOOKUP(YouTube_University_Data_Final[[#This Row],[Title]],[1]!YouTube_University_Data_Final[[Title]:[Title_language]],2,FALSE)</f>
        <v>English</v>
      </c>
      <c r="E1553" t="s">
        <v>1497</v>
      </c>
      <c r="F1553">
        <v>27</v>
      </c>
      <c r="G1553" s="1">
        <v>41604</v>
      </c>
      <c r="H1553">
        <v>316</v>
      </c>
      <c r="I1553" t="s">
        <v>3365</v>
      </c>
      <c r="J1553">
        <v>425</v>
      </c>
      <c r="K1553">
        <v>1</v>
      </c>
      <c r="L1553">
        <v>0</v>
      </c>
      <c r="M1553">
        <v>0</v>
      </c>
      <c r="N1553" t="s">
        <v>101</v>
      </c>
      <c r="O1553">
        <v>2013</v>
      </c>
      <c r="P1553" t="s">
        <v>18</v>
      </c>
    </row>
    <row r="1554" spans="1:16" x14ac:dyDescent="0.3">
      <c r="A1554">
        <v>443</v>
      </c>
      <c r="B1554" t="s">
        <v>1443</v>
      </c>
      <c r="C1554" t="s">
        <v>4242</v>
      </c>
      <c r="D1554" t="str">
        <f>VLOOKUP(YouTube_University_Data_Final[[#This Row],[Title]],[1]!YouTube_University_Data_Final[[Title]:[Title_language]],2,FALSE)</f>
        <v>Chinese</v>
      </c>
      <c r="E1554" t="s">
        <v>2944</v>
      </c>
      <c r="F1554">
        <v>27</v>
      </c>
      <c r="G1554" s="1">
        <v>41603</v>
      </c>
      <c r="H1554">
        <v>495</v>
      </c>
      <c r="I1554" t="s">
        <v>3365</v>
      </c>
      <c r="J1554">
        <v>7147</v>
      </c>
      <c r="K1554">
        <v>68</v>
      </c>
      <c r="L1554">
        <v>0</v>
      </c>
      <c r="M1554">
        <v>0</v>
      </c>
      <c r="N1554" t="s">
        <v>101</v>
      </c>
      <c r="O1554">
        <v>2013</v>
      </c>
      <c r="P1554" t="s">
        <v>18</v>
      </c>
    </row>
    <row r="1555" spans="1:16" x14ac:dyDescent="0.3">
      <c r="A1555">
        <v>444</v>
      </c>
      <c r="B1555" t="s">
        <v>1443</v>
      </c>
      <c r="C1555" t="s">
        <v>4243</v>
      </c>
      <c r="D1555" t="str">
        <f>VLOOKUP(YouTube_University_Data_Final[[#This Row],[Title]],[1]!YouTube_University_Data_Final[[Title]:[Title_language]],2,FALSE)</f>
        <v>Chinese</v>
      </c>
      <c r="E1555" t="s">
        <v>4244</v>
      </c>
      <c r="F1555">
        <v>27</v>
      </c>
      <c r="G1555" s="1">
        <v>41592</v>
      </c>
      <c r="H1555">
        <v>422</v>
      </c>
      <c r="I1555" t="s">
        <v>3365</v>
      </c>
      <c r="J1555">
        <v>240</v>
      </c>
      <c r="K1555">
        <v>0</v>
      </c>
      <c r="L1555">
        <v>0</v>
      </c>
      <c r="M1555">
        <v>0</v>
      </c>
      <c r="N1555" t="s">
        <v>101</v>
      </c>
      <c r="O1555">
        <v>2013</v>
      </c>
      <c r="P1555" t="s">
        <v>18</v>
      </c>
    </row>
    <row r="1556" spans="1:16" x14ac:dyDescent="0.3">
      <c r="A1556">
        <v>445</v>
      </c>
      <c r="B1556" t="s">
        <v>1443</v>
      </c>
      <c r="C1556" t="s">
        <v>4245</v>
      </c>
      <c r="D1556" t="str">
        <f>VLOOKUP(YouTube_University_Data_Final[[#This Row],[Title]],[1]!YouTube_University_Data_Final[[Title]:[Title_language]],2,FALSE)</f>
        <v>Bilingual</v>
      </c>
      <c r="E1556" t="s">
        <v>4246</v>
      </c>
      <c r="F1556">
        <v>27</v>
      </c>
      <c r="G1556" s="1">
        <v>41590</v>
      </c>
      <c r="H1556">
        <v>467</v>
      </c>
      <c r="I1556" t="s">
        <v>3365</v>
      </c>
      <c r="J1556">
        <v>559</v>
      </c>
      <c r="K1556">
        <v>1</v>
      </c>
      <c r="L1556">
        <v>0</v>
      </c>
      <c r="M1556">
        <v>0</v>
      </c>
      <c r="N1556" t="s">
        <v>101</v>
      </c>
      <c r="O1556">
        <v>2013</v>
      </c>
      <c r="P1556" t="s">
        <v>18</v>
      </c>
    </row>
    <row r="1557" spans="1:16" x14ac:dyDescent="0.3">
      <c r="A1557">
        <v>446</v>
      </c>
      <c r="B1557" t="s">
        <v>1443</v>
      </c>
      <c r="C1557" t="s">
        <v>4247</v>
      </c>
      <c r="D1557" t="str">
        <f>VLOOKUP(YouTube_University_Data_Final[[#This Row],[Title]],[1]!YouTube_University_Data_Final[[Title]:[Title_language]],2,FALSE)</f>
        <v>Chinese</v>
      </c>
      <c r="E1557" t="s">
        <v>4248</v>
      </c>
      <c r="F1557">
        <v>27</v>
      </c>
      <c r="G1557" s="1">
        <v>41590</v>
      </c>
      <c r="H1557">
        <v>434</v>
      </c>
      <c r="I1557" t="s">
        <v>3365</v>
      </c>
      <c r="J1557">
        <v>177</v>
      </c>
      <c r="K1557">
        <v>0</v>
      </c>
      <c r="L1557">
        <v>0</v>
      </c>
      <c r="M1557">
        <v>0</v>
      </c>
      <c r="N1557" t="s">
        <v>101</v>
      </c>
      <c r="O1557">
        <v>2013</v>
      </c>
      <c r="P1557" t="s">
        <v>18</v>
      </c>
    </row>
    <row r="1558" spans="1:16" x14ac:dyDescent="0.3">
      <c r="A1558">
        <v>447</v>
      </c>
      <c r="B1558" t="s">
        <v>1443</v>
      </c>
      <c r="C1558" t="s">
        <v>4249</v>
      </c>
      <c r="D1558" t="str">
        <f>VLOOKUP(YouTube_University_Data_Final[[#This Row],[Title]],[1]!YouTube_University_Data_Final[[Title]:[Title_language]],2,FALSE)</f>
        <v>Chinese</v>
      </c>
      <c r="E1558" t="s">
        <v>4250</v>
      </c>
      <c r="F1558">
        <v>27</v>
      </c>
      <c r="G1558" s="1">
        <v>41587</v>
      </c>
      <c r="H1558">
        <v>501</v>
      </c>
      <c r="I1558" t="s">
        <v>3365</v>
      </c>
      <c r="J1558">
        <v>110</v>
      </c>
      <c r="K1558">
        <v>0</v>
      </c>
      <c r="L1558">
        <v>0</v>
      </c>
      <c r="M1558">
        <v>0</v>
      </c>
      <c r="N1558" t="s">
        <v>101</v>
      </c>
      <c r="O1558">
        <v>2013</v>
      </c>
      <c r="P1558" t="s">
        <v>18</v>
      </c>
    </row>
    <row r="1559" spans="1:16" x14ac:dyDescent="0.3">
      <c r="A1559">
        <v>448</v>
      </c>
      <c r="B1559" t="s">
        <v>1443</v>
      </c>
      <c r="C1559" t="s">
        <v>4251</v>
      </c>
      <c r="D1559" t="str">
        <f>VLOOKUP(YouTube_University_Data_Final[[#This Row],[Title]],[1]!YouTube_University_Data_Final[[Title]:[Title_language]],2,FALSE)</f>
        <v>Chinese</v>
      </c>
      <c r="E1559" t="s">
        <v>4252</v>
      </c>
      <c r="F1559">
        <v>27</v>
      </c>
      <c r="G1559" s="1">
        <v>41584</v>
      </c>
      <c r="H1559">
        <v>135</v>
      </c>
      <c r="I1559" t="s">
        <v>3365</v>
      </c>
      <c r="J1559">
        <v>8786</v>
      </c>
      <c r="K1559">
        <v>70</v>
      </c>
      <c r="L1559">
        <v>0</v>
      </c>
      <c r="M1559">
        <v>0</v>
      </c>
      <c r="N1559" t="s">
        <v>101</v>
      </c>
      <c r="O1559">
        <v>2013</v>
      </c>
      <c r="P1559" t="s">
        <v>18</v>
      </c>
    </row>
    <row r="1560" spans="1:16" x14ac:dyDescent="0.3">
      <c r="A1560">
        <v>449</v>
      </c>
      <c r="B1560" t="s">
        <v>1443</v>
      </c>
      <c r="C1560" t="s">
        <v>4253</v>
      </c>
      <c r="D1560" t="str">
        <f>VLOOKUP(YouTube_University_Data_Final[[#This Row],[Title]],[1]!YouTube_University_Data_Final[[Title]:[Title_language]],2,FALSE)</f>
        <v>Chinese</v>
      </c>
      <c r="E1560" t="s">
        <v>4254</v>
      </c>
      <c r="F1560">
        <v>27</v>
      </c>
      <c r="G1560" s="1">
        <v>41576</v>
      </c>
      <c r="H1560">
        <v>476</v>
      </c>
      <c r="I1560" t="s">
        <v>3365</v>
      </c>
      <c r="J1560">
        <v>35044</v>
      </c>
      <c r="K1560">
        <v>402</v>
      </c>
      <c r="L1560">
        <v>0</v>
      </c>
      <c r="M1560">
        <v>0</v>
      </c>
      <c r="N1560" t="s">
        <v>17</v>
      </c>
      <c r="O1560">
        <v>2013</v>
      </c>
      <c r="P1560" t="s">
        <v>18</v>
      </c>
    </row>
    <row r="1561" spans="1:16" x14ac:dyDescent="0.3">
      <c r="A1561">
        <v>450</v>
      </c>
      <c r="B1561" t="s">
        <v>1443</v>
      </c>
      <c r="C1561" t="s">
        <v>4255</v>
      </c>
      <c r="D1561" t="str">
        <f>VLOOKUP(YouTube_University_Data_Final[[#This Row],[Title]],[1]!YouTube_University_Data_Final[[Title]:[Title_language]],2,FALSE)</f>
        <v>Chinese</v>
      </c>
      <c r="E1561" t="s">
        <v>4256</v>
      </c>
      <c r="F1561">
        <v>27</v>
      </c>
      <c r="G1561" s="1">
        <v>41570</v>
      </c>
      <c r="H1561">
        <v>463</v>
      </c>
      <c r="I1561" t="s">
        <v>3365</v>
      </c>
      <c r="J1561">
        <v>294</v>
      </c>
      <c r="K1561">
        <v>2</v>
      </c>
      <c r="L1561">
        <v>0</v>
      </c>
      <c r="M1561">
        <v>0</v>
      </c>
      <c r="N1561" t="s">
        <v>17</v>
      </c>
      <c r="O1561">
        <v>2013</v>
      </c>
      <c r="P1561" t="s">
        <v>18</v>
      </c>
    </row>
    <row r="1562" spans="1:16" x14ac:dyDescent="0.3">
      <c r="A1562">
        <v>451</v>
      </c>
      <c r="B1562" t="s">
        <v>1443</v>
      </c>
      <c r="C1562" t="s">
        <v>4257</v>
      </c>
      <c r="D1562" t="str">
        <f>VLOOKUP(YouTube_University_Data_Final[[#This Row],[Title]],[1]!YouTube_University_Data_Final[[Title]:[Title_language]],2,FALSE)</f>
        <v>Bilingual</v>
      </c>
      <c r="E1562" t="s">
        <v>4258</v>
      </c>
      <c r="F1562">
        <v>27</v>
      </c>
      <c r="G1562" s="1">
        <v>41570</v>
      </c>
      <c r="H1562">
        <v>525</v>
      </c>
      <c r="I1562" t="s">
        <v>3365</v>
      </c>
      <c r="J1562">
        <v>582</v>
      </c>
      <c r="K1562">
        <v>3</v>
      </c>
      <c r="L1562">
        <v>0</v>
      </c>
      <c r="M1562">
        <v>0</v>
      </c>
      <c r="N1562" t="s">
        <v>17</v>
      </c>
      <c r="O1562">
        <v>2013</v>
      </c>
      <c r="P1562" t="s">
        <v>18</v>
      </c>
    </row>
    <row r="1563" spans="1:16" x14ac:dyDescent="0.3">
      <c r="A1563">
        <v>452</v>
      </c>
      <c r="B1563" t="s">
        <v>1443</v>
      </c>
      <c r="C1563" t="s">
        <v>4259</v>
      </c>
      <c r="D1563" t="str">
        <f>VLOOKUP(YouTube_University_Data_Final[[#This Row],[Title]],[1]!YouTube_University_Data_Final[[Title]:[Title_language]],2,FALSE)</f>
        <v>Chinese</v>
      </c>
      <c r="E1563" t="s">
        <v>2944</v>
      </c>
      <c r="F1563">
        <v>27</v>
      </c>
      <c r="G1563" s="1">
        <v>41568</v>
      </c>
      <c r="H1563">
        <v>76</v>
      </c>
      <c r="I1563" t="s">
        <v>3365</v>
      </c>
      <c r="J1563">
        <v>884</v>
      </c>
      <c r="K1563">
        <v>2</v>
      </c>
      <c r="L1563">
        <v>0</v>
      </c>
      <c r="M1563">
        <v>0</v>
      </c>
      <c r="N1563" t="s">
        <v>17</v>
      </c>
      <c r="O1563">
        <v>2013</v>
      </c>
      <c r="P1563" t="s">
        <v>18</v>
      </c>
    </row>
    <row r="1564" spans="1:16" x14ac:dyDescent="0.3">
      <c r="A1564">
        <v>453</v>
      </c>
      <c r="B1564" t="s">
        <v>1443</v>
      </c>
      <c r="C1564" t="s">
        <v>4260</v>
      </c>
      <c r="D1564" t="str">
        <f>VLOOKUP(YouTube_University_Data_Final[[#This Row],[Title]],[1]!YouTube_University_Data_Final[[Title]:[Title_language]],2,FALSE)</f>
        <v>Chinese</v>
      </c>
      <c r="E1564" t="s">
        <v>4261</v>
      </c>
      <c r="F1564">
        <v>27</v>
      </c>
      <c r="G1564" s="1">
        <v>41563</v>
      </c>
      <c r="H1564">
        <v>448</v>
      </c>
      <c r="I1564" t="s">
        <v>3365</v>
      </c>
      <c r="J1564">
        <v>291</v>
      </c>
      <c r="K1564">
        <v>1</v>
      </c>
      <c r="L1564">
        <v>0</v>
      </c>
      <c r="M1564">
        <v>0</v>
      </c>
      <c r="N1564" t="s">
        <v>17</v>
      </c>
      <c r="O1564">
        <v>2013</v>
      </c>
      <c r="P1564" t="s">
        <v>18</v>
      </c>
    </row>
    <row r="1565" spans="1:16" x14ac:dyDescent="0.3">
      <c r="A1565">
        <v>454</v>
      </c>
      <c r="B1565" t="s">
        <v>1443</v>
      </c>
      <c r="C1565" t="s">
        <v>4262</v>
      </c>
      <c r="D1565" t="str">
        <f>VLOOKUP(YouTube_University_Data_Final[[#This Row],[Title]],[1]!YouTube_University_Data_Final[[Title]:[Title_language]],2,FALSE)</f>
        <v>Chinese</v>
      </c>
      <c r="E1565" t="s">
        <v>4263</v>
      </c>
      <c r="F1565">
        <v>27</v>
      </c>
      <c r="G1565" s="1">
        <v>41563</v>
      </c>
      <c r="H1565">
        <v>548</v>
      </c>
      <c r="I1565" t="s">
        <v>3365</v>
      </c>
      <c r="J1565">
        <v>467</v>
      </c>
      <c r="K1565">
        <v>0</v>
      </c>
      <c r="L1565">
        <v>0</v>
      </c>
      <c r="M1565">
        <v>0</v>
      </c>
      <c r="N1565" t="s">
        <v>17</v>
      </c>
      <c r="O1565">
        <v>2013</v>
      </c>
      <c r="P1565" t="s">
        <v>18</v>
      </c>
    </row>
    <row r="1566" spans="1:16" x14ac:dyDescent="0.3">
      <c r="A1566">
        <v>455</v>
      </c>
      <c r="B1566" t="s">
        <v>1443</v>
      </c>
      <c r="C1566" t="s">
        <v>4264</v>
      </c>
      <c r="D1566" t="str">
        <f>VLOOKUP(YouTube_University_Data_Final[[#This Row],[Title]],[1]!YouTube_University_Data_Final[[Title]:[Title_language]],2,FALSE)</f>
        <v>Chinese</v>
      </c>
      <c r="E1566" t="s">
        <v>4265</v>
      </c>
      <c r="F1566">
        <v>27</v>
      </c>
      <c r="G1566" s="1">
        <v>41554</v>
      </c>
      <c r="H1566">
        <v>276</v>
      </c>
      <c r="I1566" t="s">
        <v>3365</v>
      </c>
      <c r="J1566">
        <v>100</v>
      </c>
      <c r="K1566">
        <v>0</v>
      </c>
      <c r="L1566">
        <v>0</v>
      </c>
      <c r="M1566">
        <v>0</v>
      </c>
      <c r="N1566" t="s">
        <v>17</v>
      </c>
      <c r="O1566">
        <v>2013</v>
      </c>
      <c r="P1566" t="s">
        <v>18</v>
      </c>
    </row>
    <row r="1567" spans="1:16" x14ac:dyDescent="0.3">
      <c r="A1567">
        <v>456</v>
      </c>
      <c r="B1567" t="s">
        <v>1443</v>
      </c>
      <c r="C1567" t="s">
        <v>4266</v>
      </c>
      <c r="D1567" t="str">
        <f>VLOOKUP(YouTube_University_Data_Final[[#This Row],[Title]],[1]!YouTube_University_Data_Final[[Title]:[Title_language]],2,FALSE)</f>
        <v>Chinese</v>
      </c>
      <c r="E1567" t="s">
        <v>4267</v>
      </c>
      <c r="F1567">
        <v>27</v>
      </c>
      <c r="G1567" s="1">
        <v>41554</v>
      </c>
      <c r="H1567">
        <v>351</v>
      </c>
      <c r="I1567" t="s">
        <v>3365</v>
      </c>
      <c r="J1567">
        <v>277</v>
      </c>
      <c r="K1567">
        <v>0</v>
      </c>
      <c r="L1567">
        <v>0</v>
      </c>
      <c r="M1567">
        <v>0</v>
      </c>
      <c r="N1567" t="s">
        <v>17</v>
      </c>
      <c r="O1567">
        <v>2013</v>
      </c>
      <c r="P1567" t="s">
        <v>18</v>
      </c>
    </row>
    <row r="1568" spans="1:16" x14ac:dyDescent="0.3">
      <c r="A1568">
        <v>457</v>
      </c>
      <c r="B1568" t="s">
        <v>1443</v>
      </c>
      <c r="C1568" t="s">
        <v>4268</v>
      </c>
      <c r="D1568" t="str">
        <f>VLOOKUP(YouTube_University_Data_Final[[#This Row],[Title]],[1]!YouTube_University_Data_Final[[Title]:[Title_language]],2,FALSE)</f>
        <v>Chinese</v>
      </c>
      <c r="E1568" t="s">
        <v>4269</v>
      </c>
      <c r="F1568">
        <v>27</v>
      </c>
      <c r="G1568" s="1">
        <v>41554</v>
      </c>
      <c r="H1568">
        <v>578</v>
      </c>
      <c r="I1568" t="s">
        <v>3365</v>
      </c>
      <c r="J1568">
        <v>701</v>
      </c>
      <c r="K1568">
        <v>0</v>
      </c>
      <c r="L1568">
        <v>0</v>
      </c>
      <c r="M1568">
        <v>0</v>
      </c>
      <c r="N1568" t="s">
        <v>17</v>
      </c>
      <c r="O1568">
        <v>2013</v>
      </c>
      <c r="P1568" t="s">
        <v>18</v>
      </c>
    </row>
    <row r="1569" spans="1:16" x14ac:dyDescent="0.3">
      <c r="A1569">
        <v>458</v>
      </c>
      <c r="B1569" t="s">
        <v>1443</v>
      </c>
      <c r="C1569" t="s">
        <v>4270</v>
      </c>
      <c r="D1569" t="str">
        <f>VLOOKUP(YouTube_University_Data_Final[[#This Row],[Title]],[1]!YouTube_University_Data_Final[[Title]:[Title_language]],2,FALSE)</f>
        <v>Chinese</v>
      </c>
      <c r="E1569" t="s">
        <v>4271</v>
      </c>
      <c r="F1569">
        <v>27</v>
      </c>
      <c r="G1569" s="1">
        <v>41533</v>
      </c>
      <c r="H1569">
        <v>453</v>
      </c>
      <c r="I1569" t="s">
        <v>3365</v>
      </c>
      <c r="J1569">
        <v>1475</v>
      </c>
      <c r="K1569">
        <v>16</v>
      </c>
      <c r="L1569">
        <v>0</v>
      </c>
      <c r="M1569">
        <v>0</v>
      </c>
      <c r="N1569" t="s">
        <v>21</v>
      </c>
      <c r="O1569">
        <v>2013</v>
      </c>
      <c r="P1569" t="s">
        <v>18</v>
      </c>
    </row>
    <row r="1570" spans="1:16" x14ac:dyDescent="0.3">
      <c r="A1570">
        <v>459</v>
      </c>
      <c r="B1570" t="s">
        <v>1443</v>
      </c>
      <c r="C1570" t="s">
        <v>4272</v>
      </c>
      <c r="D1570" t="str">
        <f>VLOOKUP(YouTube_University_Data_Final[[#This Row],[Title]],[1]!YouTube_University_Data_Final[[Title]:[Title_language]],2,FALSE)</f>
        <v>Chinese</v>
      </c>
      <c r="E1570" t="s">
        <v>4273</v>
      </c>
      <c r="F1570">
        <v>27</v>
      </c>
      <c r="G1570" s="1">
        <v>41533</v>
      </c>
      <c r="H1570">
        <v>391</v>
      </c>
      <c r="I1570" t="s">
        <v>3365</v>
      </c>
      <c r="J1570">
        <v>1597</v>
      </c>
      <c r="K1570">
        <v>14</v>
      </c>
      <c r="L1570">
        <v>0</v>
      </c>
      <c r="M1570">
        <v>0</v>
      </c>
      <c r="N1570" t="s">
        <v>21</v>
      </c>
      <c r="O1570">
        <v>2013</v>
      </c>
      <c r="P1570" t="s">
        <v>18</v>
      </c>
    </row>
    <row r="1571" spans="1:16" x14ac:dyDescent="0.3">
      <c r="A1571">
        <v>460</v>
      </c>
      <c r="B1571" t="s">
        <v>1443</v>
      </c>
      <c r="C1571" t="s">
        <v>4274</v>
      </c>
      <c r="D1571" t="str">
        <f>VLOOKUP(YouTube_University_Data_Final[[#This Row],[Title]],[1]!YouTube_University_Data_Final[[Title]:[Title_language]],2,FALSE)</f>
        <v>Bilingual</v>
      </c>
      <c r="E1571" t="s">
        <v>4275</v>
      </c>
      <c r="F1571">
        <v>27</v>
      </c>
      <c r="G1571" s="1">
        <v>41523</v>
      </c>
      <c r="H1571">
        <v>409</v>
      </c>
      <c r="I1571" t="s">
        <v>3365</v>
      </c>
      <c r="J1571">
        <v>2506</v>
      </c>
      <c r="K1571">
        <v>23</v>
      </c>
      <c r="L1571">
        <v>0</v>
      </c>
      <c r="M1571">
        <v>0</v>
      </c>
      <c r="N1571" t="s">
        <v>21</v>
      </c>
      <c r="O1571">
        <v>2013</v>
      </c>
      <c r="P1571" t="s">
        <v>18</v>
      </c>
    </row>
    <row r="1572" spans="1:16" x14ac:dyDescent="0.3">
      <c r="A1572">
        <v>461</v>
      </c>
      <c r="B1572" t="s">
        <v>1443</v>
      </c>
      <c r="C1572" t="s">
        <v>4276</v>
      </c>
      <c r="D1572" t="str">
        <f>VLOOKUP(YouTube_University_Data_Final[[#This Row],[Title]],[1]!YouTube_University_Data_Final[[Title]:[Title_language]],2,FALSE)</f>
        <v>Bilingual</v>
      </c>
      <c r="E1572" t="s">
        <v>4277</v>
      </c>
      <c r="F1572">
        <v>27</v>
      </c>
      <c r="G1572" s="1">
        <v>41523</v>
      </c>
      <c r="H1572">
        <v>406</v>
      </c>
      <c r="I1572" t="s">
        <v>3365</v>
      </c>
      <c r="J1572">
        <v>1941</v>
      </c>
      <c r="K1572">
        <v>22</v>
      </c>
      <c r="L1572">
        <v>0</v>
      </c>
      <c r="M1572">
        <v>0</v>
      </c>
      <c r="N1572" t="s">
        <v>21</v>
      </c>
      <c r="O1572">
        <v>2013</v>
      </c>
      <c r="P1572" t="s">
        <v>18</v>
      </c>
    </row>
    <row r="1573" spans="1:16" x14ac:dyDescent="0.3">
      <c r="A1573">
        <v>462</v>
      </c>
      <c r="B1573" t="s">
        <v>1443</v>
      </c>
      <c r="C1573" t="s">
        <v>4278</v>
      </c>
      <c r="D1573" t="str">
        <f>VLOOKUP(YouTube_University_Data_Final[[#This Row],[Title]],[1]!YouTube_University_Data_Final[[Title]:[Title_language]],2,FALSE)</f>
        <v>Chinese</v>
      </c>
      <c r="E1573" t="s">
        <v>4279</v>
      </c>
      <c r="F1573">
        <v>27</v>
      </c>
      <c r="G1573" s="1">
        <v>41495</v>
      </c>
      <c r="H1573">
        <v>446</v>
      </c>
      <c r="I1573" t="s">
        <v>4280</v>
      </c>
      <c r="J1573">
        <v>11066</v>
      </c>
      <c r="K1573">
        <v>102</v>
      </c>
      <c r="L1573">
        <v>0</v>
      </c>
      <c r="M1573">
        <v>0</v>
      </c>
      <c r="N1573" t="s">
        <v>48</v>
      </c>
      <c r="O1573">
        <v>2013</v>
      </c>
      <c r="P1573" t="s">
        <v>18</v>
      </c>
    </row>
    <row r="1574" spans="1:16" x14ac:dyDescent="0.3">
      <c r="A1574">
        <v>463</v>
      </c>
      <c r="B1574" t="s">
        <v>1443</v>
      </c>
      <c r="C1574" t="s">
        <v>4281</v>
      </c>
      <c r="D1574" t="str">
        <f>VLOOKUP(YouTube_University_Data_Final[[#This Row],[Title]],[1]!YouTube_University_Data_Final[[Title]:[Title_language]],2,FALSE)</f>
        <v>Chinese</v>
      </c>
      <c r="E1574" t="s">
        <v>4282</v>
      </c>
      <c r="F1574">
        <v>27</v>
      </c>
      <c r="G1574" s="1">
        <v>41495</v>
      </c>
      <c r="H1574">
        <v>391</v>
      </c>
      <c r="I1574" t="s">
        <v>4202</v>
      </c>
      <c r="J1574">
        <v>1196</v>
      </c>
      <c r="K1574">
        <v>18</v>
      </c>
      <c r="L1574">
        <v>0</v>
      </c>
      <c r="M1574">
        <v>0</v>
      </c>
      <c r="N1574" t="s">
        <v>48</v>
      </c>
      <c r="O1574">
        <v>2013</v>
      </c>
      <c r="P1574" t="s">
        <v>18</v>
      </c>
    </row>
    <row r="1575" spans="1:16" x14ac:dyDescent="0.3">
      <c r="A1575">
        <v>464</v>
      </c>
      <c r="B1575" t="s">
        <v>1443</v>
      </c>
      <c r="C1575" t="s">
        <v>4283</v>
      </c>
      <c r="D1575" t="str">
        <f>VLOOKUP(YouTube_University_Data_Final[[#This Row],[Title]],[1]!YouTube_University_Data_Final[[Title]:[Title_language]],2,FALSE)</f>
        <v>Chinese</v>
      </c>
      <c r="E1575" t="s">
        <v>4284</v>
      </c>
      <c r="F1575">
        <v>27</v>
      </c>
      <c r="G1575" s="1">
        <v>41492</v>
      </c>
      <c r="H1575">
        <v>451</v>
      </c>
      <c r="I1575" t="s">
        <v>3365</v>
      </c>
      <c r="J1575">
        <v>2453</v>
      </c>
      <c r="K1575">
        <v>22</v>
      </c>
      <c r="L1575">
        <v>0</v>
      </c>
      <c r="M1575">
        <v>0</v>
      </c>
      <c r="N1575" t="s">
        <v>48</v>
      </c>
      <c r="O1575">
        <v>2013</v>
      </c>
      <c r="P1575" t="s">
        <v>18</v>
      </c>
    </row>
    <row r="1576" spans="1:16" x14ac:dyDescent="0.3">
      <c r="A1576">
        <v>465</v>
      </c>
      <c r="B1576" t="s">
        <v>1443</v>
      </c>
      <c r="C1576" t="s">
        <v>4285</v>
      </c>
      <c r="D1576" t="str">
        <f>VLOOKUP(YouTube_University_Data_Final[[#This Row],[Title]],[1]!YouTube_University_Data_Final[[Title]:[Title_language]],2,FALSE)</f>
        <v>Chinese</v>
      </c>
      <c r="E1576" t="s">
        <v>4286</v>
      </c>
      <c r="F1576">
        <v>27</v>
      </c>
      <c r="G1576" s="1">
        <v>41487</v>
      </c>
      <c r="H1576">
        <v>541</v>
      </c>
      <c r="I1576" t="s">
        <v>3365</v>
      </c>
      <c r="J1576">
        <v>3802</v>
      </c>
      <c r="K1576">
        <v>38</v>
      </c>
      <c r="L1576">
        <v>0</v>
      </c>
      <c r="M1576">
        <v>3</v>
      </c>
      <c r="N1576" t="s">
        <v>48</v>
      </c>
      <c r="O1576">
        <v>2013</v>
      </c>
      <c r="P1576" t="s">
        <v>18</v>
      </c>
    </row>
    <row r="1577" spans="1:16" x14ac:dyDescent="0.3">
      <c r="A1577">
        <v>466</v>
      </c>
      <c r="B1577" t="s">
        <v>1443</v>
      </c>
      <c r="C1577" t="s">
        <v>4287</v>
      </c>
      <c r="D1577" t="str">
        <f>VLOOKUP(YouTube_University_Data_Final[[#This Row],[Title]],[1]!YouTube_University_Data_Final[[Title]:[Title_language]],2,FALSE)</f>
        <v>Chinese</v>
      </c>
      <c r="E1577" t="s">
        <v>4288</v>
      </c>
      <c r="F1577">
        <v>27</v>
      </c>
      <c r="G1577" s="1">
        <v>41487</v>
      </c>
      <c r="H1577">
        <v>556</v>
      </c>
      <c r="I1577" t="s">
        <v>3365</v>
      </c>
      <c r="J1577">
        <v>11310</v>
      </c>
      <c r="K1577">
        <v>106</v>
      </c>
      <c r="L1577">
        <v>0</v>
      </c>
      <c r="M1577">
        <v>0</v>
      </c>
      <c r="N1577" t="s">
        <v>48</v>
      </c>
      <c r="O1577">
        <v>2013</v>
      </c>
      <c r="P1577" t="s">
        <v>18</v>
      </c>
    </row>
    <row r="1578" spans="1:16" x14ac:dyDescent="0.3">
      <c r="A1578">
        <v>467</v>
      </c>
      <c r="B1578" t="s">
        <v>1443</v>
      </c>
      <c r="C1578" t="s">
        <v>1498</v>
      </c>
      <c r="D1578" t="str">
        <f>VLOOKUP(YouTube_University_Data_Final[[#This Row],[Title]],[1]!YouTube_University_Data_Final[[Title]:[Title_language]],2,FALSE)</f>
        <v>English</v>
      </c>
      <c r="E1578" t="s">
        <v>1499</v>
      </c>
      <c r="F1578">
        <v>27</v>
      </c>
      <c r="G1578" s="1">
        <v>41464</v>
      </c>
      <c r="H1578">
        <v>446</v>
      </c>
      <c r="I1578" t="s">
        <v>4126</v>
      </c>
      <c r="J1578">
        <v>1491</v>
      </c>
      <c r="K1578">
        <v>9</v>
      </c>
      <c r="L1578">
        <v>0</v>
      </c>
      <c r="M1578">
        <v>0</v>
      </c>
      <c r="N1578" t="s">
        <v>56</v>
      </c>
      <c r="O1578">
        <v>2013</v>
      </c>
      <c r="P1578" t="s">
        <v>18</v>
      </c>
    </row>
    <row r="1579" spans="1:16" x14ac:dyDescent="0.3">
      <c r="A1579">
        <v>468</v>
      </c>
      <c r="B1579" t="s">
        <v>1443</v>
      </c>
      <c r="C1579" t="s">
        <v>4289</v>
      </c>
      <c r="D1579" t="str">
        <f>VLOOKUP(YouTube_University_Data_Final[[#This Row],[Title]],[1]!YouTube_University_Data_Final[[Title]:[Title_language]],2,FALSE)</f>
        <v>Chinese</v>
      </c>
      <c r="E1579" t="s">
        <v>2944</v>
      </c>
      <c r="F1579">
        <v>27</v>
      </c>
      <c r="G1579" s="1">
        <v>41424</v>
      </c>
      <c r="H1579">
        <v>3170</v>
      </c>
      <c r="I1579" t="s">
        <v>3365</v>
      </c>
      <c r="J1579">
        <v>31</v>
      </c>
      <c r="K1579">
        <v>0</v>
      </c>
      <c r="L1579">
        <v>0</v>
      </c>
      <c r="M1579">
        <v>0</v>
      </c>
      <c r="N1579" t="s">
        <v>81</v>
      </c>
      <c r="O1579">
        <v>2013</v>
      </c>
      <c r="P1579" t="s">
        <v>18</v>
      </c>
    </row>
    <row r="1580" spans="1:16" x14ac:dyDescent="0.3">
      <c r="A1580">
        <v>469</v>
      </c>
      <c r="B1580" t="s">
        <v>1443</v>
      </c>
      <c r="C1580" t="s">
        <v>4290</v>
      </c>
      <c r="D1580" t="str">
        <f>VLOOKUP(YouTube_University_Data_Final[[#This Row],[Title]],[1]!YouTube_University_Data_Final[[Title]:[Title_language]],2,FALSE)</f>
        <v>Chinese</v>
      </c>
      <c r="E1580" t="s">
        <v>2944</v>
      </c>
      <c r="F1580">
        <v>27</v>
      </c>
      <c r="G1580" s="1">
        <v>41424</v>
      </c>
      <c r="H1580">
        <v>190</v>
      </c>
      <c r="I1580" t="s">
        <v>3365</v>
      </c>
      <c r="J1580">
        <v>425</v>
      </c>
      <c r="K1580">
        <v>2</v>
      </c>
      <c r="L1580">
        <v>0</v>
      </c>
      <c r="M1580">
        <v>0</v>
      </c>
      <c r="N1580" t="s">
        <v>81</v>
      </c>
      <c r="O1580">
        <v>2013</v>
      </c>
      <c r="P1580" t="s">
        <v>18</v>
      </c>
    </row>
    <row r="1581" spans="1:16" x14ac:dyDescent="0.3">
      <c r="A1581">
        <v>470</v>
      </c>
      <c r="B1581" t="s">
        <v>1443</v>
      </c>
      <c r="C1581" t="s">
        <v>4291</v>
      </c>
      <c r="D1581" t="str">
        <f>VLOOKUP(YouTube_University_Data_Final[[#This Row],[Title]],[1]!YouTube_University_Data_Final[[Title]:[Title_language]],2,FALSE)</f>
        <v>Chinese</v>
      </c>
      <c r="E1581" t="s">
        <v>2944</v>
      </c>
      <c r="F1581">
        <v>27</v>
      </c>
      <c r="G1581" s="1">
        <v>41424</v>
      </c>
      <c r="H1581">
        <v>302</v>
      </c>
      <c r="I1581" t="s">
        <v>3365</v>
      </c>
      <c r="J1581">
        <v>125</v>
      </c>
      <c r="K1581">
        <v>3</v>
      </c>
      <c r="L1581">
        <v>0</v>
      </c>
      <c r="M1581">
        <v>0</v>
      </c>
      <c r="N1581" t="s">
        <v>81</v>
      </c>
      <c r="O1581">
        <v>2013</v>
      </c>
      <c r="P1581" t="s">
        <v>18</v>
      </c>
    </row>
    <row r="1582" spans="1:16" x14ac:dyDescent="0.3">
      <c r="A1582">
        <v>471</v>
      </c>
      <c r="B1582" t="s">
        <v>1443</v>
      </c>
      <c r="C1582" t="s">
        <v>1500</v>
      </c>
      <c r="D1582" t="str">
        <f>VLOOKUP(YouTube_University_Data_Final[[#This Row],[Title]],[1]!YouTube_University_Data_Final[[Title]:[Title_language]],2,FALSE)</f>
        <v>English</v>
      </c>
      <c r="E1582" t="s">
        <v>1501</v>
      </c>
      <c r="F1582">
        <v>27</v>
      </c>
      <c r="G1582" s="1">
        <v>41418</v>
      </c>
      <c r="H1582">
        <v>362</v>
      </c>
      <c r="I1582" t="s">
        <v>3365</v>
      </c>
      <c r="J1582">
        <v>102</v>
      </c>
      <c r="K1582">
        <v>0</v>
      </c>
      <c r="L1582">
        <v>0</v>
      </c>
      <c r="M1582">
        <v>0</v>
      </c>
      <c r="N1582" t="s">
        <v>81</v>
      </c>
      <c r="O1582">
        <v>2013</v>
      </c>
      <c r="P1582" t="s">
        <v>18</v>
      </c>
    </row>
    <row r="1583" spans="1:16" x14ac:dyDescent="0.3">
      <c r="A1583">
        <v>472</v>
      </c>
      <c r="B1583" t="s">
        <v>1443</v>
      </c>
      <c r="C1583" t="s">
        <v>4292</v>
      </c>
      <c r="D1583" t="str">
        <f>VLOOKUP(YouTube_University_Data_Final[[#This Row],[Title]],[1]!YouTube_University_Data_Final[[Title]:[Title_language]],2,FALSE)</f>
        <v>Chinese</v>
      </c>
      <c r="E1583" t="s">
        <v>2944</v>
      </c>
      <c r="F1583">
        <v>27</v>
      </c>
      <c r="G1583" s="1">
        <v>41416</v>
      </c>
      <c r="H1583">
        <v>338</v>
      </c>
      <c r="I1583" t="s">
        <v>3365</v>
      </c>
      <c r="J1583">
        <v>365</v>
      </c>
      <c r="K1583">
        <v>1</v>
      </c>
      <c r="L1583">
        <v>0</v>
      </c>
      <c r="M1583">
        <v>0</v>
      </c>
      <c r="N1583" t="s">
        <v>81</v>
      </c>
      <c r="O1583">
        <v>2013</v>
      </c>
      <c r="P1583" t="s">
        <v>18</v>
      </c>
    </row>
    <row r="1584" spans="1:16" x14ac:dyDescent="0.3">
      <c r="A1584">
        <v>473</v>
      </c>
      <c r="B1584" t="s">
        <v>1443</v>
      </c>
      <c r="C1584" t="s">
        <v>1502</v>
      </c>
      <c r="D1584" t="str">
        <f>VLOOKUP(YouTube_University_Data_Final[[#This Row],[Title]],[1]!YouTube_University_Data_Final[[Title]:[Title_language]],2,FALSE)</f>
        <v>English</v>
      </c>
      <c r="E1584" t="s">
        <v>2944</v>
      </c>
      <c r="F1584">
        <v>27</v>
      </c>
      <c r="G1584" s="1">
        <v>41414</v>
      </c>
      <c r="H1584">
        <v>301</v>
      </c>
      <c r="I1584" t="s">
        <v>3365</v>
      </c>
      <c r="J1584">
        <v>248</v>
      </c>
      <c r="K1584">
        <v>4</v>
      </c>
      <c r="L1584">
        <v>0</v>
      </c>
      <c r="M1584">
        <v>0</v>
      </c>
      <c r="N1584" t="s">
        <v>81</v>
      </c>
      <c r="O1584">
        <v>2013</v>
      </c>
      <c r="P1584" t="s">
        <v>18</v>
      </c>
    </row>
    <row r="1585" spans="1:16" x14ac:dyDescent="0.3">
      <c r="A1585">
        <v>474</v>
      </c>
      <c r="B1585" t="s">
        <v>1443</v>
      </c>
      <c r="C1585" t="s">
        <v>4293</v>
      </c>
      <c r="D1585" t="str">
        <f>VLOOKUP(YouTube_University_Data_Final[[#This Row],[Title]],[1]!YouTube_University_Data_Final[[Title]:[Title_language]],2,FALSE)</f>
        <v>Chinese</v>
      </c>
      <c r="E1585" t="s">
        <v>2944</v>
      </c>
      <c r="F1585">
        <v>27</v>
      </c>
      <c r="G1585" s="1">
        <v>41414</v>
      </c>
      <c r="H1585">
        <v>161</v>
      </c>
      <c r="I1585" t="s">
        <v>3365</v>
      </c>
      <c r="J1585">
        <v>51</v>
      </c>
      <c r="K1585">
        <v>0</v>
      </c>
      <c r="L1585">
        <v>0</v>
      </c>
      <c r="M1585">
        <v>0</v>
      </c>
      <c r="N1585" t="s">
        <v>81</v>
      </c>
      <c r="O1585">
        <v>2013</v>
      </c>
      <c r="P1585" t="s">
        <v>18</v>
      </c>
    </row>
    <row r="1586" spans="1:16" x14ac:dyDescent="0.3">
      <c r="A1586">
        <v>475</v>
      </c>
      <c r="B1586" t="s">
        <v>1443</v>
      </c>
      <c r="C1586" t="s">
        <v>4294</v>
      </c>
      <c r="D1586" t="str">
        <f>VLOOKUP(YouTube_University_Data_Final[[#This Row],[Title]],[1]!YouTube_University_Data_Final[[Title]:[Title_language]],2,FALSE)</f>
        <v>Chinese</v>
      </c>
      <c r="E1586" t="s">
        <v>4295</v>
      </c>
      <c r="F1586">
        <v>27</v>
      </c>
      <c r="G1586" s="1">
        <v>41393</v>
      </c>
      <c r="H1586">
        <v>364</v>
      </c>
      <c r="I1586" t="s">
        <v>3365</v>
      </c>
      <c r="J1586">
        <v>474</v>
      </c>
      <c r="K1586">
        <v>2</v>
      </c>
      <c r="L1586">
        <v>0</v>
      </c>
      <c r="M1586">
        <v>0</v>
      </c>
      <c r="N1586" t="s">
        <v>87</v>
      </c>
      <c r="O1586">
        <v>2013</v>
      </c>
      <c r="P1586" t="s">
        <v>18</v>
      </c>
    </row>
    <row r="1587" spans="1:16" x14ac:dyDescent="0.3">
      <c r="A1587">
        <v>476</v>
      </c>
      <c r="B1587" t="s">
        <v>1443</v>
      </c>
      <c r="C1587" t="s">
        <v>4296</v>
      </c>
      <c r="D1587" t="str">
        <f>VLOOKUP(YouTube_University_Data_Final[[#This Row],[Title]],[1]!YouTube_University_Data_Final[[Title]:[Title_language]],2,FALSE)</f>
        <v>Chinese</v>
      </c>
      <c r="E1587" t="s">
        <v>4297</v>
      </c>
      <c r="F1587">
        <v>27</v>
      </c>
      <c r="G1587" s="1">
        <v>41393</v>
      </c>
      <c r="H1587">
        <v>598</v>
      </c>
      <c r="I1587" t="s">
        <v>3365</v>
      </c>
      <c r="J1587">
        <v>780</v>
      </c>
      <c r="K1587">
        <v>4</v>
      </c>
      <c r="L1587">
        <v>0</v>
      </c>
      <c r="M1587">
        <v>0</v>
      </c>
      <c r="N1587" t="s">
        <v>87</v>
      </c>
      <c r="O1587">
        <v>2013</v>
      </c>
      <c r="P1587" t="s">
        <v>18</v>
      </c>
    </row>
    <row r="1588" spans="1:16" x14ac:dyDescent="0.3">
      <c r="A1588">
        <v>477</v>
      </c>
      <c r="B1588" t="s">
        <v>1443</v>
      </c>
      <c r="C1588" t="s">
        <v>4298</v>
      </c>
      <c r="D1588" t="str">
        <f>VLOOKUP(YouTube_University_Data_Final[[#This Row],[Title]],[1]!YouTube_University_Data_Final[[Title]:[Title_language]],2,FALSE)</f>
        <v>Bilingual</v>
      </c>
      <c r="E1588" t="s">
        <v>4299</v>
      </c>
      <c r="F1588">
        <v>27</v>
      </c>
      <c r="G1588" s="1">
        <v>41390</v>
      </c>
      <c r="H1588">
        <v>346</v>
      </c>
      <c r="I1588" t="s">
        <v>3365</v>
      </c>
      <c r="J1588">
        <v>183</v>
      </c>
      <c r="K1588">
        <v>1</v>
      </c>
      <c r="L1588">
        <v>0</v>
      </c>
      <c r="M1588">
        <v>0</v>
      </c>
      <c r="N1588" t="s">
        <v>87</v>
      </c>
      <c r="O1588">
        <v>2013</v>
      </c>
      <c r="P1588" t="s">
        <v>18</v>
      </c>
    </row>
    <row r="1589" spans="1:16" x14ac:dyDescent="0.3">
      <c r="A1589">
        <v>478</v>
      </c>
      <c r="B1589" t="s">
        <v>1443</v>
      </c>
      <c r="C1589" t="s">
        <v>4300</v>
      </c>
      <c r="D1589" t="str">
        <f>VLOOKUP(YouTube_University_Data_Final[[#This Row],[Title]],[1]!YouTube_University_Data_Final[[Title]:[Title_language]],2,FALSE)</f>
        <v>Chinese</v>
      </c>
      <c r="E1589" t="s">
        <v>4301</v>
      </c>
      <c r="F1589">
        <v>27</v>
      </c>
      <c r="G1589" s="1">
        <v>41386</v>
      </c>
      <c r="H1589">
        <v>525</v>
      </c>
      <c r="I1589" t="s">
        <v>3365</v>
      </c>
      <c r="J1589">
        <v>16134</v>
      </c>
      <c r="K1589">
        <v>0</v>
      </c>
      <c r="L1589">
        <v>0</v>
      </c>
      <c r="M1589">
        <v>5</v>
      </c>
      <c r="N1589" t="s">
        <v>87</v>
      </c>
      <c r="O1589">
        <v>2013</v>
      </c>
      <c r="P1589" t="s">
        <v>18</v>
      </c>
    </row>
    <row r="1590" spans="1:16" x14ac:dyDescent="0.3">
      <c r="A1590">
        <v>479</v>
      </c>
      <c r="B1590" t="s">
        <v>1443</v>
      </c>
      <c r="C1590" t="s">
        <v>1503</v>
      </c>
      <c r="D1590" t="str">
        <f>VLOOKUP(YouTube_University_Data_Final[[#This Row],[Title]],[1]!YouTube_University_Data_Final[[Title]:[Title_language]],2,FALSE)</f>
        <v>English</v>
      </c>
      <c r="E1590" t="s">
        <v>1504</v>
      </c>
      <c r="F1590">
        <v>27</v>
      </c>
      <c r="G1590" s="1">
        <v>41372</v>
      </c>
      <c r="H1590">
        <v>391</v>
      </c>
      <c r="I1590" t="s">
        <v>3365</v>
      </c>
      <c r="J1590">
        <v>2434</v>
      </c>
      <c r="K1590">
        <v>24</v>
      </c>
      <c r="L1590">
        <v>0</v>
      </c>
      <c r="M1590">
        <v>0</v>
      </c>
      <c r="N1590" t="s">
        <v>87</v>
      </c>
      <c r="O1590">
        <v>2013</v>
      </c>
      <c r="P1590" t="s">
        <v>18</v>
      </c>
    </row>
    <row r="1591" spans="1:16" x14ac:dyDescent="0.3">
      <c r="A1591">
        <v>480</v>
      </c>
      <c r="B1591" t="s">
        <v>1443</v>
      </c>
      <c r="C1591" t="s">
        <v>1505</v>
      </c>
      <c r="D1591" t="str">
        <f>VLOOKUP(YouTube_University_Data_Final[[#This Row],[Title]],[1]!YouTube_University_Data_Final[[Title]:[Title_language]],2,FALSE)</f>
        <v>English</v>
      </c>
      <c r="E1591" t="s">
        <v>1506</v>
      </c>
      <c r="F1591">
        <v>27</v>
      </c>
      <c r="G1591" s="1">
        <v>41372</v>
      </c>
      <c r="H1591">
        <v>432</v>
      </c>
      <c r="I1591" t="s">
        <v>3365</v>
      </c>
      <c r="J1591">
        <v>104</v>
      </c>
      <c r="K1591">
        <v>0</v>
      </c>
      <c r="L1591">
        <v>0</v>
      </c>
      <c r="M1591">
        <v>0</v>
      </c>
      <c r="N1591" t="s">
        <v>87</v>
      </c>
      <c r="O1591">
        <v>2013</v>
      </c>
      <c r="P1591" t="s">
        <v>18</v>
      </c>
    </row>
    <row r="1592" spans="1:16" x14ac:dyDescent="0.3">
      <c r="A1592">
        <v>481</v>
      </c>
      <c r="B1592" t="s">
        <v>1443</v>
      </c>
      <c r="C1592" t="s">
        <v>1507</v>
      </c>
      <c r="D1592" t="str">
        <f>VLOOKUP(YouTube_University_Data_Final[[#This Row],[Title]],[1]!YouTube_University_Data_Final[[Title]:[Title_language]],2,FALSE)</f>
        <v>English</v>
      </c>
      <c r="E1592" t="s">
        <v>1508</v>
      </c>
      <c r="F1592">
        <v>27</v>
      </c>
      <c r="G1592" s="1">
        <v>41372</v>
      </c>
      <c r="H1592">
        <v>376</v>
      </c>
      <c r="I1592" t="s">
        <v>3365</v>
      </c>
      <c r="J1592">
        <v>4585</v>
      </c>
      <c r="K1592">
        <v>20</v>
      </c>
      <c r="L1592">
        <v>0</v>
      </c>
      <c r="M1592">
        <v>0</v>
      </c>
      <c r="N1592" t="s">
        <v>87</v>
      </c>
      <c r="O1592">
        <v>2013</v>
      </c>
      <c r="P1592" t="s">
        <v>18</v>
      </c>
    </row>
    <row r="1593" spans="1:16" x14ac:dyDescent="0.3">
      <c r="A1593">
        <v>482</v>
      </c>
      <c r="B1593" t="s">
        <v>1443</v>
      </c>
      <c r="C1593" t="s">
        <v>1509</v>
      </c>
      <c r="D1593" t="str">
        <f>VLOOKUP(YouTube_University_Data_Final[[#This Row],[Title]],[1]!YouTube_University_Data_Final[[Title]:[Title_language]],2,FALSE)</f>
        <v>English</v>
      </c>
      <c r="E1593" t="s">
        <v>470</v>
      </c>
      <c r="F1593">
        <v>27</v>
      </c>
      <c r="G1593" s="1">
        <v>41354</v>
      </c>
      <c r="H1593">
        <v>301</v>
      </c>
      <c r="I1593" t="s">
        <v>3365</v>
      </c>
      <c r="J1593">
        <v>1579</v>
      </c>
      <c r="K1593">
        <v>5</v>
      </c>
      <c r="L1593">
        <v>0</v>
      </c>
      <c r="M1593">
        <v>0</v>
      </c>
      <c r="N1593" t="s">
        <v>90</v>
      </c>
      <c r="O1593">
        <v>2013</v>
      </c>
      <c r="P1593" t="s">
        <v>18</v>
      </c>
    </row>
    <row r="1594" spans="1:16" x14ac:dyDescent="0.3">
      <c r="A1594">
        <v>483</v>
      </c>
      <c r="B1594" t="s">
        <v>1443</v>
      </c>
      <c r="C1594" t="s">
        <v>4302</v>
      </c>
      <c r="D1594" t="str">
        <f>VLOOKUP(YouTube_University_Data_Final[[#This Row],[Title]],[1]!YouTube_University_Data_Final[[Title]:[Title_language]],2,FALSE)</f>
        <v>Chinese</v>
      </c>
      <c r="E1594" t="s">
        <v>4303</v>
      </c>
      <c r="F1594">
        <v>27</v>
      </c>
      <c r="G1594" s="1">
        <v>41354</v>
      </c>
      <c r="H1594">
        <v>245</v>
      </c>
      <c r="I1594" t="s">
        <v>3365</v>
      </c>
      <c r="J1594">
        <v>990</v>
      </c>
      <c r="K1594">
        <v>7</v>
      </c>
      <c r="L1594">
        <v>0</v>
      </c>
      <c r="M1594">
        <v>0</v>
      </c>
      <c r="N1594" t="s">
        <v>90</v>
      </c>
      <c r="O1594">
        <v>2013</v>
      </c>
      <c r="P1594" t="s">
        <v>18</v>
      </c>
    </row>
    <row r="1595" spans="1:16" x14ac:dyDescent="0.3">
      <c r="A1595">
        <v>484</v>
      </c>
      <c r="B1595" t="s">
        <v>1443</v>
      </c>
      <c r="C1595" t="s">
        <v>1510</v>
      </c>
      <c r="D1595" t="str">
        <f>VLOOKUP(YouTube_University_Data_Final[[#This Row],[Title]],[1]!YouTube_University_Data_Final[[Title]:[Title_language]],2,FALSE)</f>
        <v>English</v>
      </c>
      <c r="E1595" t="s">
        <v>470</v>
      </c>
      <c r="F1595">
        <v>27</v>
      </c>
      <c r="G1595" s="1">
        <v>41354</v>
      </c>
      <c r="H1595">
        <v>405</v>
      </c>
      <c r="I1595" t="s">
        <v>3365</v>
      </c>
      <c r="J1595">
        <v>72</v>
      </c>
      <c r="K1595">
        <v>0</v>
      </c>
      <c r="L1595">
        <v>0</v>
      </c>
      <c r="M1595">
        <v>0</v>
      </c>
      <c r="N1595" t="s">
        <v>90</v>
      </c>
      <c r="O1595">
        <v>2013</v>
      </c>
      <c r="P1595" t="s">
        <v>18</v>
      </c>
    </row>
    <row r="1596" spans="1:16" x14ac:dyDescent="0.3">
      <c r="A1596">
        <v>485</v>
      </c>
      <c r="B1596" t="s">
        <v>1443</v>
      </c>
      <c r="C1596" t="s">
        <v>1511</v>
      </c>
      <c r="D1596" t="str">
        <f>VLOOKUP(YouTube_University_Data_Final[[#This Row],[Title]],[1]!YouTube_University_Data_Final[[Title]:[Title_language]],2,FALSE)</f>
        <v>English</v>
      </c>
      <c r="E1596" t="s">
        <v>1512</v>
      </c>
      <c r="F1596">
        <v>27</v>
      </c>
      <c r="G1596" s="1">
        <v>41354</v>
      </c>
      <c r="H1596">
        <v>191</v>
      </c>
      <c r="I1596" t="s">
        <v>3365</v>
      </c>
      <c r="J1596">
        <v>146</v>
      </c>
      <c r="K1596">
        <v>0</v>
      </c>
      <c r="L1596">
        <v>0</v>
      </c>
      <c r="M1596">
        <v>0</v>
      </c>
      <c r="N1596" t="s">
        <v>90</v>
      </c>
      <c r="O1596">
        <v>2013</v>
      </c>
      <c r="P1596" t="s">
        <v>18</v>
      </c>
    </row>
    <row r="1597" spans="1:16" x14ac:dyDescent="0.3">
      <c r="A1597">
        <v>486</v>
      </c>
      <c r="B1597" t="s">
        <v>1443</v>
      </c>
      <c r="C1597" t="s">
        <v>1513</v>
      </c>
      <c r="D1597" t="str">
        <f>VLOOKUP(YouTube_University_Data_Final[[#This Row],[Title]],[1]!YouTube_University_Data_Final[[Title]:[Title_language]],2,FALSE)</f>
        <v>English</v>
      </c>
      <c r="E1597" t="s">
        <v>2944</v>
      </c>
      <c r="F1597">
        <v>27</v>
      </c>
      <c r="G1597" s="1">
        <v>41348</v>
      </c>
      <c r="H1597">
        <v>310</v>
      </c>
      <c r="I1597" t="s">
        <v>3365</v>
      </c>
      <c r="J1597">
        <v>44</v>
      </c>
      <c r="K1597">
        <v>0</v>
      </c>
      <c r="L1597">
        <v>0</v>
      </c>
      <c r="M1597">
        <v>0</v>
      </c>
      <c r="N1597" t="s">
        <v>90</v>
      </c>
      <c r="O1597">
        <v>2013</v>
      </c>
      <c r="P1597" t="s">
        <v>18</v>
      </c>
    </row>
    <row r="1598" spans="1:16" x14ac:dyDescent="0.3">
      <c r="A1598">
        <v>487</v>
      </c>
      <c r="B1598" t="s">
        <v>1443</v>
      </c>
      <c r="C1598" t="s">
        <v>4304</v>
      </c>
      <c r="D1598" t="str">
        <f>VLOOKUP(YouTube_University_Data_Final[[#This Row],[Title]],[1]!YouTube_University_Data_Final[[Title]:[Title_language]],2,FALSE)</f>
        <v>Chinese</v>
      </c>
      <c r="E1598" t="s">
        <v>4305</v>
      </c>
      <c r="F1598">
        <v>27</v>
      </c>
      <c r="G1598" s="1">
        <v>41348</v>
      </c>
      <c r="H1598">
        <v>426</v>
      </c>
      <c r="I1598" t="s">
        <v>3365</v>
      </c>
      <c r="J1598">
        <v>1115</v>
      </c>
      <c r="K1598">
        <v>8</v>
      </c>
      <c r="L1598">
        <v>0</v>
      </c>
      <c r="M1598">
        <v>0</v>
      </c>
      <c r="N1598" t="s">
        <v>90</v>
      </c>
      <c r="O1598">
        <v>2013</v>
      </c>
      <c r="P1598" t="s">
        <v>18</v>
      </c>
    </row>
    <row r="1599" spans="1:16" x14ac:dyDescent="0.3">
      <c r="A1599">
        <v>488</v>
      </c>
      <c r="B1599" t="s">
        <v>1443</v>
      </c>
      <c r="C1599" t="s">
        <v>1514</v>
      </c>
      <c r="D1599" t="str">
        <f>VLOOKUP(YouTube_University_Data_Final[[#This Row],[Title]],[1]!YouTube_University_Data_Final[[Title]:[Title_language]],2,FALSE)</f>
        <v>English</v>
      </c>
      <c r="E1599" t="s">
        <v>1515</v>
      </c>
      <c r="F1599">
        <v>27</v>
      </c>
      <c r="G1599" s="1">
        <v>41348</v>
      </c>
      <c r="H1599">
        <v>350</v>
      </c>
      <c r="I1599" t="s">
        <v>3365</v>
      </c>
      <c r="J1599">
        <v>12958</v>
      </c>
      <c r="K1599">
        <v>55</v>
      </c>
      <c r="L1599">
        <v>0</v>
      </c>
      <c r="M1599">
        <v>0</v>
      </c>
      <c r="N1599" t="s">
        <v>90</v>
      </c>
      <c r="O1599">
        <v>2013</v>
      </c>
      <c r="P1599" t="s">
        <v>18</v>
      </c>
    </row>
    <row r="1600" spans="1:16" x14ac:dyDescent="0.3">
      <c r="A1600">
        <v>489</v>
      </c>
      <c r="B1600" t="s">
        <v>1443</v>
      </c>
      <c r="C1600" t="s">
        <v>1516</v>
      </c>
      <c r="D1600" t="str">
        <f>VLOOKUP(YouTube_University_Data_Final[[#This Row],[Title]],[1]!YouTube_University_Data_Final[[Title]:[Title_language]],2,FALSE)</f>
        <v>English</v>
      </c>
      <c r="E1600" t="s">
        <v>470</v>
      </c>
      <c r="F1600">
        <v>27</v>
      </c>
      <c r="G1600" s="1">
        <v>41339</v>
      </c>
      <c r="H1600">
        <v>306</v>
      </c>
      <c r="I1600" t="s">
        <v>3365</v>
      </c>
      <c r="J1600">
        <v>107</v>
      </c>
      <c r="K1600">
        <v>0</v>
      </c>
      <c r="L1600">
        <v>0</v>
      </c>
      <c r="M1600">
        <v>0</v>
      </c>
      <c r="N1600" t="s">
        <v>90</v>
      </c>
      <c r="O1600">
        <v>2013</v>
      </c>
      <c r="P1600" t="s">
        <v>18</v>
      </c>
    </row>
    <row r="1601" spans="1:16" x14ac:dyDescent="0.3">
      <c r="A1601">
        <v>490</v>
      </c>
      <c r="B1601" t="s">
        <v>1443</v>
      </c>
      <c r="C1601" t="s">
        <v>4306</v>
      </c>
      <c r="D1601" t="str">
        <f>VLOOKUP(YouTube_University_Data_Final[[#This Row],[Title]],[1]!YouTube_University_Data_Final[[Title]:[Title_language]],2,FALSE)</f>
        <v>Bilingual</v>
      </c>
      <c r="E1601" t="s">
        <v>470</v>
      </c>
      <c r="F1601">
        <v>27</v>
      </c>
      <c r="G1601" s="1">
        <v>41339</v>
      </c>
      <c r="H1601">
        <v>259</v>
      </c>
      <c r="I1601" t="s">
        <v>4307</v>
      </c>
      <c r="J1601">
        <v>416</v>
      </c>
      <c r="K1601">
        <v>1</v>
      </c>
      <c r="L1601">
        <v>0</v>
      </c>
      <c r="M1601">
        <v>0</v>
      </c>
      <c r="N1601" t="s">
        <v>90</v>
      </c>
      <c r="O1601">
        <v>2013</v>
      </c>
      <c r="P1601" t="s">
        <v>18</v>
      </c>
    </row>
    <row r="1602" spans="1:16" x14ac:dyDescent="0.3">
      <c r="A1602">
        <v>491</v>
      </c>
      <c r="B1602" t="s">
        <v>1443</v>
      </c>
      <c r="C1602" t="s">
        <v>1517</v>
      </c>
      <c r="D1602" t="str">
        <f>VLOOKUP(YouTube_University_Data_Final[[#This Row],[Title]],[1]!YouTube_University_Data_Final[[Title]:[Title_language]],2,FALSE)</f>
        <v>English</v>
      </c>
      <c r="E1602" t="s">
        <v>1518</v>
      </c>
      <c r="F1602">
        <v>27</v>
      </c>
      <c r="G1602" s="1">
        <v>41320</v>
      </c>
      <c r="H1602">
        <v>459</v>
      </c>
      <c r="I1602" t="s">
        <v>4308</v>
      </c>
      <c r="J1602">
        <v>306</v>
      </c>
      <c r="K1602">
        <v>1</v>
      </c>
      <c r="L1602">
        <v>0</v>
      </c>
      <c r="M1602">
        <v>0</v>
      </c>
      <c r="N1602" t="s">
        <v>162</v>
      </c>
      <c r="O1602">
        <v>2013</v>
      </c>
      <c r="P1602" t="s">
        <v>18</v>
      </c>
    </row>
    <row r="1603" spans="1:16" x14ac:dyDescent="0.3">
      <c r="A1603">
        <v>492</v>
      </c>
      <c r="B1603" t="s">
        <v>1443</v>
      </c>
      <c r="C1603" t="s">
        <v>4309</v>
      </c>
      <c r="D1603" t="str">
        <f>VLOOKUP(YouTube_University_Data_Final[[#This Row],[Title]],[1]!YouTube_University_Data_Final[[Title]:[Title_language]],2,FALSE)</f>
        <v>English</v>
      </c>
      <c r="E1603" t="s">
        <v>1519</v>
      </c>
      <c r="F1603">
        <v>27</v>
      </c>
      <c r="G1603" s="1">
        <v>41320</v>
      </c>
      <c r="H1603">
        <v>426</v>
      </c>
      <c r="I1603" t="s">
        <v>4310</v>
      </c>
      <c r="J1603">
        <v>567</v>
      </c>
      <c r="K1603">
        <v>2</v>
      </c>
      <c r="L1603">
        <v>0</v>
      </c>
      <c r="M1603">
        <v>0</v>
      </c>
      <c r="N1603" t="s">
        <v>162</v>
      </c>
      <c r="O1603">
        <v>2013</v>
      </c>
      <c r="P1603" t="s">
        <v>18</v>
      </c>
    </row>
    <row r="1604" spans="1:16" x14ac:dyDescent="0.3">
      <c r="A1604">
        <v>493</v>
      </c>
      <c r="B1604" t="s">
        <v>1443</v>
      </c>
      <c r="C1604" t="s">
        <v>1520</v>
      </c>
      <c r="D1604" t="str">
        <f>VLOOKUP(YouTube_University_Data_Final[[#This Row],[Title]],[1]!YouTube_University_Data_Final[[Title]:[Title_language]],2,FALSE)</f>
        <v>English</v>
      </c>
      <c r="E1604" t="s">
        <v>2944</v>
      </c>
      <c r="F1604">
        <v>27</v>
      </c>
      <c r="G1604" s="1">
        <v>41271</v>
      </c>
      <c r="H1604">
        <v>348</v>
      </c>
      <c r="I1604" t="s">
        <v>3365</v>
      </c>
      <c r="J1604">
        <v>141</v>
      </c>
      <c r="K1604">
        <v>0</v>
      </c>
      <c r="L1604">
        <v>0</v>
      </c>
      <c r="M1604">
        <v>0</v>
      </c>
      <c r="N1604" t="s">
        <v>98</v>
      </c>
      <c r="O1604">
        <v>2012</v>
      </c>
      <c r="P1604" t="s">
        <v>18</v>
      </c>
    </row>
    <row r="1605" spans="1:16" x14ac:dyDescent="0.3">
      <c r="A1605">
        <v>494</v>
      </c>
      <c r="B1605" t="s">
        <v>1443</v>
      </c>
      <c r="C1605" t="s">
        <v>1521</v>
      </c>
      <c r="D1605" t="str">
        <f>VLOOKUP(YouTube_University_Data_Final[[#This Row],[Title]],[1]!YouTube_University_Data_Final[[Title]:[Title_language]],2,FALSE)</f>
        <v>English</v>
      </c>
      <c r="E1605" t="s">
        <v>1522</v>
      </c>
      <c r="F1605">
        <v>27</v>
      </c>
      <c r="G1605" s="1">
        <v>41271</v>
      </c>
      <c r="H1605">
        <v>921</v>
      </c>
      <c r="I1605" t="s">
        <v>3365</v>
      </c>
      <c r="J1605">
        <v>378</v>
      </c>
      <c r="K1605">
        <v>0</v>
      </c>
      <c r="L1605">
        <v>0</v>
      </c>
      <c r="M1605">
        <v>0</v>
      </c>
      <c r="N1605" t="s">
        <v>98</v>
      </c>
      <c r="O1605">
        <v>2012</v>
      </c>
      <c r="P1605" t="s">
        <v>18</v>
      </c>
    </row>
    <row r="1606" spans="1:16" x14ac:dyDescent="0.3">
      <c r="A1606">
        <v>495</v>
      </c>
      <c r="B1606" t="s">
        <v>1443</v>
      </c>
      <c r="C1606" t="s">
        <v>1523</v>
      </c>
      <c r="D1606" t="str">
        <f>VLOOKUP(YouTube_University_Data_Final[[#This Row],[Title]],[1]!YouTube_University_Data_Final[[Title]:[Title_language]],2,FALSE)</f>
        <v>English</v>
      </c>
      <c r="E1606" t="s">
        <v>1524</v>
      </c>
      <c r="F1606">
        <v>27</v>
      </c>
      <c r="G1606" s="1">
        <v>41271</v>
      </c>
      <c r="H1606">
        <v>393</v>
      </c>
      <c r="I1606" t="s">
        <v>3365</v>
      </c>
      <c r="J1606">
        <v>147</v>
      </c>
      <c r="K1606">
        <v>0</v>
      </c>
      <c r="L1606">
        <v>0</v>
      </c>
      <c r="M1606">
        <v>0</v>
      </c>
      <c r="N1606" t="s">
        <v>98</v>
      </c>
      <c r="O1606">
        <v>2012</v>
      </c>
      <c r="P1606" t="s">
        <v>18</v>
      </c>
    </row>
    <row r="1607" spans="1:16" x14ac:dyDescent="0.3">
      <c r="A1607">
        <v>496</v>
      </c>
      <c r="B1607" t="s">
        <v>1443</v>
      </c>
      <c r="C1607" t="s">
        <v>1525</v>
      </c>
      <c r="D1607" t="str">
        <f>VLOOKUP(YouTube_University_Data_Final[[#This Row],[Title]],[1]!YouTube_University_Data_Final[[Title]:[Title_language]],2,FALSE)</f>
        <v>English</v>
      </c>
      <c r="E1607" t="s">
        <v>2944</v>
      </c>
      <c r="F1607">
        <v>27</v>
      </c>
      <c r="G1607" s="1">
        <v>41243</v>
      </c>
      <c r="H1607">
        <v>445</v>
      </c>
      <c r="I1607" t="s">
        <v>4311</v>
      </c>
      <c r="J1607">
        <v>4467</v>
      </c>
      <c r="K1607">
        <v>37</v>
      </c>
      <c r="L1607">
        <v>0</v>
      </c>
      <c r="M1607">
        <v>0</v>
      </c>
      <c r="N1607" t="s">
        <v>101</v>
      </c>
      <c r="O1607">
        <v>2012</v>
      </c>
      <c r="P1607" t="s">
        <v>18</v>
      </c>
    </row>
    <row r="1608" spans="1:16" x14ac:dyDescent="0.3">
      <c r="A1608">
        <v>497</v>
      </c>
      <c r="B1608" t="s">
        <v>1443</v>
      </c>
      <c r="C1608" t="s">
        <v>4312</v>
      </c>
      <c r="D1608" t="str">
        <f>VLOOKUP(YouTube_University_Data_Final[[#This Row],[Title]],[1]!YouTube_University_Data_Final[[Title]:[Title_language]],2,FALSE)</f>
        <v>Chinese</v>
      </c>
      <c r="E1608" t="s">
        <v>4313</v>
      </c>
      <c r="F1608">
        <v>27</v>
      </c>
      <c r="G1608" s="1">
        <v>41242</v>
      </c>
      <c r="H1608">
        <v>269</v>
      </c>
      <c r="I1608" t="s">
        <v>3365</v>
      </c>
      <c r="J1608">
        <v>1219</v>
      </c>
      <c r="K1608">
        <v>4</v>
      </c>
      <c r="L1608">
        <v>0</v>
      </c>
      <c r="M1608">
        <v>0</v>
      </c>
      <c r="N1608" t="s">
        <v>101</v>
      </c>
      <c r="O1608">
        <v>2012</v>
      </c>
      <c r="P1608" t="s">
        <v>18</v>
      </c>
    </row>
    <row r="1609" spans="1:16" x14ac:dyDescent="0.3">
      <c r="A1609">
        <v>498</v>
      </c>
      <c r="B1609" t="s">
        <v>1443</v>
      </c>
      <c r="C1609" t="s">
        <v>1526</v>
      </c>
      <c r="D1609" t="str">
        <f>VLOOKUP(YouTube_University_Data_Final[[#This Row],[Title]],[1]!YouTube_University_Data_Final[[Title]:[Title_language]],2,FALSE)</f>
        <v>English</v>
      </c>
      <c r="E1609" t="s">
        <v>1527</v>
      </c>
      <c r="F1609">
        <v>27</v>
      </c>
      <c r="G1609" s="1">
        <v>41239</v>
      </c>
      <c r="H1609">
        <v>384</v>
      </c>
      <c r="I1609" t="s">
        <v>4314</v>
      </c>
      <c r="J1609">
        <v>2496</v>
      </c>
      <c r="K1609">
        <v>14</v>
      </c>
      <c r="L1609">
        <v>0</v>
      </c>
      <c r="M1609">
        <v>0</v>
      </c>
      <c r="N1609" t="s">
        <v>101</v>
      </c>
      <c r="O1609">
        <v>2012</v>
      </c>
      <c r="P1609" t="s">
        <v>18</v>
      </c>
    </row>
    <row r="1610" spans="1:16" x14ac:dyDescent="0.3">
      <c r="A1610">
        <v>499</v>
      </c>
      <c r="B1610" t="s">
        <v>1443</v>
      </c>
      <c r="C1610" t="s">
        <v>1528</v>
      </c>
      <c r="D1610" t="str">
        <f>VLOOKUP(YouTube_University_Data_Final[[#This Row],[Title]],[1]!YouTube_University_Data_Final[[Title]:[Title_language]],2,FALSE)</f>
        <v>English</v>
      </c>
      <c r="E1610" t="s">
        <v>1529</v>
      </c>
      <c r="F1610">
        <v>27</v>
      </c>
      <c r="G1610" s="1">
        <v>41236</v>
      </c>
      <c r="H1610">
        <v>596</v>
      </c>
      <c r="I1610" t="s">
        <v>3365</v>
      </c>
      <c r="J1610">
        <v>1547</v>
      </c>
      <c r="K1610">
        <v>3</v>
      </c>
      <c r="L1610">
        <v>0</v>
      </c>
      <c r="M1610">
        <v>0</v>
      </c>
      <c r="N1610" t="s">
        <v>101</v>
      </c>
      <c r="O1610">
        <v>2012</v>
      </c>
      <c r="P1610" t="s">
        <v>18</v>
      </c>
    </row>
    <row r="1611" spans="1:16" x14ac:dyDescent="0.3">
      <c r="A1611">
        <v>500</v>
      </c>
      <c r="B1611" t="s">
        <v>1443</v>
      </c>
      <c r="C1611" t="s">
        <v>4315</v>
      </c>
      <c r="D1611" t="str">
        <f>VLOOKUP(YouTube_University_Data_Final[[#This Row],[Title]],[1]!YouTube_University_Data_Final[[Title]:[Title_language]],2,FALSE)</f>
        <v>Chinese</v>
      </c>
      <c r="E1611" t="s">
        <v>4316</v>
      </c>
      <c r="F1611">
        <v>27</v>
      </c>
      <c r="G1611" s="1">
        <v>41236</v>
      </c>
      <c r="H1611">
        <v>600</v>
      </c>
      <c r="I1611" t="s">
        <v>3365</v>
      </c>
      <c r="J1611">
        <v>628</v>
      </c>
      <c r="K1611">
        <v>0</v>
      </c>
      <c r="L1611">
        <v>0</v>
      </c>
      <c r="M1611">
        <v>0</v>
      </c>
      <c r="N1611" t="s">
        <v>101</v>
      </c>
      <c r="O1611">
        <v>2012</v>
      </c>
      <c r="P1611" t="s">
        <v>18</v>
      </c>
    </row>
    <row r="1612" spans="1:16" x14ac:dyDescent="0.3">
      <c r="A1612">
        <v>501</v>
      </c>
      <c r="B1612" t="s">
        <v>1443</v>
      </c>
      <c r="C1612" t="s">
        <v>4317</v>
      </c>
      <c r="D1612" t="str">
        <f>VLOOKUP(YouTube_University_Data_Final[[#This Row],[Title]],[1]!YouTube_University_Data_Final[[Title]:[Title_language]],2,FALSE)</f>
        <v>Chinese</v>
      </c>
      <c r="E1612" t="s">
        <v>2944</v>
      </c>
      <c r="F1612">
        <v>27</v>
      </c>
      <c r="G1612" s="1">
        <v>41234</v>
      </c>
      <c r="H1612">
        <v>251</v>
      </c>
      <c r="I1612" t="s">
        <v>4318</v>
      </c>
      <c r="J1612">
        <v>112</v>
      </c>
      <c r="K1612">
        <v>0</v>
      </c>
      <c r="L1612">
        <v>0</v>
      </c>
      <c r="M1612">
        <v>0</v>
      </c>
      <c r="N1612" t="s">
        <v>101</v>
      </c>
      <c r="O1612">
        <v>2012</v>
      </c>
      <c r="P1612" t="s">
        <v>18</v>
      </c>
    </row>
    <row r="1613" spans="1:16" x14ac:dyDescent="0.3">
      <c r="A1613">
        <v>502</v>
      </c>
      <c r="B1613" t="s">
        <v>1443</v>
      </c>
      <c r="C1613" t="s">
        <v>4319</v>
      </c>
      <c r="D1613" t="str">
        <f>VLOOKUP(YouTube_University_Data_Final[[#This Row],[Title]],[1]!YouTube_University_Data_Final[[Title]:[Title_language]],2,FALSE)</f>
        <v>Chinese</v>
      </c>
      <c r="E1613" t="s">
        <v>2944</v>
      </c>
      <c r="F1613">
        <v>27</v>
      </c>
      <c r="G1613" s="1">
        <v>41234</v>
      </c>
      <c r="H1613">
        <v>326</v>
      </c>
      <c r="I1613" t="s">
        <v>3365</v>
      </c>
      <c r="J1613">
        <v>392</v>
      </c>
      <c r="K1613">
        <v>3</v>
      </c>
      <c r="L1613">
        <v>0</v>
      </c>
      <c r="M1613">
        <v>0</v>
      </c>
      <c r="N1613" t="s">
        <v>101</v>
      </c>
      <c r="O1613">
        <v>2012</v>
      </c>
      <c r="P1613" t="s">
        <v>18</v>
      </c>
    </row>
    <row r="1614" spans="1:16" x14ac:dyDescent="0.3">
      <c r="A1614">
        <v>503</v>
      </c>
      <c r="B1614" t="s">
        <v>1443</v>
      </c>
      <c r="C1614" t="s">
        <v>4320</v>
      </c>
      <c r="D1614" t="str">
        <f>VLOOKUP(YouTube_University_Data_Final[[#This Row],[Title]],[1]!YouTube_University_Data_Final[[Title]:[Title_language]],2,FALSE)</f>
        <v>Chinese</v>
      </c>
      <c r="E1614" t="s">
        <v>4321</v>
      </c>
      <c r="F1614">
        <v>27</v>
      </c>
      <c r="G1614" s="1">
        <v>41207</v>
      </c>
      <c r="H1614">
        <v>66</v>
      </c>
      <c r="I1614" t="s">
        <v>4322</v>
      </c>
      <c r="J1614">
        <v>1291</v>
      </c>
      <c r="K1614">
        <v>4</v>
      </c>
      <c r="L1614">
        <v>0</v>
      </c>
      <c r="M1614">
        <v>0</v>
      </c>
      <c r="N1614" t="s">
        <v>17</v>
      </c>
      <c r="O1614">
        <v>2012</v>
      </c>
      <c r="P1614" t="s">
        <v>18</v>
      </c>
    </row>
    <row r="1615" spans="1:16" x14ac:dyDescent="0.3">
      <c r="A1615">
        <v>504</v>
      </c>
      <c r="B1615" t="s">
        <v>1443</v>
      </c>
      <c r="C1615" t="s">
        <v>1530</v>
      </c>
      <c r="D1615" t="str">
        <f>VLOOKUP(YouTube_University_Data_Final[[#This Row],[Title]],[1]!YouTube_University_Data_Final[[Title]:[Title_language]],2,FALSE)</f>
        <v>English</v>
      </c>
      <c r="E1615" t="s">
        <v>2944</v>
      </c>
      <c r="F1615">
        <v>27</v>
      </c>
      <c r="G1615" s="1">
        <v>41201</v>
      </c>
      <c r="H1615">
        <v>302</v>
      </c>
      <c r="I1615" t="s">
        <v>2944</v>
      </c>
      <c r="J1615">
        <v>5855</v>
      </c>
      <c r="K1615">
        <v>24</v>
      </c>
      <c r="L1615">
        <v>0</v>
      </c>
      <c r="M1615">
        <v>0</v>
      </c>
      <c r="N1615" t="s">
        <v>17</v>
      </c>
      <c r="O1615">
        <v>2012</v>
      </c>
      <c r="P1615" t="s">
        <v>18</v>
      </c>
    </row>
    <row r="1616" spans="1:16" x14ac:dyDescent="0.3">
      <c r="A1616">
        <v>505</v>
      </c>
      <c r="B1616" t="s">
        <v>1443</v>
      </c>
      <c r="C1616" t="s">
        <v>4323</v>
      </c>
      <c r="D1616" t="str">
        <f>VLOOKUP(YouTube_University_Data_Final[[#This Row],[Title]],[1]!YouTube_University_Data_Final[[Title]:[Title_language]],2,FALSE)</f>
        <v>Chinese</v>
      </c>
      <c r="E1616" t="s">
        <v>2944</v>
      </c>
      <c r="F1616">
        <v>27</v>
      </c>
      <c r="G1616" s="1">
        <v>41201</v>
      </c>
      <c r="H1616">
        <v>566</v>
      </c>
      <c r="I1616" t="s">
        <v>1531</v>
      </c>
      <c r="J1616">
        <v>601</v>
      </c>
      <c r="K1616">
        <v>3</v>
      </c>
      <c r="L1616">
        <v>0</v>
      </c>
      <c r="M1616">
        <v>0</v>
      </c>
      <c r="N1616" t="s">
        <v>17</v>
      </c>
      <c r="O1616">
        <v>2012</v>
      </c>
      <c r="P1616" t="s">
        <v>18</v>
      </c>
    </row>
    <row r="1617" spans="1:16" x14ac:dyDescent="0.3">
      <c r="A1617">
        <v>506</v>
      </c>
      <c r="B1617" t="s">
        <v>1443</v>
      </c>
      <c r="C1617" t="s">
        <v>1532</v>
      </c>
      <c r="D1617" t="str">
        <f>VLOOKUP(YouTube_University_Data_Final[[#This Row],[Title]],[1]!YouTube_University_Data_Final[[Title]:[Title_language]],2,FALSE)</f>
        <v>English</v>
      </c>
      <c r="E1617" t="s">
        <v>1533</v>
      </c>
      <c r="F1617">
        <v>19</v>
      </c>
      <c r="G1617" s="1">
        <v>41201</v>
      </c>
      <c r="H1617">
        <v>311</v>
      </c>
      <c r="I1617" t="s">
        <v>2944</v>
      </c>
      <c r="J1617">
        <v>539</v>
      </c>
      <c r="K1617">
        <v>1</v>
      </c>
      <c r="L1617">
        <v>0</v>
      </c>
      <c r="M1617">
        <v>0</v>
      </c>
      <c r="N1617" t="s">
        <v>17</v>
      </c>
      <c r="O1617">
        <v>2012</v>
      </c>
      <c r="P1617" t="s">
        <v>1534</v>
      </c>
    </row>
    <row r="1618" spans="1:16" x14ac:dyDescent="0.3">
      <c r="A1618">
        <v>507</v>
      </c>
      <c r="B1618" t="s">
        <v>1443</v>
      </c>
      <c r="C1618" t="s">
        <v>4324</v>
      </c>
      <c r="D1618" t="str">
        <f>VLOOKUP(YouTube_University_Data_Final[[#This Row],[Title]],[1]!YouTube_University_Data_Final[[Title]:[Title_language]],2,FALSE)</f>
        <v>Chinese</v>
      </c>
      <c r="E1618" t="s">
        <v>4325</v>
      </c>
      <c r="F1618">
        <v>27</v>
      </c>
      <c r="G1618" s="1">
        <v>41201</v>
      </c>
      <c r="H1618">
        <v>451</v>
      </c>
      <c r="I1618" t="s">
        <v>1535</v>
      </c>
      <c r="J1618">
        <v>335</v>
      </c>
      <c r="K1618">
        <v>2</v>
      </c>
      <c r="L1618">
        <v>0</v>
      </c>
      <c r="M1618">
        <v>0</v>
      </c>
      <c r="N1618" t="s">
        <v>17</v>
      </c>
      <c r="O1618">
        <v>2012</v>
      </c>
      <c r="P1618" t="s">
        <v>18</v>
      </c>
    </row>
    <row r="1619" spans="1:16" x14ac:dyDescent="0.3">
      <c r="A1619">
        <v>508</v>
      </c>
      <c r="B1619" t="s">
        <v>1443</v>
      </c>
      <c r="C1619" t="s">
        <v>1536</v>
      </c>
      <c r="D1619" t="str">
        <f>VLOOKUP(YouTube_University_Data_Final[[#This Row],[Title]],[1]!YouTube_University_Data_Final[[Title]:[Title_language]],2,FALSE)</f>
        <v>English</v>
      </c>
      <c r="E1619" t="s">
        <v>2944</v>
      </c>
      <c r="F1619">
        <v>27</v>
      </c>
      <c r="G1619" s="1">
        <v>41201</v>
      </c>
      <c r="H1619">
        <v>393</v>
      </c>
      <c r="I1619" t="s">
        <v>1537</v>
      </c>
      <c r="J1619">
        <v>167</v>
      </c>
      <c r="K1619">
        <v>0</v>
      </c>
      <c r="L1619">
        <v>0</v>
      </c>
      <c r="M1619">
        <v>0</v>
      </c>
      <c r="N1619" t="s">
        <v>17</v>
      </c>
      <c r="O1619">
        <v>2012</v>
      </c>
      <c r="P1619" t="s">
        <v>18</v>
      </c>
    </row>
    <row r="1620" spans="1:16" x14ac:dyDescent="0.3">
      <c r="A1620">
        <v>509</v>
      </c>
      <c r="B1620" t="s">
        <v>1443</v>
      </c>
      <c r="C1620" t="s">
        <v>1538</v>
      </c>
      <c r="D1620" t="str">
        <f>VLOOKUP(YouTube_University_Data_Final[[#This Row],[Title]],[1]!YouTube_University_Data_Final[[Title]:[Title_language]],2,FALSE)</f>
        <v>English</v>
      </c>
      <c r="E1620" t="s">
        <v>1539</v>
      </c>
      <c r="F1620">
        <v>27</v>
      </c>
      <c r="G1620" s="1">
        <v>41201</v>
      </c>
      <c r="H1620">
        <v>461</v>
      </c>
      <c r="I1620" t="s">
        <v>1540</v>
      </c>
      <c r="J1620">
        <v>321</v>
      </c>
      <c r="K1620">
        <v>2</v>
      </c>
      <c r="L1620">
        <v>0</v>
      </c>
      <c r="M1620">
        <v>0</v>
      </c>
      <c r="N1620" t="s">
        <v>17</v>
      </c>
      <c r="O1620">
        <v>2012</v>
      </c>
      <c r="P1620" t="s">
        <v>18</v>
      </c>
    </row>
    <row r="1621" spans="1:16" x14ac:dyDescent="0.3">
      <c r="A1621">
        <v>510</v>
      </c>
      <c r="B1621" t="s">
        <v>1443</v>
      </c>
      <c r="C1621" t="s">
        <v>4326</v>
      </c>
      <c r="D1621" t="str">
        <f>VLOOKUP(YouTube_University_Data_Final[[#This Row],[Title]],[1]!YouTube_University_Data_Final[[Title]:[Title_language]],2,FALSE)</f>
        <v>Chinese</v>
      </c>
      <c r="E1621" t="s">
        <v>2944</v>
      </c>
      <c r="F1621">
        <v>27</v>
      </c>
      <c r="G1621" s="1">
        <v>41201</v>
      </c>
      <c r="H1621">
        <v>502</v>
      </c>
      <c r="I1621" t="s">
        <v>1541</v>
      </c>
      <c r="J1621">
        <v>45</v>
      </c>
      <c r="K1621">
        <v>0</v>
      </c>
      <c r="L1621">
        <v>0</v>
      </c>
      <c r="M1621">
        <v>0</v>
      </c>
      <c r="N1621" t="s">
        <v>17</v>
      </c>
      <c r="O1621">
        <v>2012</v>
      </c>
      <c r="P1621" t="s">
        <v>18</v>
      </c>
    </row>
    <row r="1622" spans="1:16" x14ac:dyDescent="0.3">
      <c r="A1622">
        <v>511</v>
      </c>
      <c r="B1622" t="s">
        <v>1443</v>
      </c>
      <c r="C1622" t="s">
        <v>1542</v>
      </c>
      <c r="D1622" t="str">
        <f>VLOOKUP(YouTube_University_Data_Final[[#This Row],[Title]],[1]!YouTube_University_Data_Final[[Title]:[Title_language]],2,FALSE)</f>
        <v>English</v>
      </c>
      <c r="E1622" t="s">
        <v>2944</v>
      </c>
      <c r="F1622">
        <v>27</v>
      </c>
      <c r="G1622" s="1">
        <v>41201</v>
      </c>
      <c r="H1622">
        <v>256</v>
      </c>
      <c r="I1622" t="s">
        <v>2944</v>
      </c>
      <c r="J1622">
        <v>773</v>
      </c>
      <c r="K1622">
        <v>0</v>
      </c>
      <c r="L1622">
        <v>0</v>
      </c>
      <c r="M1622">
        <v>0</v>
      </c>
      <c r="N1622" t="s">
        <v>17</v>
      </c>
      <c r="O1622">
        <v>2012</v>
      </c>
      <c r="P1622" t="s">
        <v>18</v>
      </c>
    </row>
    <row r="1623" spans="1:16" x14ac:dyDescent="0.3">
      <c r="A1623">
        <v>512</v>
      </c>
      <c r="B1623" t="s">
        <v>1443</v>
      </c>
      <c r="C1623" t="s">
        <v>1543</v>
      </c>
      <c r="D1623" t="str">
        <f>VLOOKUP(YouTube_University_Data_Final[[#This Row],[Title]],[1]!YouTube_University_Data_Final[[Title]:[Title_language]],2,FALSE)</f>
        <v>English</v>
      </c>
      <c r="E1623" t="s">
        <v>1544</v>
      </c>
      <c r="F1623">
        <v>27</v>
      </c>
      <c r="G1623" s="1">
        <v>41201</v>
      </c>
      <c r="H1623">
        <v>274</v>
      </c>
      <c r="I1623" t="s">
        <v>2944</v>
      </c>
      <c r="J1623">
        <v>113</v>
      </c>
      <c r="K1623">
        <v>1</v>
      </c>
      <c r="L1623">
        <v>0</v>
      </c>
      <c r="M1623">
        <v>0</v>
      </c>
      <c r="N1623" t="s">
        <v>17</v>
      </c>
      <c r="O1623">
        <v>2012</v>
      </c>
      <c r="P1623" t="s">
        <v>18</v>
      </c>
    </row>
    <row r="1624" spans="1:16" x14ac:dyDescent="0.3">
      <c r="A1624">
        <v>513</v>
      </c>
      <c r="B1624" t="s">
        <v>1443</v>
      </c>
      <c r="C1624" t="s">
        <v>4327</v>
      </c>
      <c r="D1624" t="str">
        <f>VLOOKUP(YouTube_University_Data_Final[[#This Row],[Title]],[1]!YouTube_University_Data_Final[[Title]:[Title_language]],2,FALSE)</f>
        <v>Chinese</v>
      </c>
      <c r="E1624" t="s">
        <v>4328</v>
      </c>
      <c r="F1624">
        <v>27</v>
      </c>
      <c r="G1624" s="1">
        <v>41201</v>
      </c>
      <c r="H1624">
        <v>114</v>
      </c>
      <c r="I1624" t="s">
        <v>2944</v>
      </c>
      <c r="J1624">
        <v>833</v>
      </c>
      <c r="K1624">
        <v>2</v>
      </c>
      <c r="L1624">
        <v>0</v>
      </c>
      <c r="M1624">
        <v>0</v>
      </c>
      <c r="N1624" t="s">
        <v>17</v>
      </c>
      <c r="O1624">
        <v>2012</v>
      </c>
      <c r="P1624" t="s">
        <v>18</v>
      </c>
    </row>
    <row r="1625" spans="1:16" x14ac:dyDescent="0.3">
      <c r="A1625">
        <v>514</v>
      </c>
      <c r="B1625" t="s">
        <v>1443</v>
      </c>
      <c r="C1625" t="s">
        <v>1545</v>
      </c>
      <c r="D1625" t="str">
        <f>VLOOKUP(YouTube_University_Data_Final[[#This Row],[Title]],[1]!YouTube_University_Data_Final[[Title]:[Title_language]],2,FALSE)</f>
        <v>English</v>
      </c>
      <c r="E1625" t="s">
        <v>2944</v>
      </c>
      <c r="F1625">
        <v>27</v>
      </c>
      <c r="G1625" s="1">
        <v>41201</v>
      </c>
      <c r="H1625">
        <v>551</v>
      </c>
      <c r="I1625" t="s">
        <v>2944</v>
      </c>
      <c r="J1625">
        <v>104</v>
      </c>
      <c r="K1625">
        <v>1</v>
      </c>
      <c r="L1625">
        <v>0</v>
      </c>
      <c r="M1625">
        <v>0</v>
      </c>
      <c r="N1625" t="s">
        <v>17</v>
      </c>
      <c r="O1625">
        <v>2012</v>
      </c>
      <c r="P1625" t="s">
        <v>18</v>
      </c>
    </row>
    <row r="1626" spans="1:16" x14ac:dyDescent="0.3">
      <c r="A1626">
        <v>515</v>
      </c>
      <c r="B1626" t="s">
        <v>1443</v>
      </c>
      <c r="C1626" t="s">
        <v>1546</v>
      </c>
      <c r="D1626" t="str">
        <f>VLOOKUP(YouTube_University_Data_Final[[#This Row],[Title]],[1]!YouTube_University_Data_Final[[Title]:[Title_language]],2,FALSE)</f>
        <v>English</v>
      </c>
      <c r="E1626" t="s">
        <v>1547</v>
      </c>
      <c r="F1626">
        <v>27</v>
      </c>
      <c r="G1626" s="1">
        <v>41201</v>
      </c>
      <c r="H1626">
        <v>181</v>
      </c>
      <c r="I1626" t="s">
        <v>2944</v>
      </c>
      <c r="J1626">
        <v>98</v>
      </c>
      <c r="K1626">
        <v>0</v>
      </c>
      <c r="L1626">
        <v>0</v>
      </c>
      <c r="M1626">
        <v>0</v>
      </c>
      <c r="N1626" t="s">
        <v>17</v>
      </c>
      <c r="O1626">
        <v>2012</v>
      </c>
      <c r="P1626" t="s">
        <v>18</v>
      </c>
    </row>
    <row r="1627" spans="1:16" x14ac:dyDescent="0.3">
      <c r="A1627">
        <v>516</v>
      </c>
      <c r="B1627" t="s">
        <v>1443</v>
      </c>
      <c r="C1627" t="s">
        <v>4329</v>
      </c>
      <c r="D1627" t="str">
        <f>VLOOKUP(YouTube_University_Data_Final[[#This Row],[Title]],[1]!YouTube_University_Data_Final[[Title]:[Title_language]],2,FALSE)</f>
        <v>Chinese</v>
      </c>
      <c r="E1627" t="s">
        <v>2944</v>
      </c>
      <c r="F1627">
        <v>27</v>
      </c>
      <c r="G1627" s="1">
        <v>41201</v>
      </c>
      <c r="H1627">
        <v>210</v>
      </c>
      <c r="I1627" t="s">
        <v>2944</v>
      </c>
      <c r="J1627">
        <v>133</v>
      </c>
      <c r="K1627">
        <v>0</v>
      </c>
      <c r="L1627">
        <v>0</v>
      </c>
      <c r="M1627">
        <v>0</v>
      </c>
      <c r="N1627" t="s">
        <v>17</v>
      </c>
      <c r="O1627">
        <v>2012</v>
      </c>
      <c r="P1627" t="s">
        <v>18</v>
      </c>
    </row>
    <row r="1628" spans="1:16" x14ac:dyDescent="0.3">
      <c r="A1628">
        <v>517</v>
      </c>
      <c r="B1628" t="s">
        <v>1443</v>
      </c>
      <c r="C1628" t="s">
        <v>1548</v>
      </c>
      <c r="D1628" t="str">
        <f>VLOOKUP(YouTube_University_Data_Final[[#This Row],[Title]],[1]!YouTube_University_Data_Final[[Title]:[Title_language]],2,FALSE)</f>
        <v>English</v>
      </c>
      <c r="E1628" t="s">
        <v>1549</v>
      </c>
      <c r="F1628">
        <v>27</v>
      </c>
      <c r="G1628" s="1">
        <v>41201</v>
      </c>
      <c r="H1628">
        <v>406</v>
      </c>
      <c r="I1628" t="s">
        <v>2944</v>
      </c>
      <c r="J1628">
        <v>297</v>
      </c>
      <c r="K1628">
        <v>1</v>
      </c>
      <c r="L1628">
        <v>0</v>
      </c>
      <c r="M1628">
        <v>0</v>
      </c>
      <c r="N1628" t="s">
        <v>17</v>
      </c>
      <c r="O1628">
        <v>2012</v>
      </c>
      <c r="P1628" t="s">
        <v>18</v>
      </c>
    </row>
    <row r="1629" spans="1:16" x14ac:dyDescent="0.3">
      <c r="A1629">
        <v>518</v>
      </c>
      <c r="B1629" t="s">
        <v>1443</v>
      </c>
      <c r="C1629" t="s">
        <v>1513</v>
      </c>
      <c r="D1629" t="str">
        <f>VLOOKUP(YouTube_University_Data_Final[[#This Row],[Title]],[1]!YouTube_University_Data_Final[[Title]:[Title_language]],2,FALSE)</f>
        <v>English</v>
      </c>
      <c r="E1629" t="s">
        <v>2944</v>
      </c>
      <c r="F1629">
        <v>27</v>
      </c>
      <c r="G1629" s="1">
        <v>41201</v>
      </c>
      <c r="H1629">
        <v>586</v>
      </c>
      <c r="I1629" t="s">
        <v>2944</v>
      </c>
      <c r="J1629">
        <v>98</v>
      </c>
      <c r="K1629">
        <v>0</v>
      </c>
      <c r="L1629">
        <v>0</v>
      </c>
      <c r="M1629">
        <v>0</v>
      </c>
      <c r="N1629" t="s">
        <v>17</v>
      </c>
      <c r="O1629">
        <v>2012</v>
      </c>
      <c r="P1629" t="s">
        <v>18</v>
      </c>
    </row>
    <row r="1630" spans="1:16" x14ac:dyDescent="0.3">
      <c r="A1630">
        <v>519</v>
      </c>
      <c r="B1630" t="s">
        <v>1443</v>
      </c>
      <c r="C1630" t="s">
        <v>4330</v>
      </c>
      <c r="D1630" t="str">
        <f>VLOOKUP(YouTube_University_Data_Final[[#This Row],[Title]],[1]!YouTube_University_Data_Final[[Title]:[Title_language]],2,FALSE)</f>
        <v>Chinese</v>
      </c>
      <c r="E1630" t="s">
        <v>2944</v>
      </c>
      <c r="F1630">
        <v>27</v>
      </c>
      <c r="G1630" s="1">
        <v>41201</v>
      </c>
      <c r="H1630">
        <v>213</v>
      </c>
      <c r="I1630" t="s">
        <v>2944</v>
      </c>
      <c r="J1630">
        <v>225</v>
      </c>
      <c r="K1630">
        <v>0</v>
      </c>
      <c r="L1630">
        <v>0</v>
      </c>
      <c r="M1630">
        <v>0</v>
      </c>
      <c r="N1630" t="s">
        <v>17</v>
      </c>
      <c r="O1630">
        <v>2012</v>
      </c>
      <c r="P1630" t="s">
        <v>18</v>
      </c>
    </row>
    <row r="1631" spans="1:16" x14ac:dyDescent="0.3">
      <c r="A1631">
        <v>520</v>
      </c>
      <c r="B1631" t="s">
        <v>1443</v>
      </c>
      <c r="C1631" t="s">
        <v>4331</v>
      </c>
      <c r="D1631" t="str">
        <f>VLOOKUP(YouTube_University_Data_Final[[#This Row],[Title]],[1]!YouTube_University_Data_Final[[Title]:[Title_language]],2,FALSE)</f>
        <v>Chinese</v>
      </c>
      <c r="E1631" t="s">
        <v>2944</v>
      </c>
      <c r="F1631">
        <v>27</v>
      </c>
      <c r="G1631" s="1">
        <v>41201</v>
      </c>
      <c r="H1631">
        <v>275</v>
      </c>
      <c r="I1631" t="s">
        <v>2944</v>
      </c>
      <c r="J1631">
        <v>241</v>
      </c>
      <c r="K1631">
        <v>0</v>
      </c>
      <c r="L1631">
        <v>0</v>
      </c>
      <c r="M1631">
        <v>0</v>
      </c>
      <c r="N1631" t="s">
        <v>17</v>
      </c>
      <c r="O1631">
        <v>2012</v>
      </c>
      <c r="P1631" t="s">
        <v>18</v>
      </c>
    </row>
    <row r="1632" spans="1:16" x14ac:dyDescent="0.3">
      <c r="A1632">
        <v>521</v>
      </c>
      <c r="B1632" t="s">
        <v>1443</v>
      </c>
      <c r="C1632" t="s">
        <v>4332</v>
      </c>
      <c r="D1632" t="str">
        <f>VLOOKUP(YouTube_University_Data_Final[[#This Row],[Title]],[1]!YouTube_University_Data_Final[[Title]:[Title_language]],2,FALSE)</f>
        <v>Chinese</v>
      </c>
      <c r="E1632" t="s">
        <v>4333</v>
      </c>
      <c r="F1632">
        <v>27</v>
      </c>
      <c r="G1632" s="1">
        <v>41201</v>
      </c>
      <c r="H1632">
        <v>300</v>
      </c>
      <c r="I1632" t="s">
        <v>2944</v>
      </c>
      <c r="J1632">
        <v>225</v>
      </c>
      <c r="K1632">
        <v>0</v>
      </c>
      <c r="L1632">
        <v>0</v>
      </c>
      <c r="M1632">
        <v>0</v>
      </c>
      <c r="N1632" t="s">
        <v>17</v>
      </c>
      <c r="O1632">
        <v>2012</v>
      </c>
      <c r="P1632" t="s">
        <v>18</v>
      </c>
    </row>
    <row r="1633" spans="1:16" x14ac:dyDescent="0.3">
      <c r="A1633">
        <v>522</v>
      </c>
      <c r="B1633" t="s">
        <v>1443</v>
      </c>
      <c r="C1633" t="s">
        <v>4334</v>
      </c>
      <c r="D1633" t="str">
        <f>VLOOKUP(YouTube_University_Data_Final[[#This Row],[Title]],[1]!YouTube_University_Data_Final[[Title]:[Title_language]],2,FALSE)</f>
        <v>Chinese</v>
      </c>
      <c r="E1633" t="s">
        <v>2944</v>
      </c>
      <c r="F1633">
        <v>27</v>
      </c>
      <c r="G1633" s="1">
        <v>41201</v>
      </c>
      <c r="H1633">
        <v>444</v>
      </c>
      <c r="I1633" t="s">
        <v>2944</v>
      </c>
      <c r="J1633">
        <v>1721</v>
      </c>
      <c r="K1633">
        <v>6</v>
      </c>
      <c r="L1633">
        <v>0</v>
      </c>
      <c r="M1633">
        <v>0</v>
      </c>
      <c r="N1633" t="s">
        <v>17</v>
      </c>
      <c r="O1633">
        <v>2012</v>
      </c>
      <c r="P1633" t="s">
        <v>18</v>
      </c>
    </row>
    <row r="1634" spans="1:16" x14ac:dyDescent="0.3">
      <c r="A1634">
        <v>523</v>
      </c>
      <c r="B1634" t="s">
        <v>1443</v>
      </c>
      <c r="C1634" t="s">
        <v>4335</v>
      </c>
      <c r="D1634" t="str">
        <f>VLOOKUP(YouTube_University_Data_Final[[#This Row],[Title]],[1]!YouTube_University_Data_Final[[Title]:[Title_language]],2,FALSE)</f>
        <v>Chinese</v>
      </c>
      <c r="E1634" t="s">
        <v>4336</v>
      </c>
      <c r="F1634">
        <v>27</v>
      </c>
      <c r="G1634" s="1">
        <v>41201</v>
      </c>
      <c r="H1634">
        <v>310</v>
      </c>
      <c r="I1634" t="s">
        <v>1550</v>
      </c>
      <c r="J1634">
        <v>909</v>
      </c>
      <c r="K1634">
        <v>5</v>
      </c>
      <c r="L1634">
        <v>0</v>
      </c>
      <c r="M1634">
        <v>0</v>
      </c>
      <c r="N1634" t="s">
        <v>17</v>
      </c>
      <c r="O1634">
        <v>2012</v>
      </c>
      <c r="P1634" t="s">
        <v>18</v>
      </c>
    </row>
    <row r="1635" spans="1:16" x14ac:dyDescent="0.3">
      <c r="A1635">
        <v>524</v>
      </c>
      <c r="B1635" t="s">
        <v>1443</v>
      </c>
      <c r="C1635" t="s">
        <v>4337</v>
      </c>
      <c r="D1635" t="str">
        <f>VLOOKUP(YouTube_University_Data_Final[[#This Row],[Title]],[1]!YouTube_University_Data_Final[[Title]:[Title_language]],2,FALSE)</f>
        <v>Bilingual</v>
      </c>
      <c r="E1635" t="s">
        <v>4338</v>
      </c>
      <c r="F1635">
        <v>27</v>
      </c>
      <c r="G1635" s="1">
        <v>41201</v>
      </c>
      <c r="H1635">
        <v>614</v>
      </c>
      <c r="I1635" t="s">
        <v>2944</v>
      </c>
      <c r="J1635">
        <v>214</v>
      </c>
      <c r="K1635">
        <v>1</v>
      </c>
      <c r="L1635">
        <v>0</v>
      </c>
      <c r="M1635">
        <v>0</v>
      </c>
      <c r="N1635" t="s">
        <v>17</v>
      </c>
      <c r="O1635">
        <v>2012</v>
      </c>
      <c r="P1635" t="s">
        <v>18</v>
      </c>
    </row>
    <row r="1636" spans="1:16" x14ac:dyDescent="0.3">
      <c r="A1636">
        <v>525</v>
      </c>
      <c r="B1636" t="s">
        <v>1443</v>
      </c>
      <c r="C1636" t="s">
        <v>1551</v>
      </c>
      <c r="D1636" t="str">
        <f>VLOOKUP(YouTube_University_Data_Final[[#This Row],[Title]],[1]!YouTube_University_Data_Final[[Title]:[Title_language]],2,FALSE)</f>
        <v>English</v>
      </c>
      <c r="E1636" t="s">
        <v>1552</v>
      </c>
      <c r="F1636">
        <v>27</v>
      </c>
      <c r="G1636" s="1">
        <v>41201</v>
      </c>
      <c r="H1636">
        <v>10</v>
      </c>
      <c r="I1636" t="s">
        <v>1553</v>
      </c>
      <c r="J1636">
        <v>420</v>
      </c>
      <c r="K1636">
        <v>4</v>
      </c>
      <c r="L1636">
        <v>0</v>
      </c>
      <c r="M1636">
        <v>0</v>
      </c>
      <c r="N1636" t="s">
        <v>17</v>
      </c>
      <c r="O1636">
        <v>2012</v>
      </c>
      <c r="P1636" t="s">
        <v>18</v>
      </c>
    </row>
    <row r="1637" spans="1:16" x14ac:dyDescent="0.3">
      <c r="A1637">
        <v>526</v>
      </c>
      <c r="B1637" t="s">
        <v>1443</v>
      </c>
      <c r="C1637" t="s">
        <v>4339</v>
      </c>
      <c r="D1637" t="str">
        <f>VLOOKUP(YouTube_University_Data_Final[[#This Row],[Title]],[1]!YouTube_University_Data_Final[[Title]:[Title_language]],2,FALSE)</f>
        <v>Bilingual</v>
      </c>
      <c r="E1637" t="s">
        <v>4340</v>
      </c>
      <c r="F1637">
        <v>27</v>
      </c>
      <c r="G1637" s="1">
        <v>41201</v>
      </c>
      <c r="H1637">
        <v>226</v>
      </c>
      <c r="I1637" t="s">
        <v>2944</v>
      </c>
      <c r="J1637">
        <v>175</v>
      </c>
      <c r="K1637">
        <v>1</v>
      </c>
      <c r="L1637">
        <v>0</v>
      </c>
      <c r="M1637">
        <v>0</v>
      </c>
      <c r="N1637" t="s">
        <v>17</v>
      </c>
      <c r="O1637">
        <v>2012</v>
      </c>
      <c r="P1637" t="s">
        <v>18</v>
      </c>
    </row>
    <row r="1638" spans="1:16" x14ac:dyDescent="0.3">
      <c r="A1638">
        <v>527</v>
      </c>
      <c r="B1638" t="s">
        <v>1443</v>
      </c>
      <c r="C1638" t="s">
        <v>4341</v>
      </c>
      <c r="D1638" t="str">
        <f>VLOOKUP(YouTube_University_Data_Final[[#This Row],[Title]],[1]!YouTube_University_Data_Final[[Title]:[Title_language]],2,FALSE)</f>
        <v>Chinese</v>
      </c>
      <c r="E1638" t="s">
        <v>4342</v>
      </c>
      <c r="F1638">
        <v>27</v>
      </c>
      <c r="G1638" s="1">
        <v>41201</v>
      </c>
      <c r="H1638">
        <v>614</v>
      </c>
      <c r="I1638" t="s">
        <v>1554</v>
      </c>
      <c r="J1638">
        <v>788</v>
      </c>
      <c r="K1638">
        <v>7</v>
      </c>
      <c r="L1638">
        <v>0</v>
      </c>
      <c r="M1638">
        <v>0</v>
      </c>
      <c r="N1638" t="s">
        <v>17</v>
      </c>
      <c r="O1638">
        <v>2012</v>
      </c>
      <c r="P1638" t="s">
        <v>18</v>
      </c>
    </row>
    <row r="1639" spans="1:16" x14ac:dyDescent="0.3">
      <c r="A1639">
        <v>528</v>
      </c>
      <c r="B1639" t="s">
        <v>1443</v>
      </c>
      <c r="C1639" t="s">
        <v>4343</v>
      </c>
      <c r="D1639" t="str">
        <f>VLOOKUP(YouTube_University_Data_Final[[#This Row],[Title]],[1]!YouTube_University_Data_Final[[Title]:[Title_language]],2,FALSE)</f>
        <v>English</v>
      </c>
      <c r="E1639" t="s">
        <v>4344</v>
      </c>
      <c r="F1639">
        <v>27</v>
      </c>
      <c r="G1639" s="1">
        <v>41201</v>
      </c>
      <c r="H1639">
        <v>309</v>
      </c>
      <c r="I1639" t="s">
        <v>2944</v>
      </c>
      <c r="J1639">
        <v>3880</v>
      </c>
      <c r="K1639">
        <v>17</v>
      </c>
      <c r="L1639">
        <v>0</v>
      </c>
      <c r="M1639">
        <v>0</v>
      </c>
      <c r="N1639" t="s">
        <v>17</v>
      </c>
      <c r="O1639">
        <v>2012</v>
      </c>
      <c r="P1639" t="s">
        <v>18</v>
      </c>
    </row>
    <row r="1640" spans="1:16" x14ac:dyDescent="0.3">
      <c r="A1640">
        <v>529</v>
      </c>
      <c r="B1640" t="s">
        <v>1443</v>
      </c>
      <c r="C1640" t="s">
        <v>4345</v>
      </c>
      <c r="D1640" t="str">
        <f>VLOOKUP(YouTube_University_Data_Final[[#This Row],[Title]],[1]!YouTube_University_Data_Final[[Title]:[Title_language]],2,FALSE)</f>
        <v>Chinese</v>
      </c>
      <c r="E1640" t="s">
        <v>4346</v>
      </c>
      <c r="F1640">
        <v>24</v>
      </c>
      <c r="G1640" s="1">
        <v>41170</v>
      </c>
      <c r="H1640">
        <v>198</v>
      </c>
      <c r="I1640" t="s">
        <v>4347</v>
      </c>
      <c r="J1640">
        <v>3955</v>
      </c>
      <c r="K1640">
        <v>23</v>
      </c>
      <c r="L1640">
        <v>0</v>
      </c>
      <c r="M1640">
        <v>0</v>
      </c>
      <c r="N1640" t="s">
        <v>21</v>
      </c>
      <c r="O1640">
        <v>2012</v>
      </c>
      <c r="P1640" t="s">
        <v>1555</v>
      </c>
    </row>
    <row r="1641" spans="1:16" x14ac:dyDescent="0.3">
      <c r="A1641">
        <v>530</v>
      </c>
      <c r="B1641" t="s">
        <v>1443</v>
      </c>
      <c r="C1641" t="s">
        <v>4348</v>
      </c>
      <c r="D1641" t="str">
        <f>VLOOKUP(YouTube_University_Data_Final[[#This Row],[Title]],[1]!YouTube_University_Data_Final[[Title]:[Title_language]],2,FALSE)</f>
        <v>Chinese</v>
      </c>
      <c r="E1641" t="s">
        <v>4349</v>
      </c>
      <c r="F1641">
        <v>27</v>
      </c>
      <c r="G1641" s="1">
        <v>41170</v>
      </c>
      <c r="H1641">
        <v>193</v>
      </c>
      <c r="I1641" t="s">
        <v>4350</v>
      </c>
      <c r="J1641">
        <v>8006</v>
      </c>
      <c r="K1641">
        <v>30</v>
      </c>
      <c r="L1641">
        <v>0</v>
      </c>
      <c r="M1641">
        <v>0</v>
      </c>
      <c r="N1641" t="s">
        <v>21</v>
      </c>
      <c r="O1641">
        <v>2012</v>
      </c>
      <c r="P1641" t="s">
        <v>18</v>
      </c>
    </row>
    <row r="1642" spans="1:16" x14ac:dyDescent="0.3">
      <c r="A1642">
        <v>0</v>
      </c>
      <c r="B1642" t="s">
        <v>1556</v>
      </c>
      <c r="C1642" t="s">
        <v>4351</v>
      </c>
      <c r="D1642" t="str">
        <f>VLOOKUP(YouTube_University_Data_Final[[#This Row],[Title]],[1]!YouTube_University_Data_Final[[Title]:[Title_language]],2,FALSE)</f>
        <v>Bilingual</v>
      </c>
      <c r="E1642" t="s">
        <v>4352</v>
      </c>
      <c r="F1642">
        <v>27</v>
      </c>
      <c r="G1642" s="1">
        <v>44839</v>
      </c>
      <c r="H1642">
        <v>153</v>
      </c>
      <c r="I1642" t="s">
        <v>4353</v>
      </c>
      <c r="J1642">
        <v>91</v>
      </c>
      <c r="K1642">
        <v>5</v>
      </c>
      <c r="L1642">
        <v>0</v>
      </c>
      <c r="M1642">
        <v>0</v>
      </c>
      <c r="N1642" t="s">
        <v>17</v>
      </c>
      <c r="O1642">
        <v>2022</v>
      </c>
      <c r="P1642" t="s">
        <v>18</v>
      </c>
    </row>
    <row r="1643" spans="1:16" x14ac:dyDescent="0.3">
      <c r="A1643">
        <v>1</v>
      </c>
      <c r="B1643" t="s">
        <v>1556</v>
      </c>
      <c r="C1643" t="s">
        <v>4354</v>
      </c>
      <c r="D1643" t="str">
        <f>VLOOKUP(YouTube_University_Data_Final[[#This Row],[Title]],[1]!YouTube_University_Data_Final[[Title]:[Title_language]],2,FALSE)</f>
        <v>Bilingual</v>
      </c>
      <c r="E1643" t="s">
        <v>4355</v>
      </c>
      <c r="F1643">
        <v>27</v>
      </c>
      <c r="G1643" s="1">
        <v>44834</v>
      </c>
      <c r="H1643">
        <v>1324</v>
      </c>
      <c r="I1643" t="s">
        <v>4356</v>
      </c>
      <c r="J1643">
        <v>8719</v>
      </c>
      <c r="K1643">
        <v>13</v>
      </c>
      <c r="L1643">
        <v>0</v>
      </c>
      <c r="M1643">
        <v>0</v>
      </c>
      <c r="N1643" t="s">
        <v>21</v>
      </c>
      <c r="O1643">
        <v>2022</v>
      </c>
      <c r="P1643" t="s">
        <v>18</v>
      </c>
    </row>
    <row r="1644" spans="1:16" x14ac:dyDescent="0.3">
      <c r="A1644">
        <v>2</v>
      </c>
      <c r="B1644" t="s">
        <v>1556</v>
      </c>
      <c r="C1644" t="s">
        <v>4357</v>
      </c>
      <c r="D1644" t="str">
        <f>VLOOKUP(YouTube_University_Data_Final[[#This Row],[Title]],[1]!YouTube_University_Data_Final[[Title]:[Title_language]],2,FALSE)</f>
        <v>Bilingual</v>
      </c>
      <c r="E1644" t="s">
        <v>4358</v>
      </c>
      <c r="F1644">
        <v>27</v>
      </c>
      <c r="G1644" s="1">
        <v>44833</v>
      </c>
      <c r="H1644">
        <v>58</v>
      </c>
      <c r="I1644" t="s">
        <v>4356</v>
      </c>
      <c r="J1644">
        <v>660</v>
      </c>
      <c r="K1644">
        <v>6</v>
      </c>
      <c r="L1644">
        <v>0</v>
      </c>
      <c r="M1644">
        <v>0</v>
      </c>
      <c r="N1644" t="s">
        <v>21</v>
      </c>
      <c r="O1644">
        <v>2022</v>
      </c>
      <c r="P1644" t="s">
        <v>18</v>
      </c>
    </row>
    <row r="1645" spans="1:16" x14ac:dyDescent="0.3">
      <c r="A1645">
        <v>3</v>
      </c>
      <c r="B1645" t="s">
        <v>1556</v>
      </c>
      <c r="C1645" t="s">
        <v>4359</v>
      </c>
      <c r="D1645" t="str">
        <f>VLOOKUP(YouTube_University_Data_Final[[#This Row],[Title]],[1]!YouTube_University_Data_Final[[Title]:[Title_language]],2,FALSE)</f>
        <v>Bilingual</v>
      </c>
      <c r="E1645" t="s">
        <v>4360</v>
      </c>
      <c r="F1645">
        <v>27</v>
      </c>
      <c r="G1645" s="1">
        <v>44827</v>
      </c>
      <c r="H1645">
        <v>1321</v>
      </c>
      <c r="I1645" t="s">
        <v>4356</v>
      </c>
      <c r="J1645">
        <v>19912</v>
      </c>
      <c r="K1645">
        <v>1</v>
      </c>
      <c r="L1645">
        <v>0</v>
      </c>
      <c r="M1645">
        <v>0</v>
      </c>
      <c r="N1645" t="s">
        <v>21</v>
      </c>
      <c r="O1645">
        <v>2022</v>
      </c>
      <c r="P1645" t="s">
        <v>18</v>
      </c>
    </row>
    <row r="1646" spans="1:16" x14ac:dyDescent="0.3">
      <c r="A1646">
        <v>4</v>
      </c>
      <c r="B1646" t="s">
        <v>1556</v>
      </c>
      <c r="C1646" t="s">
        <v>4361</v>
      </c>
      <c r="D1646" t="str">
        <f>VLOOKUP(YouTube_University_Data_Final[[#This Row],[Title]],[1]!YouTube_University_Data_Final[[Title]:[Title_language]],2,FALSE)</f>
        <v>Bilingual</v>
      </c>
      <c r="E1646" t="s">
        <v>4362</v>
      </c>
      <c r="F1646">
        <v>27</v>
      </c>
      <c r="G1646" s="1">
        <v>44826</v>
      </c>
      <c r="H1646">
        <v>55</v>
      </c>
      <c r="I1646" t="s">
        <v>4356</v>
      </c>
      <c r="J1646">
        <v>433</v>
      </c>
      <c r="K1646">
        <v>2</v>
      </c>
      <c r="L1646">
        <v>0</v>
      </c>
      <c r="M1646">
        <v>0</v>
      </c>
      <c r="N1646" t="s">
        <v>21</v>
      </c>
      <c r="O1646">
        <v>2022</v>
      </c>
      <c r="P1646" t="s">
        <v>18</v>
      </c>
    </row>
    <row r="1647" spans="1:16" x14ac:dyDescent="0.3">
      <c r="A1647">
        <v>5</v>
      </c>
      <c r="B1647" t="s">
        <v>1556</v>
      </c>
      <c r="C1647" t="s">
        <v>1557</v>
      </c>
      <c r="D1647" t="str">
        <f>VLOOKUP(YouTube_University_Data_Final[[#This Row],[Title]],[1]!YouTube_University_Data_Final[[Title]:[Title_language]],2,FALSE)</f>
        <v>English</v>
      </c>
      <c r="E1647" t="s">
        <v>2944</v>
      </c>
      <c r="F1647">
        <v>27</v>
      </c>
      <c r="G1647" s="1">
        <v>44820</v>
      </c>
      <c r="H1647">
        <v>167</v>
      </c>
      <c r="I1647" t="s">
        <v>1558</v>
      </c>
      <c r="J1647">
        <v>213</v>
      </c>
      <c r="K1647">
        <v>3</v>
      </c>
      <c r="L1647">
        <v>0</v>
      </c>
      <c r="M1647">
        <v>0</v>
      </c>
      <c r="N1647" t="s">
        <v>21</v>
      </c>
      <c r="O1647">
        <v>2022</v>
      </c>
      <c r="P1647" t="s">
        <v>18</v>
      </c>
    </row>
    <row r="1648" spans="1:16" x14ac:dyDescent="0.3">
      <c r="A1648">
        <v>6</v>
      </c>
      <c r="B1648" t="s">
        <v>1556</v>
      </c>
      <c r="C1648" t="s">
        <v>4363</v>
      </c>
      <c r="D1648" t="str">
        <f>VLOOKUP(YouTube_University_Data_Final[[#This Row],[Title]],[1]!YouTube_University_Data_Final[[Title]:[Title_language]],2,FALSE)</f>
        <v>Bilingual</v>
      </c>
      <c r="E1648" t="s">
        <v>4364</v>
      </c>
      <c r="F1648">
        <v>27</v>
      </c>
      <c r="G1648" s="1">
        <v>44820</v>
      </c>
      <c r="H1648">
        <v>1332</v>
      </c>
      <c r="I1648" t="s">
        <v>4356</v>
      </c>
      <c r="J1648">
        <v>19887</v>
      </c>
      <c r="K1648">
        <v>3</v>
      </c>
      <c r="L1648">
        <v>0</v>
      </c>
      <c r="M1648">
        <v>0</v>
      </c>
      <c r="N1648" t="s">
        <v>21</v>
      </c>
      <c r="O1648">
        <v>2022</v>
      </c>
      <c r="P1648" t="s">
        <v>18</v>
      </c>
    </row>
    <row r="1649" spans="1:16" x14ac:dyDescent="0.3">
      <c r="A1649">
        <v>7</v>
      </c>
      <c r="B1649" t="s">
        <v>1556</v>
      </c>
      <c r="C1649" t="s">
        <v>1559</v>
      </c>
      <c r="D1649" t="str">
        <f>VLOOKUP(YouTube_University_Data_Final[[#This Row],[Title]],[1]!YouTube_University_Data_Final[[Title]:[Title_language]],2,FALSE)</f>
        <v>English</v>
      </c>
      <c r="E1649" t="s">
        <v>4365</v>
      </c>
      <c r="F1649">
        <v>27</v>
      </c>
      <c r="G1649" s="1">
        <v>44819</v>
      </c>
      <c r="H1649">
        <v>139</v>
      </c>
      <c r="I1649" t="s">
        <v>4366</v>
      </c>
      <c r="J1649">
        <v>51905</v>
      </c>
      <c r="K1649">
        <v>3</v>
      </c>
      <c r="L1649">
        <v>0</v>
      </c>
      <c r="M1649">
        <v>0</v>
      </c>
      <c r="N1649" t="s">
        <v>21</v>
      </c>
      <c r="O1649">
        <v>2022</v>
      </c>
      <c r="P1649" t="s">
        <v>18</v>
      </c>
    </row>
    <row r="1650" spans="1:16" x14ac:dyDescent="0.3">
      <c r="A1650">
        <v>8</v>
      </c>
      <c r="B1650" t="s">
        <v>1556</v>
      </c>
      <c r="C1650" t="s">
        <v>4367</v>
      </c>
      <c r="D1650" t="str">
        <f>VLOOKUP(YouTube_University_Data_Final[[#This Row],[Title]],[1]!YouTube_University_Data_Final[[Title]:[Title_language]],2,FALSE)</f>
        <v>Bilingual</v>
      </c>
      <c r="E1650" t="s">
        <v>4364</v>
      </c>
      <c r="F1650">
        <v>27</v>
      </c>
      <c r="G1650" s="1">
        <v>44819</v>
      </c>
      <c r="H1650">
        <v>60</v>
      </c>
      <c r="I1650" t="s">
        <v>4356</v>
      </c>
      <c r="J1650">
        <v>257</v>
      </c>
      <c r="K1650">
        <v>1</v>
      </c>
      <c r="L1650">
        <v>0</v>
      </c>
      <c r="M1650">
        <v>0</v>
      </c>
      <c r="N1650" t="s">
        <v>21</v>
      </c>
      <c r="O1650">
        <v>2022</v>
      </c>
      <c r="P1650" t="s">
        <v>18</v>
      </c>
    </row>
    <row r="1651" spans="1:16" x14ac:dyDescent="0.3">
      <c r="A1651">
        <v>9</v>
      </c>
      <c r="B1651" t="s">
        <v>1556</v>
      </c>
      <c r="C1651" t="s">
        <v>4368</v>
      </c>
      <c r="D1651" t="str">
        <f>VLOOKUP(YouTube_University_Data_Final[[#This Row],[Title]],[1]!YouTube_University_Data_Final[[Title]:[Title_language]],2,FALSE)</f>
        <v>Bilingual</v>
      </c>
      <c r="E1651" t="s">
        <v>4369</v>
      </c>
      <c r="F1651">
        <v>27</v>
      </c>
      <c r="G1651" s="1">
        <v>44813</v>
      </c>
      <c r="H1651">
        <v>1329</v>
      </c>
      <c r="I1651" t="s">
        <v>4356</v>
      </c>
      <c r="J1651">
        <v>20004</v>
      </c>
      <c r="K1651">
        <v>4</v>
      </c>
      <c r="L1651">
        <v>0</v>
      </c>
      <c r="M1651">
        <v>0</v>
      </c>
      <c r="N1651" t="s">
        <v>21</v>
      </c>
      <c r="O1651">
        <v>2022</v>
      </c>
      <c r="P1651" t="s">
        <v>18</v>
      </c>
    </row>
    <row r="1652" spans="1:16" x14ac:dyDescent="0.3">
      <c r="A1652">
        <v>10</v>
      </c>
      <c r="B1652" t="s">
        <v>1556</v>
      </c>
      <c r="C1652" t="s">
        <v>4370</v>
      </c>
      <c r="D1652" t="str">
        <f>VLOOKUP(YouTube_University_Data_Final[[#This Row],[Title]],[1]!YouTube_University_Data_Final[[Title]:[Title_language]],2,FALSE)</f>
        <v>Bilingual</v>
      </c>
      <c r="E1652" t="s">
        <v>4371</v>
      </c>
      <c r="F1652">
        <v>27</v>
      </c>
      <c r="G1652" s="1">
        <v>44812</v>
      </c>
      <c r="H1652">
        <v>49</v>
      </c>
      <c r="I1652" t="s">
        <v>4356</v>
      </c>
      <c r="J1652">
        <v>318</v>
      </c>
      <c r="K1652">
        <v>2</v>
      </c>
      <c r="L1652">
        <v>0</v>
      </c>
      <c r="M1652">
        <v>0</v>
      </c>
      <c r="N1652" t="s">
        <v>21</v>
      </c>
      <c r="O1652">
        <v>2022</v>
      </c>
      <c r="P1652" t="s">
        <v>18</v>
      </c>
    </row>
    <row r="1653" spans="1:16" x14ac:dyDescent="0.3">
      <c r="A1653">
        <v>11</v>
      </c>
      <c r="B1653" t="s">
        <v>1556</v>
      </c>
      <c r="C1653" t="s">
        <v>4372</v>
      </c>
      <c r="D1653" t="str">
        <f>VLOOKUP(YouTube_University_Data_Final[[#This Row],[Title]],[1]!YouTube_University_Data_Final[[Title]:[Title_language]],2,FALSE)</f>
        <v>Bilingual</v>
      </c>
      <c r="E1653" t="s">
        <v>4373</v>
      </c>
      <c r="F1653">
        <v>27</v>
      </c>
      <c r="G1653" s="1">
        <v>44811</v>
      </c>
      <c r="H1653">
        <v>4</v>
      </c>
      <c r="I1653" t="s">
        <v>4374</v>
      </c>
      <c r="J1653">
        <v>773</v>
      </c>
      <c r="K1653">
        <v>7</v>
      </c>
      <c r="L1653">
        <v>0</v>
      </c>
      <c r="M1653">
        <v>0</v>
      </c>
      <c r="N1653" t="s">
        <v>21</v>
      </c>
      <c r="O1653">
        <v>2022</v>
      </c>
      <c r="P1653" t="s">
        <v>18</v>
      </c>
    </row>
    <row r="1654" spans="1:16" x14ac:dyDescent="0.3">
      <c r="A1654">
        <v>12</v>
      </c>
      <c r="B1654" t="s">
        <v>1556</v>
      </c>
      <c r="C1654" t="s">
        <v>4375</v>
      </c>
      <c r="D1654" t="str">
        <f>VLOOKUP(YouTube_University_Data_Final[[#This Row],[Title]],[1]!YouTube_University_Data_Final[[Title]:[Title_language]],2,FALSE)</f>
        <v>English</v>
      </c>
      <c r="E1654" t="s">
        <v>2944</v>
      </c>
      <c r="F1654">
        <v>27</v>
      </c>
      <c r="G1654" s="1">
        <v>44809</v>
      </c>
      <c r="H1654">
        <v>128</v>
      </c>
      <c r="I1654" t="s">
        <v>2944</v>
      </c>
      <c r="J1654">
        <v>317</v>
      </c>
      <c r="K1654">
        <v>7</v>
      </c>
      <c r="L1654">
        <v>0</v>
      </c>
      <c r="M1654">
        <v>0</v>
      </c>
      <c r="N1654" t="s">
        <v>21</v>
      </c>
      <c r="O1654">
        <v>2022</v>
      </c>
      <c r="P1654" t="s">
        <v>18</v>
      </c>
    </row>
    <row r="1655" spans="1:16" x14ac:dyDescent="0.3">
      <c r="A1655">
        <v>13</v>
      </c>
      <c r="B1655" t="s">
        <v>1556</v>
      </c>
      <c r="C1655" t="s">
        <v>1560</v>
      </c>
      <c r="D1655" t="str">
        <f>VLOOKUP(YouTube_University_Data_Final[[#This Row],[Title]],[1]!YouTube_University_Data_Final[[Title]:[Title_language]],2,FALSE)</f>
        <v>English</v>
      </c>
      <c r="E1655" t="s">
        <v>2944</v>
      </c>
      <c r="F1655">
        <v>27</v>
      </c>
      <c r="G1655" s="1">
        <v>44809</v>
      </c>
      <c r="H1655">
        <v>395</v>
      </c>
      <c r="I1655" t="s">
        <v>2944</v>
      </c>
      <c r="J1655">
        <v>380</v>
      </c>
      <c r="K1655">
        <v>5</v>
      </c>
      <c r="L1655">
        <v>0</v>
      </c>
      <c r="M1655">
        <v>0</v>
      </c>
      <c r="N1655" t="s">
        <v>21</v>
      </c>
      <c r="O1655">
        <v>2022</v>
      </c>
      <c r="P1655" t="s">
        <v>18</v>
      </c>
    </row>
    <row r="1656" spans="1:16" x14ac:dyDescent="0.3">
      <c r="A1656">
        <v>14</v>
      </c>
      <c r="B1656" t="s">
        <v>1556</v>
      </c>
      <c r="C1656" t="s">
        <v>4376</v>
      </c>
      <c r="D1656" t="str">
        <f>VLOOKUP(YouTube_University_Data_Final[[#This Row],[Title]],[1]!YouTube_University_Data_Final[[Title]:[Title_language]],2,FALSE)</f>
        <v>Bilingual</v>
      </c>
      <c r="E1656" t="s">
        <v>4377</v>
      </c>
      <c r="F1656">
        <v>27</v>
      </c>
      <c r="G1656" s="1">
        <v>44806</v>
      </c>
      <c r="H1656">
        <v>1320</v>
      </c>
      <c r="I1656" t="s">
        <v>4356</v>
      </c>
      <c r="J1656">
        <v>19345</v>
      </c>
      <c r="K1656">
        <v>5</v>
      </c>
      <c r="L1656">
        <v>0</v>
      </c>
      <c r="M1656">
        <v>0</v>
      </c>
      <c r="N1656" t="s">
        <v>21</v>
      </c>
      <c r="O1656">
        <v>2022</v>
      </c>
      <c r="P1656" t="s">
        <v>18</v>
      </c>
    </row>
    <row r="1657" spans="1:16" x14ac:dyDescent="0.3">
      <c r="A1657">
        <v>15</v>
      </c>
      <c r="B1657" t="s">
        <v>1556</v>
      </c>
      <c r="C1657" t="s">
        <v>4378</v>
      </c>
      <c r="D1657" t="str">
        <f>VLOOKUP(YouTube_University_Data_Final[[#This Row],[Title]],[1]!YouTube_University_Data_Final[[Title]:[Title_language]],2,FALSE)</f>
        <v>Bilingual</v>
      </c>
      <c r="E1657" t="s">
        <v>4379</v>
      </c>
      <c r="F1657">
        <v>27</v>
      </c>
      <c r="G1657" s="1">
        <v>44805</v>
      </c>
      <c r="H1657">
        <v>41</v>
      </c>
      <c r="I1657" t="s">
        <v>4356</v>
      </c>
      <c r="J1657">
        <v>349</v>
      </c>
      <c r="K1657">
        <v>1</v>
      </c>
      <c r="L1657">
        <v>0</v>
      </c>
      <c r="M1657">
        <v>0</v>
      </c>
      <c r="N1657" t="s">
        <v>21</v>
      </c>
      <c r="O1657">
        <v>2022</v>
      </c>
      <c r="P1657" t="s">
        <v>18</v>
      </c>
    </row>
    <row r="1658" spans="1:16" x14ac:dyDescent="0.3">
      <c r="A1658">
        <v>16</v>
      </c>
      <c r="B1658" t="s">
        <v>1556</v>
      </c>
      <c r="C1658" t="s">
        <v>4380</v>
      </c>
      <c r="D1658" t="str">
        <f>VLOOKUP(YouTube_University_Data_Final[[#This Row],[Title]],[1]!YouTube_University_Data_Final[[Title]:[Title_language]],2,FALSE)</f>
        <v>Bilingual</v>
      </c>
      <c r="E1658" t="s">
        <v>4381</v>
      </c>
      <c r="F1658">
        <v>27</v>
      </c>
      <c r="G1658" s="1">
        <v>44799</v>
      </c>
      <c r="H1658">
        <v>1325</v>
      </c>
      <c r="I1658" t="s">
        <v>4356</v>
      </c>
      <c r="J1658">
        <v>606</v>
      </c>
      <c r="K1658">
        <v>9</v>
      </c>
      <c r="L1658">
        <v>0</v>
      </c>
      <c r="M1658">
        <v>0</v>
      </c>
      <c r="N1658" t="s">
        <v>48</v>
      </c>
      <c r="O1658">
        <v>2022</v>
      </c>
      <c r="P1658" t="s">
        <v>18</v>
      </c>
    </row>
    <row r="1659" spans="1:16" x14ac:dyDescent="0.3">
      <c r="A1659">
        <v>17</v>
      </c>
      <c r="B1659" t="s">
        <v>1556</v>
      </c>
      <c r="C1659" t="s">
        <v>4382</v>
      </c>
      <c r="D1659" t="str">
        <f>VLOOKUP(YouTube_University_Data_Final[[#This Row],[Title]],[1]!YouTube_University_Data_Final[[Title]:[Title_language]],2,FALSE)</f>
        <v>Bilingual</v>
      </c>
      <c r="E1659" t="s">
        <v>4381</v>
      </c>
      <c r="F1659">
        <v>27</v>
      </c>
      <c r="G1659" s="1">
        <v>44798</v>
      </c>
      <c r="H1659">
        <v>4</v>
      </c>
      <c r="I1659" t="s">
        <v>4356</v>
      </c>
      <c r="J1659">
        <v>690</v>
      </c>
      <c r="K1659">
        <v>8</v>
      </c>
      <c r="L1659">
        <v>0</v>
      </c>
      <c r="M1659">
        <v>0</v>
      </c>
      <c r="N1659" t="s">
        <v>48</v>
      </c>
      <c r="O1659">
        <v>2022</v>
      </c>
      <c r="P1659" t="s">
        <v>18</v>
      </c>
    </row>
    <row r="1660" spans="1:16" x14ac:dyDescent="0.3">
      <c r="A1660">
        <v>18</v>
      </c>
      <c r="B1660" t="s">
        <v>1556</v>
      </c>
      <c r="C1660" t="s">
        <v>1561</v>
      </c>
      <c r="D1660" t="str">
        <f>VLOOKUP(YouTube_University_Data_Final[[#This Row],[Title]],[1]!YouTube_University_Data_Final[[Title]:[Title_language]],2,FALSE)</f>
        <v>English</v>
      </c>
      <c r="E1660" t="s">
        <v>2944</v>
      </c>
      <c r="F1660">
        <v>27</v>
      </c>
      <c r="G1660" s="1">
        <v>44783</v>
      </c>
      <c r="H1660">
        <v>144</v>
      </c>
      <c r="I1660" t="s">
        <v>2944</v>
      </c>
      <c r="J1660">
        <v>358</v>
      </c>
      <c r="K1660">
        <v>4</v>
      </c>
      <c r="L1660">
        <v>0</v>
      </c>
      <c r="M1660">
        <v>0</v>
      </c>
      <c r="N1660" t="s">
        <v>48</v>
      </c>
      <c r="O1660">
        <v>2022</v>
      </c>
      <c r="P1660" t="s">
        <v>18</v>
      </c>
    </row>
    <row r="1661" spans="1:16" x14ac:dyDescent="0.3">
      <c r="A1661">
        <v>19</v>
      </c>
      <c r="B1661" t="s">
        <v>1556</v>
      </c>
      <c r="C1661" t="s">
        <v>4383</v>
      </c>
      <c r="D1661" t="str">
        <f>VLOOKUP(YouTube_University_Data_Final[[#This Row],[Title]],[1]!YouTube_University_Data_Final[[Title]:[Title_language]],2,FALSE)</f>
        <v>Bilingual</v>
      </c>
      <c r="E1661" t="s">
        <v>4384</v>
      </c>
      <c r="F1661">
        <v>27</v>
      </c>
      <c r="G1661" s="1">
        <v>44771</v>
      </c>
      <c r="H1661">
        <v>1312</v>
      </c>
      <c r="I1661" t="s">
        <v>4356</v>
      </c>
      <c r="J1661">
        <v>14023</v>
      </c>
      <c r="K1661">
        <v>2</v>
      </c>
      <c r="L1661">
        <v>0</v>
      </c>
      <c r="M1661">
        <v>0</v>
      </c>
      <c r="N1661" t="s">
        <v>56</v>
      </c>
      <c r="O1661">
        <v>2022</v>
      </c>
      <c r="P1661" t="s">
        <v>18</v>
      </c>
    </row>
    <row r="1662" spans="1:16" x14ac:dyDescent="0.3">
      <c r="A1662">
        <v>20</v>
      </c>
      <c r="B1662" t="s">
        <v>1556</v>
      </c>
      <c r="C1662" t="s">
        <v>4385</v>
      </c>
      <c r="D1662" t="str">
        <f>VLOOKUP(YouTube_University_Data_Final[[#This Row],[Title]],[1]!YouTube_University_Data_Final[[Title]:[Title_language]],2,FALSE)</f>
        <v>Bilingual</v>
      </c>
      <c r="E1662" t="s">
        <v>4384</v>
      </c>
      <c r="F1662">
        <v>27</v>
      </c>
      <c r="G1662" s="1">
        <v>44770</v>
      </c>
      <c r="H1662">
        <v>53</v>
      </c>
      <c r="I1662" t="s">
        <v>4356</v>
      </c>
      <c r="J1662">
        <v>283</v>
      </c>
      <c r="K1662">
        <v>1</v>
      </c>
      <c r="L1662">
        <v>0</v>
      </c>
      <c r="M1662">
        <v>0</v>
      </c>
      <c r="N1662" t="s">
        <v>56</v>
      </c>
      <c r="O1662">
        <v>2022</v>
      </c>
      <c r="P1662" t="s">
        <v>18</v>
      </c>
    </row>
    <row r="1663" spans="1:16" x14ac:dyDescent="0.3">
      <c r="A1663">
        <v>21</v>
      </c>
      <c r="B1663" t="s">
        <v>1556</v>
      </c>
      <c r="C1663" t="s">
        <v>4386</v>
      </c>
      <c r="D1663" t="str">
        <f>VLOOKUP(YouTube_University_Data_Final[[#This Row],[Title]],[1]!YouTube_University_Data_Final[[Title]:[Title_language]],2,FALSE)</f>
        <v>Bilingual</v>
      </c>
      <c r="E1663" t="s">
        <v>4387</v>
      </c>
      <c r="F1663">
        <v>27</v>
      </c>
      <c r="G1663" s="1">
        <v>44769</v>
      </c>
      <c r="H1663">
        <v>1324</v>
      </c>
      <c r="I1663" t="s">
        <v>4356</v>
      </c>
      <c r="J1663">
        <v>702</v>
      </c>
      <c r="K1663">
        <v>16</v>
      </c>
      <c r="L1663">
        <v>0</v>
      </c>
      <c r="M1663">
        <v>0</v>
      </c>
      <c r="N1663" t="s">
        <v>56</v>
      </c>
      <c r="O1663">
        <v>2022</v>
      </c>
      <c r="P1663" t="s">
        <v>18</v>
      </c>
    </row>
    <row r="1664" spans="1:16" x14ac:dyDescent="0.3">
      <c r="A1664">
        <v>22</v>
      </c>
      <c r="B1664" t="s">
        <v>1556</v>
      </c>
      <c r="C1664" t="s">
        <v>1562</v>
      </c>
      <c r="D1664" t="str">
        <f>VLOOKUP(YouTube_University_Data_Final[[#This Row],[Title]],[1]!YouTube_University_Data_Final[[Title]:[Title_language]],2,FALSE)</f>
        <v>English</v>
      </c>
      <c r="E1664" t="s">
        <v>4388</v>
      </c>
      <c r="F1664">
        <v>27</v>
      </c>
      <c r="G1664" s="1">
        <v>44767</v>
      </c>
      <c r="H1664">
        <v>171</v>
      </c>
      <c r="I1664" t="s">
        <v>4356</v>
      </c>
      <c r="J1664">
        <v>38324</v>
      </c>
      <c r="K1664">
        <v>4</v>
      </c>
      <c r="L1664">
        <v>0</v>
      </c>
      <c r="M1664">
        <v>0</v>
      </c>
      <c r="N1664" t="s">
        <v>56</v>
      </c>
      <c r="O1664">
        <v>2022</v>
      </c>
      <c r="P1664" t="s">
        <v>18</v>
      </c>
    </row>
    <row r="1665" spans="1:16" x14ac:dyDescent="0.3">
      <c r="A1665">
        <v>23</v>
      </c>
      <c r="B1665" t="s">
        <v>1556</v>
      </c>
      <c r="C1665" t="s">
        <v>4389</v>
      </c>
      <c r="D1665" t="str">
        <f>VLOOKUP(YouTube_University_Data_Final[[#This Row],[Title]],[1]!YouTube_University_Data_Final[[Title]:[Title_language]],2,FALSE)</f>
        <v>Bilingual</v>
      </c>
      <c r="E1665" t="s">
        <v>4390</v>
      </c>
      <c r="F1665">
        <v>27</v>
      </c>
      <c r="G1665" s="1">
        <v>44764</v>
      </c>
      <c r="H1665">
        <v>1332</v>
      </c>
      <c r="I1665" t="s">
        <v>4356</v>
      </c>
      <c r="J1665">
        <v>15251</v>
      </c>
      <c r="K1665">
        <v>21</v>
      </c>
      <c r="L1665">
        <v>0</v>
      </c>
      <c r="M1665">
        <v>0</v>
      </c>
      <c r="N1665" t="s">
        <v>56</v>
      </c>
      <c r="O1665">
        <v>2022</v>
      </c>
      <c r="P1665" t="s">
        <v>18</v>
      </c>
    </row>
    <row r="1666" spans="1:16" x14ac:dyDescent="0.3">
      <c r="A1666">
        <v>24</v>
      </c>
      <c r="B1666" t="s">
        <v>1556</v>
      </c>
      <c r="C1666" t="s">
        <v>4391</v>
      </c>
      <c r="D1666" t="str">
        <f>VLOOKUP(YouTube_University_Data_Final[[#This Row],[Title]],[1]!YouTube_University_Data_Final[[Title]:[Title_language]],2,FALSE)</f>
        <v>Bilingual</v>
      </c>
      <c r="E1666" t="s">
        <v>4390</v>
      </c>
      <c r="F1666">
        <v>27</v>
      </c>
      <c r="G1666" s="1">
        <v>44763</v>
      </c>
      <c r="H1666">
        <v>53</v>
      </c>
      <c r="I1666" t="s">
        <v>4356</v>
      </c>
      <c r="J1666">
        <v>528</v>
      </c>
      <c r="K1666">
        <v>4</v>
      </c>
      <c r="L1666">
        <v>0</v>
      </c>
      <c r="M1666">
        <v>0</v>
      </c>
      <c r="N1666" t="s">
        <v>56</v>
      </c>
      <c r="O1666">
        <v>2022</v>
      </c>
      <c r="P1666" t="s">
        <v>18</v>
      </c>
    </row>
    <row r="1667" spans="1:16" x14ac:dyDescent="0.3">
      <c r="A1667">
        <v>25</v>
      </c>
      <c r="B1667" t="s">
        <v>1556</v>
      </c>
      <c r="C1667" t="s">
        <v>4392</v>
      </c>
      <c r="D1667" t="str">
        <f>VLOOKUP(YouTube_University_Data_Final[[#This Row],[Title]],[1]!YouTube_University_Data_Final[[Title]:[Title_language]],2,FALSE)</f>
        <v>Bilingual</v>
      </c>
      <c r="E1667" t="s">
        <v>4393</v>
      </c>
      <c r="F1667">
        <v>27</v>
      </c>
      <c r="G1667" s="1">
        <v>44756</v>
      </c>
      <c r="H1667">
        <v>48</v>
      </c>
      <c r="I1667" t="s">
        <v>4356</v>
      </c>
      <c r="J1667">
        <v>320</v>
      </c>
      <c r="K1667">
        <v>0</v>
      </c>
      <c r="L1667">
        <v>0</v>
      </c>
      <c r="M1667">
        <v>0</v>
      </c>
      <c r="N1667" t="s">
        <v>56</v>
      </c>
      <c r="O1667">
        <v>2022</v>
      </c>
      <c r="P1667" t="s">
        <v>18</v>
      </c>
    </row>
    <row r="1668" spans="1:16" x14ac:dyDescent="0.3">
      <c r="A1668">
        <v>26</v>
      </c>
      <c r="B1668" t="s">
        <v>1556</v>
      </c>
      <c r="C1668" t="s">
        <v>4394</v>
      </c>
      <c r="D1668" t="str">
        <f>VLOOKUP(YouTube_University_Data_Final[[#This Row],[Title]],[1]!YouTube_University_Data_Final[[Title]:[Title_language]],2,FALSE)</f>
        <v>Bilingual</v>
      </c>
      <c r="E1668" t="s">
        <v>4395</v>
      </c>
      <c r="F1668">
        <v>27</v>
      </c>
      <c r="G1668" s="1">
        <v>44750</v>
      </c>
      <c r="H1668">
        <v>1317</v>
      </c>
      <c r="I1668" t="s">
        <v>4356</v>
      </c>
      <c r="J1668">
        <v>14182</v>
      </c>
      <c r="K1668">
        <v>7</v>
      </c>
      <c r="L1668">
        <v>0</v>
      </c>
      <c r="M1668">
        <v>0</v>
      </c>
      <c r="N1668" t="s">
        <v>56</v>
      </c>
      <c r="O1668">
        <v>2022</v>
      </c>
      <c r="P1668" t="s">
        <v>18</v>
      </c>
    </row>
    <row r="1669" spans="1:16" x14ac:dyDescent="0.3">
      <c r="A1669">
        <v>27</v>
      </c>
      <c r="B1669" t="s">
        <v>1556</v>
      </c>
      <c r="C1669" t="s">
        <v>4396</v>
      </c>
      <c r="D1669" t="str">
        <f>VLOOKUP(YouTube_University_Data_Final[[#This Row],[Title]],[1]!YouTube_University_Data_Final[[Title]:[Title_language]],2,FALSE)</f>
        <v>Bilingual</v>
      </c>
      <c r="E1669" t="s">
        <v>4397</v>
      </c>
      <c r="F1669">
        <v>27</v>
      </c>
      <c r="G1669" s="1">
        <v>44749</v>
      </c>
      <c r="H1669">
        <v>48</v>
      </c>
      <c r="I1669" t="s">
        <v>4356</v>
      </c>
      <c r="J1669">
        <v>524</v>
      </c>
      <c r="K1669">
        <v>6</v>
      </c>
      <c r="L1669">
        <v>0</v>
      </c>
      <c r="M1669">
        <v>0</v>
      </c>
      <c r="N1669" t="s">
        <v>56</v>
      </c>
      <c r="O1669">
        <v>2022</v>
      </c>
      <c r="P1669" t="s">
        <v>18</v>
      </c>
    </row>
    <row r="1670" spans="1:16" x14ac:dyDescent="0.3">
      <c r="A1670">
        <v>28</v>
      </c>
      <c r="B1670" t="s">
        <v>1556</v>
      </c>
      <c r="C1670" t="s">
        <v>4398</v>
      </c>
      <c r="D1670" t="str">
        <f>VLOOKUP(YouTube_University_Data_Final[[#This Row],[Title]],[1]!YouTube_University_Data_Final[[Title]:[Title_language]],2,FALSE)</f>
        <v>Bilingual</v>
      </c>
      <c r="E1670" t="s">
        <v>4399</v>
      </c>
      <c r="F1670">
        <v>27</v>
      </c>
      <c r="G1670" s="1">
        <v>44742</v>
      </c>
      <c r="H1670">
        <v>1332</v>
      </c>
      <c r="I1670" t="s">
        <v>4356</v>
      </c>
      <c r="J1670">
        <v>14110</v>
      </c>
      <c r="K1670">
        <v>5</v>
      </c>
      <c r="L1670">
        <v>0</v>
      </c>
      <c r="M1670">
        <v>0</v>
      </c>
      <c r="N1670" t="s">
        <v>78</v>
      </c>
      <c r="O1670">
        <v>2022</v>
      </c>
      <c r="P1670" t="s">
        <v>18</v>
      </c>
    </row>
    <row r="1671" spans="1:16" x14ac:dyDescent="0.3">
      <c r="A1671">
        <v>29</v>
      </c>
      <c r="B1671" t="s">
        <v>1556</v>
      </c>
      <c r="C1671" t="s">
        <v>4400</v>
      </c>
      <c r="D1671" t="str">
        <f>VLOOKUP(YouTube_University_Data_Final[[#This Row],[Title]],[1]!YouTube_University_Data_Final[[Title]:[Title_language]],2,FALSE)</f>
        <v>Bilingual</v>
      </c>
      <c r="E1671" t="s">
        <v>4401</v>
      </c>
      <c r="F1671">
        <v>27</v>
      </c>
      <c r="G1671" s="1">
        <v>44741</v>
      </c>
      <c r="H1671">
        <v>48</v>
      </c>
      <c r="I1671" t="s">
        <v>4356</v>
      </c>
      <c r="J1671">
        <v>421</v>
      </c>
      <c r="K1671">
        <v>4</v>
      </c>
      <c r="L1671">
        <v>0</v>
      </c>
      <c r="M1671">
        <v>0</v>
      </c>
      <c r="N1671" t="s">
        <v>78</v>
      </c>
      <c r="O1671">
        <v>2022</v>
      </c>
      <c r="P1671" t="s">
        <v>18</v>
      </c>
    </row>
    <row r="1672" spans="1:16" x14ac:dyDescent="0.3">
      <c r="A1672">
        <v>30</v>
      </c>
      <c r="B1672" t="s">
        <v>1556</v>
      </c>
      <c r="C1672" t="s">
        <v>4402</v>
      </c>
      <c r="D1672" t="str">
        <f>VLOOKUP(YouTube_University_Data_Final[[#This Row],[Title]],[1]!YouTube_University_Data_Final[[Title]:[Title_language]],2,FALSE)</f>
        <v>Bilingual</v>
      </c>
      <c r="E1672" t="s">
        <v>4403</v>
      </c>
      <c r="F1672">
        <v>27</v>
      </c>
      <c r="G1672" s="1">
        <v>44736</v>
      </c>
      <c r="H1672">
        <v>1331</v>
      </c>
      <c r="I1672" t="s">
        <v>4356</v>
      </c>
      <c r="J1672">
        <v>13655</v>
      </c>
      <c r="K1672">
        <v>2</v>
      </c>
      <c r="L1672">
        <v>0</v>
      </c>
      <c r="M1672">
        <v>0</v>
      </c>
      <c r="N1672" t="s">
        <v>78</v>
      </c>
      <c r="O1672">
        <v>2022</v>
      </c>
      <c r="P1672" t="s">
        <v>18</v>
      </c>
    </row>
    <row r="1673" spans="1:16" x14ac:dyDescent="0.3">
      <c r="A1673">
        <v>31</v>
      </c>
      <c r="B1673" t="s">
        <v>1556</v>
      </c>
      <c r="C1673" t="s">
        <v>4404</v>
      </c>
      <c r="D1673" t="str">
        <f>VLOOKUP(YouTube_University_Data_Final[[#This Row],[Title]],[1]!YouTube_University_Data_Final[[Title]:[Title_language]],2,FALSE)</f>
        <v>Bilingual</v>
      </c>
      <c r="E1673" t="s">
        <v>4403</v>
      </c>
      <c r="F1673">
        <v>27</v>
      </c>
      <c r="G1673" s="1">
        <v>44735</v>
      </c>
      <c r="H1673">
        <v>45</v>
      </c>
      <c r="I1673" t="s">
        <v>4356</v>
      </c>
      <c r="J1673">
        <v>394</v>
      </c>
      <c r="K1673">
        <v>0</v>
      </c>
      <c r="L1673">
        <v>0</v>
      </c>
      <c r="M1673">
        <v>0</v>
      </c>
      <c r="N1673" t="s">
        <v>78</v>
      </c>
      <c r="O1673">
        <v>2022</v>
      </c>
      <c r="P1673" t="s">
        <v>18</v>
      </c>
    </row>
    <row r="1674" spans="1:16" x14ac:dyDescent="0.3">
      <c r="A1674">
        <v>32</v>
      </c>
      <c r="B1674" t="s">
        <v>1556</v>
      </c>
      <c r="C1674" t="s">
        <v>4405</v>
      </c>
      <c r="D1674" t="str">
        <f>VLOOKUP(YouTube_University_Data_Final[[#This Row],[Title]],[1]!YouTube_University_Data_Final[[Title]:[Title_language]],2,FALSE)</f>
        <v>Bilingual</v>
      </c>
      <c r="E1674" t="s">
        <v>4406</v>
      </c>
      <c r="F1674">
        <v>27</v>
      </c>
      <c r="G1674" s="1">
        <v>44729</v>
      </c>
      <c r="H1674">
        <v>1333</v>
      </c>
      <c r="I1674" t="s">
        <v>4356</v>
      </c>
      <c r="J1674">
        <v>13355</v>
      </c>
      <c r="K1674">
        <v>2</v>
      </c>
      <c r="L1674">
        <v>0</v>
      </c>
      <c r="M1674">
        <v>0</v>
      </c>
      <c r="N1674" t="s">
        <v>78</v>
      </c>
      <c r="O1674">
        <v>2022</v>
      </c>
      <c r="P1674" t="s">
        <v>18</v>
      </c>
    </row>
    <row r="1675" spans="1:16" x14ac:dyDescent="0.3">
      <c r="A1675">
        <v>33</v>
      </c>
      <c r="B1675" t="s">
        <v>1556</v>
      </c>
      <c r="C1675" t="s">
        <v>4407</v>
      </c>
      <c r="D1675" t="str">
        <f>VLOOKUP(YouTube_University_Data_Final[[#This Row],[Title]],[1]!YouTube_University_Data_Final[[Title]:[Title_language]],2,FALSE)</f>
        <v>Bilingual</v>
      </c>
      <c r="E1675" t="s">
        <v>4408</v>
      </c>
      <c r="F1675">
        <v>27</v>
      </c>
      <c r="G1675" s="1">
        <v>44728</v>
      </c>
      <c r="H1675">
        <v>43</v>
      </c>
      <c r="I1675" t="s">
        <v>4356</v>
      </c>
      <c r="J1675">
        <v>322</v>
      </c>
      <c r="K1675">
        <v>1</v>
      </c>
      <c r="L1675">
        <v>0</v>
      </c>
      <c r="M1675">
        <v>0</v>
      </c>
      <c r="N1675" t="s">
        <v>78</v>
      </c>
      <c r="O1675">
        <v>2022</v>
      </c>
      <c r="P1675" t="s">
        <v>18</v>
      </c>
    </row>
    <row r="1676" spans="1:16" x14ac:dyDescent="0.3">
      <c r="A1676">
        <v>34</v>
      </c>
      <c r="B1676" t="s">
        <v>1556</v>
      </c>
      <c r="C1676" t="s">
        <v>4409</v>
      </c>
      <c r="D1676" t="str">
        <f>VLOOKUP(YouTube_University_Data_Final[[#This Row],[Title]],[1]!YouTube_University_Data_Final[[Title]:[Title_language]],2,FALSE)</f>
        <v>English</v>
      </c>
      <c r="E1676" t="s">
        <v>2944</v>
      </c>
      <c r="F1676">
        <v>27</v>
      </c>
      <c r="G1676" s="1">
        <v>44727</v>
      </c>
      <c r="H1676">
        <v>278</v>
      </c>
      <c r="I1676" t="s">
        <v>2944</v>
      </c>
      <c r="J1676">
        <v>219</v>
      </c>
      <c r="K1676">
        <v>4</v>
      </c>
      <c r="L1676">
        <v>0</v>
      </c>
      <c r="M1676">
        <v>0</v>
      </c>
      <c r="N1676" t="s">
        <v>78</v>
      </c>
      <c r="O1676">
        <v>2022</v>
      </c>
      <c r="P1676" t="s">
        <v>18</v>
      </c>
    </row>
    <row r="1677" spans="1:16" x14ac:dyDescent="0.3">
      <c r="A1677">
        <v>35</v>
      </c>
      <c r="B1677" t="s">
        <v>1556</v>
      </c>
      <c r="C1677" t="s">
        <v>4410</v>
      </c>
      <c r="D1677" t="str">
        <f>VLOOKUP(YouTube_University_Data_Final[[#This Row],[Title]],[1]!YouTube_University_Data_Final[[Title]:[Title_language]],2,FALSE)</f>
        <v>Bilingual</v>
      </c>
      <c r="E1677" t="s">
        <v>4411</v>
      </c>
      <c r="F1677">
        <v>27</v>
      </c>
      <c r="G1677" s="1">
        <v>44722</v>
      </c>
      <c r="H1677">
        <v>1307</v>
      </c>
      <c r="I1677" t="s">
        <v>4356</v>
      </c>
      <c r="J1677">
        <v>15281</v>
      </c>
      <c r="K1677">
        <v>7</v>
      </c>
      <c r="L1677">
        <v>0</v>
      </c>
      <c r="M1677">
        <v>0</v>
      </c>
      <c r="N1677" t="s">
        <v>78</v>
      </c>
      <c r="O1677">
        <v>2022</v>
      </c>
      <c r="P1677" t="s">
        <v>18</v>
      </c>
    </row>
    <row r="1678" spans="1:16" x14ac:dyDescent="0.3">
      <c r="A1678">
        <v>36</v>
      </c>
      <c r="B1678" t="s">
        <v>1556</v>
      </c>
      <c r="C1678" t="s">
        <v>4412</v>
      </c>
      <c r="D1678" t="str">
        <f>VLOOKUP(YouTube_University_Data_Final[[#This Row],[Title]],[1]!YouTube_University_Data_Final[[Title]:[Title_language]],2,FALSE)</f>
        <v>Bilingual</v>
      </c>
      <c r="E1678" t="s">
        <v>4411</v>
      </c>
      <c r="F1678">
        <v>27</v>
      </c>
      <c r="G1678" s="1">
        <v>44721</v>
      </c>
      <c r="H1678">
        <v>116</v>
      </c>
      <c r="I1678" t="s">
        <v>4356</v>
      </c>
      <c r="J1678">
        <v>743</v>
      </c>
      <c r="K1678">
        <v>6</v>
      </c>
      <c r="L1678">
        <v>0</v>
      </c>
      <c r="M1678">
        <v>0</v>
      </c>
      <c r="N1678" t="s">
        <v>78</v>
      </c>
      <c r="O1678">
        <v>2022</v>
      </c>
      <c r="P1678" t="s">
        <v>18</v>
      </c>
    </row>
    <row r="1679" spans="1:16" x14ac:dyDescent="0.3">
      <c r="A1679">
        <v>37</v>
      </c>
      <c r="B1679" t="s">
        <v>1556</v>
      </c>
      <c r="C1679" t="s">
        <v>4413</v>
      </c>
      <c r="D1679" t="str">
        <f>VLOOKUP(YouTube_University_Data_Final[[#This Row],[Title]],[1]!YouTube_University_Data_Final[[Title]:[Title_language]],2,FALSE)</f>
        <v>English</v>
      </c>
      <c r="E1679" t="s">
        <v>4414</v>
      </c>
      <c r="F1679">
        <v>27</v>
      </c>
      <c r="G1679" s="1">
        <v>44708</v>
      </c>
      <c r="H1679">
        <v>324</v>
      </c>
      <c r="I1679" t="s">
        <v>4353</v>
      </c>
      <c r="J1679">
        <v>903</v>
      </c>
      <c r="K1679">
        <v>7</v>
      </c>
      <c r="L1679">
        <v>0</v>
      </c>
      <c r="M1679">
        <v>0</v>
      </c>
      <c r="N1679" t="s">
        <v>81</v>
      </c>
      <c r="O1679">
        <v>2022</v>
      </c>
      <c r="P1679" t="s">
        <v>18</v>
      </c>
    </row>
    <row r="1680" spans="1:16" x14ac:dyDescent="0.3">
      <c r="A1680">
        <v>38</v>
      </c>
      <c r="B1680" t="s">
        <v>1556</v>
      </c>
      <c r="C1680" t="s">
        <v>1563</v>
      </c>
      <c r="D1680" t="str">
        <f>VLOOKUP(YouTube_University_Data_Final[[#This Row],[Title]],[1]!YouTube_University_Data_Final[[Title]:[Title_language]],2,FALSE)</f>
        <v>English</v>
      </c>
      <c r="E1680" t="s">
        <v>4415</v>
      </c>
      <c r="F1680">
        <v>27</v>
      </c>
      <c r="G1680" s="1">
        <v>44707</v>
      </c>
      <c r="H1680">
        <v>151</v>
      </c>
      <c r="I1680" t="s">
        <v>4353</v>
      </c>
      <c r="J1680">
        <v>18002</v>
      </c>
      <c r="K1680">
        <v>0</v>
      </c>
      <c r="L1680">
        <v>0</v>
      </c>
      <c r="M1680">
        <v>0</v>
      </c>
      <c r="N1680" t="s">
        <v>81</v>
      </c>
      <c r="O1680">
        <v>2022</v>
      </c>
      <c r="P1680" t="s">
        <v>18</v>
      </c>
    </row>
    <row r="1681" spans="1:16" x14ac:dyDescent="0.3">
      <c r="A1681">
        <v>39</v>
      </c>
      <c r="B1681" t="s">
        <v>1556</v>
      </c>
      <c r="C1681" t="s">
        <v>4416</v>
      </c>
      <c r="D1681" t="str">
        <f>VLOOKUP(YouTube_University_Data_Final[[#This Row],[Title]],[1]!YouTube_University_Data_Final[[Title]:[Title_language]],2,FALSE)</f>
        <v>Chinese</v>
      </c>
      <c r="E1681" t="s">
        <v>4417</v>
      </c>
      <c r="F1681">
        <v>27</v>
      </c>
      <c r="G1681" s="1">
        <v>44700</v>
      </c>
      <c r="H1681">
        <v>124</v>
      </c>
      <c r="I1681" t="s">
        <v>4353</v>
      </c>
      <c r="J1681">
        <v>258</v>
      </c>
      <c r="K1681">
        <v>1</v>
      </c>
      <c r="L1681">
        <v>0</v>
      </c>
      <c r="M1681">
        <v>0</v>
      </c>
      <c r="N1681" t="s">
        <v>81</v>
      </c>
      <c r="O1681">
        <v>2022</v>
      </c>
      <c r="P1681" t="s">
        <v>18</v>
      </c>
    </row>
    <row r="1682" spans="1:16" x14ac:dyDescent="0.3">
      <c r="A1682">
        <v>40</v>
      </c>
      <c r="B1682" t="s">
        <v>1556</v>
      </c>
      <c r="C1682" t="s">
        <v>4418</v>
      </c>
      <c r="D1682" t="str">
        <f>VLOOKUP(YouTube_University_Data_Final[[#This Row],[Title]],[1]!YouTube_University_Data_Final[[Title]:[Title_language]],2,FALSE)</f>
        <v>Bilingual</v>
      </c>
      <c r="E1682" t="s">
        <v>4419</v>
      </c>
      <c r="F1682">
        <v>27</v>
      </c>
      <c r="G1682" s="1">
        <v>44687</v>
      </c>
      <c r="H1682">
        <v>1322</v>
      </c>
      <c r="I1682" t="s">
        <v>4356</v>
      </c>
      <c r="J1682">
        <v>29296</v>
      </c>
      <c r="K1682">
        <v>94</v>
      </c>
      <c r="L1682">
        <v>0</v>
      </c>
      <c r="M1682">
        <v>0</v>
      </c>
      <c r="N1682" t="s">
        <v>81</v>
      </c>
      <c r="O1682">
        <v>2022</v>
      </c>
      <c r="P1682" t="s">
        <v>18</v>
      </c>
    </row>
    <row r="1683" spans="1:16" x14ac:dyDescent="0.3">
      <c r="A1683">
        <v>41</v>
      </c>
      <c r="B1683" t="s">
        <v>1556</v>
      </c>
      <c r="C1683" t="s">
        <v>4420</v>
      </c>
      <c r="D1683" t="str">
        <f>VLOOKUP(YouTube_University_Data_Final[[#This Row],[Title]],[1]!YouTube_University_Data_Final[[Title]:[Title_language]],2,FALSE)</f>
        <v>Bilingual</v>
      </c>
      <c r="E1683" t="s">
        <v>4421</v>
      </c>
      <c r="F1683">
        <v>27</v>
      </c>
      <c r="G1683" s="1">
        <v>44686</v>
      </c>
      <c r="H1683">
        <v>42</v>
      </c>
      <c r="I1683" t="s">
        <v>4356</v>
      </c>
      <c r="J1683">
        <v>1354</v>
      </c>
      <c r="K1683">
        <v>8</v>
      </c>
      <c r="L1683">
        <v>0</v>
      </c>
      <c r="M1683">
        <v>0</v>
      </c>
      <c r="N1683" t="s">
        <v>81</v>
      </c>
      <c r="O1683">
        <v>2022</v>
      </c>
      <c r="P1683" t="s">
        <v>18</v>
      </c>
    </row>
    <row r="1684" spans="1:16" x14ac:dyDescent="0.3">
      <c r="A1684">
        <v>42</v>
      </c>
      <c r="B1684" t="s">
        <v>1556</v>
      </c>
      <c r="C1684" t="s">
        <v>4422</v>
      </c>
      <c r="D1684" t="str">
        <f>VLOOKUP(YouTube_University_Data_Final[[#This Row],[Title]],[1]!YouTube_University_Data_Final[[Title]:[Title_language]],2,FALSE)</f>
        <v>Bilingual</v>
      </c>
      <c r="E1684" t="s">
        <v>4423</v>
      </c>
      <c r="F1684">
        <v>27</v>
      </c>
      <c r="G1684" s="1">
        <v>44680</v>
      </c>
      <c r="H1684">
        <v>1279</v>
      </c>
      <c r="I1684" t="s">
        <v>4424</v>
      </c>
      <c r="J1684">
        <v>23082</v>
      </c>
      <c r="K1684">
        <v>17</v>
      </c>
      <c r="L1684">
        <v>0</v>
      </c>
      <c r="M1684">
        <v>0</v>
      </c>
      <c r="N1684" t="s">
        <v>87</v>
      </c>
      <c r="O1684">
        <v>2022</v>
      </c>
      <c r="P1684" t="s">
        <v>18</v>
      </c>
    </row>
    <row r="1685" spans="1:16" x14ac:dyDescent="0.3">
      <c r="A1685">
        <v>43</v>
      </c>
      <c r="B1685" t="s">
        <v>1556</v>
      </c>
      <c r="C1685" t="s">
        <v>4425</v>
      </c>
      <c r="D1685" t="str">
        <f>VLOOKUP(YouTube_University_Data_Final[[#This Row],[Title]],[1]!YouTube_University_Data_Final[[Title]:[Title_language]],2,FALSE)</f>
        <v>Bilingual</v>
      </c>
      <c r="E1685" t="s">
        <v>4426</v>
      </c>
      <c r="F1685">
        <v>27</v>
      </c>
      <c r="G1685" s="1">
        <v>44679</v>
      </c>
      <c r="H1685">
        <v>38</v>
      </c>
      <c r="I1685" t="s">
        <v>4424</v>
      </c>
      <c r="J1685">
        <v>738</v>
      </c>
      <c r="K1685">
        <v>5</v>
      </c>
      <c r="L1685">
        <v>0</v>
      </c>
      <c r="M1685">
        <v>0</v>
      </c>
      <c r="N1685" t="s">
        <v>87</v>
      </c>
      <c r="O1685">
        <v>2022</v>
      </c>
      <c r="P1685" t="s">
        <v>18</v>
      </c>
    </row>
    <row r="1686" spans="1:16" x14ac:dyDescent="0.3">
      <c r="A1686">
        <v>44</v>
      </c>
      <c r="B1686" t="s">
        <v>1556</v>
      </c>
      <c r="C1686" t="s">
        <v>4427</v>
      </c>
      <c r="D1686" t="str">
        <f>VLOOKUP(YouTube_University_Data_Final[[#This Row],[Title]],[1]!YouTube_University_Data_Final[[Title]:[Title_language]],2,FALSE)</f>
        <v>Chinese</v>
      </c>
      <c r="E1686" t="s">
        <v>4428</v>
      </c>
      <c r="F1686">
        <v>27</v>
      </c>
      <c r="G1686" s="1">
        <v>44678</v>
      </c>
      <c r="H1686">
        <v>141</v>
      </c>
      <c r="I1686" t="s">
        <v>4429</v>
      </c>
      <c r="J1686">
        <v>431</v>
      </c>
      <c r="K1686">
        <v>4</v>
      </c>
      <c r="L1686">
        <v>0</v>
      </c>
      <c r="M1686">
        <v>0</v>
      </c>
      <c r="N1686" t="s">
        <v>87</v>
      </c>
      <c r="O1686">
        <v>2022</v>
      </c>
      <c r="P1686" t="s">
        <v>18</v>
      </c>
    </row>
    <row r="1687" spans="1:16" x14ac:dyDescent="0.3">
      <c r="A1687">
        <v>45</v>
      </c>
      <c r="B1687" t="s">
        <v>1556</v>
      </c>
      <c r="C1687" t="s">
        <v>4430</v>
      </c>
      <c r="D1687" t="str">
        <f>VLOOKUP(YouTube_University_Data_Final[[#This Row],[Title]],[1]!YouTube_University_Data_Final[[Title]:[Title_language]],2,FALSE)</f>
        <v>Bilingual</v>
      </c>
      <c r="E1687" t="s">
        <v>4431</v>
      </c>
      <c r="F1687">
        <v>27</v>
      </c>
      <c r="G1687" s="1">
        <v>44673</v>
      </c>
      <c r="H1687">
        <v>1324</v>
      </c>
      <c r="I1687" t="s">
        <v>4424</v>
      </c>
      <c r="J1687">
        <v>23112</v>
      </c>
      <c r="K1687">
        <v>30</v>
      </c>
      <c r="L1687">
        <v>0</v>
      </c>
      <c r="M1687">
        <v>0</v>
      </c>
      <c r="N1687" t="s">
        <v>87</v>
      </c>
      <c r="O1687">
        <v>2022</v>
      </c>
      <c r="P1687" t="s">
        <v>18</v>
      </c>
    </row>
    <row r="1688" spans="1:16" x14ac:dyDescent="0.3">
      <c r="A1688">
        <v>46</v>
      </c>
      <c r="B1688" t="s">
        <v>1556</v>
      </c>
      <c r="C1688" t="s">
        <v>4432</v>
      </c>
      <c r="D1688" t="str">
        <f>VLOOKUP(YouTube_University_Data_Final[[#This Row],[Title]],[1]!YouTube_University_Data_Final[[Title]:[Title_language]],2,FALSE)</f>
        <v>Bilingual</v>
      </c>
      <c r="E1688" t="s">
        <v>4433</v>
      </c>
      <c r="F1688">
        <v>27</v>
      </c>
      <c r="G1688" s="1">
        <v>44672</v>
      </c>
      <c r="H1688">
        <v>40</v>
      </c>
      <c r="I1688" t="s">
        <v>4424</v>
      </c>
      <c r="J1688">
        <v>984</v>
      </c>
      <c r="K1688">
        <v>12</v>
      </c>
      <c r="L1688">
        <v>0</v>
      </c>
      <c r="M1688">
        <v>0</v>
      </c>
      <c r="N1688" t="s">
        <v>87</v>
      </c>
      <c r="O1688">
        <v>2022</v>
      </c>
      <c r="P1688" t="s">
        <v>18</v>
      </c>
    </row>
    <row r="1689" spans="1:16" x14ac:dyDescent="0.3">
      <c r="A1689">
        <v>47</v>
      </c>
      <c r="B1689" t="s">
        <v>1556</v>
      </c>
      <c r="C1689" t="s">
        <v>4434</v>
      </c>
      <c r="D1689" t="str">
        <f>VLOOKUP(YouTube_University_Data_Final[[#This Row],[Title]],[1]!YouTube_University_Data_Final[[Title]:[Title_language]],2,FALSE)</f>
        <v>Bilingual</v>
      </c>
      <c r="E1689" t="s">
        <v>4435</v>
      </c>
      <c r="F1689">
        <v>27</v>
      </c>
      <c r="G1689" s="1">
        <v>44666</v>
      </c>
      <c r="H1689">
        <v>1245</v>
      </c>
      <c r="I1689" t="s">
        <v>4424</v>
      </c>
      <c r="J1689">
        <v>22977</v>
      </c>
      <c r="K1689">
        <v>15</v>
      </c>
      <c r="L1689">
        <v>0</v>
      </c>
      <c r="M1689">
        <v>0</v>
      </c>
      <c r="N1689" t="s">
        <v>87</v>
      </c>
      <c r="O1689">
        <v>2022</v>
      </c>
      <c r="P1689" t="s">
        <v>18</v>
      </c>
    </row>
    <row r="1690" spans="1:16" x14ac:dyDescent="0.3">
      <c r="A1690">
        <v>48</v>
      </c>
      <c r="B1690" t="s">
        <v>1556</v>
      </c>
      <c r="C1690" t="s">
        <v>4436</v>
      </c>
      <c r="D1690" t="str">
        <f>VLOOKUP(YouTube_University_Data_Final[[#This Row],[Title]],[1]!YouTube_University_Data_Final[[Title]:[Title_language]],2,FALSE)</f>
        <v>Bilingual</v>
      </c>
      <c r="E1690" t="s">
        <v>4437</v>
      </c>
      <c r="F1690">
        <v>27</v>
      </c>
      <c r="G1690" s="1">
        <v>44665</v>
      </c>
      <c r="H1690">
        <v>34</v>
      </c>
      <c r="I1690" t="s">
        <v>4424</v>
      </c>
      <c r="J1690">
        <v>482</v>
      </c>
      <c r="K1690">
        <v>3</v>
      </c>
      <c r="L1690">
        <v>0</v>
      </c>
      <c r="M1690">
        <v>0</v>
      </c>
      <c r="N1690" t="s">
        <v>87</v>
      </c>
      <c r="O1690">
        <v>2022</v>
      </c>
      <c r="P1690" t="s">
        <v>18</v>
      </c>
    </row>
    <row r="1691" spans="1:16" x14ac:dyDescent="0.3">
      <c r="A1691">
        <v>49</v>
      </c>
      <c r="B1691" t="s">
        <v>1556</v>
      </c>
      <c r="C1691" t="s">
        <v>4438</v>
      </c>
      <c r="D1691" t="str">
        <f>VLOOKUP(YouTube_University_Data_Final[[#This Row],[Title]],[1]!YouTube_University_Data_Final[[Title]:[Title_language]],2,FALSE)</f>
        <v>Bilingual</v>
      </c>
      <c r="E1691" t="s">
        <v>4439</v>
      </c>
      <c r="F1691">
        <v>27</v>
      </c>
      <c r="G1691" s="1">
        <v>44659</v>
      </c>
      <c r="H1691">
        <v>1293</v>
      </c>
      <c r="I1691" t="s">
        <v>4424</v>
      </c>
      <c r="J1691">
        <v>24913</v>
      </c>
      <c r="K1691">
        <v>19</v>
      </c>
      <c r="L1691">
        <v>0</v>
      </c>
      <c r="M1691">
        <v>0</v>
      </c>
      <c r="N1691" t="s">
        <v>87</v>
      </c>
      <c r="O1691">
        <v>2022</v>
      </c>
      <c r="P1691" t="s">
        <v>18</v>
      </c>
    </row>
    <row r="1692" spans="1:16" x14ac:dyDescent="0.3">
      <c r="A1692">
        <v>50</v>
      </c>
      <c r="B1692" t="s">
        <v>1556</v>
      </c>
      <c r="C1692" t="s">
        <v>4440</v>
      </c>
      <c r="D1692" t="str">
        <f>VLOOKUP(YouTube_University_Data_Final[[#This Row],[Title]],[1]!YouTube_University_Data_Final[[Title]:[Title_language]],2,FALSE)</f>
        <v>Bilingual</v>
      </c>
      <c r="E1692" t="s">
        <v>4441</v>
      </c>
      <c r="F1692">
        <v>27</v>
      </c>
      <c r="G1692" s="1">
        <v>44658</v>
      </c>
      <c r="H1692">
        <v>33</v>
      </c>
      <c r="I1692" t="s">
        <v>4424</v>
      </c>
      <c r="J1692">
        <v>728</v>
      </c>
      <c r="K1692">
        <v>4</v>
      </c>
      <c r="L1692">
        <v>0</v>
      </c>
      <c r="M1692">
        <v>0</v>
      </c>
      <c r="N1692" t="s">
        <v>87</v>
      </c>
      <c r="O1692">
        <v>2022</v>
      </c>
      <c r="P1692" t="s">
        <v>18</v>
      </c>
    </row>
    <row r="1693" spans="1:16" x14ac:dyDescent="0.3">
      <c r="A1693">
        <v>51</v>
      </c>
      <c r="B1693" t="s">
        <v>1556</v>
      </c>
      <c r="C1693" t="s">
        <v>4442</v>
      </c>
      <c r="D1693" t="str">
        <f>VLOOKUP(YouTube_University_Data_Final[[#This Row],[Title]],[1]!YouTube_University_Data_Final[[Title]:[Title_language]],2,FALSE)</f>
        <v>Bilingual</v>
      </c>
      <c r="E1693" t="s">
        <v>4443</v>
      </c>
      <c r="F1693">
        <v>27</v>
      </c>
      <c r="G1693" s="1">
        <v>44652</v>
      </c>
      <c r="H1693">
        <v>1253</v>
      </c>
      <c r="I1693" t="s">
        <v>4424</v>
      </c>
      <c r="J1693">
        <v>35078</v>
      </c>
      <c r="K1693">
        <v>28</v>
      </c>
      <c r="L1693">
        <v>0</v>
      </c>
      <c r="M1693">
        <v>0</v>
      </c>
      <c r="N1693" t="s">
        <v>87</v>
      </c>
      <c r="O1693">
        <v>2022</v>
      </c>
      <c r="P1693" t="s">
        <v>18</v>
      </c>
    </row>
    <row r="1694" spans="1:16" x14ac:dyDescent="0.3">
      <c r="A1694">
        <v>52</v>
      </c>
      <c r="B1694" t="s">
        <v>1556</v>
      </c>
      <c r="C1694" t="s">
        <v>4444</v>
      </c>
      <c r="D1694" t="str">
        <f>VLOOKUP(YouTube_University_Data_Final[[#This Row],[Title]],[1]!YouTube_University_Data_Final[[Title]:[Title_language]],2,FALSE)</f>
        <v>Bilingual</v>
      </c>
      <c r="E1694" t="s">
        <v>4445</v>
      </c>
      <c r="F1694">
        <v>27</v>
      </c>
      <c r="G1694" s="1">
        <v>44651</v>
      </c>
      <c r="H1694">
        <v>33</v>
      </c>
      <c r="I1694" t="s">
        <v>4424</v>
      </c>
      <c r="J1694">
        <v>1230</v>
      </c>
      <c r="K1694">
        <v>11</v>
      </c>
      <c r="L1694">
        <v>0</v>
      </c>
      <c r="M1694">
        <v>0</v>
      </c>
      <c r="N1694" t="s">
        <v>90</v>
      </c>
      <c r="O1694">
        <v>2022</v>
      </c>
      <c r="P1694" t="s">
        <v>18</v>
      </c>
    </row>
    <row r="1695" spans="1:16" x14ac:dyDescent="0.3">
      <c r="A1695">
        <v>53</v>
      </c>
      <c r="B1695" t="s">
        <v>1556</v>
      </c>
      <c r="C1695" t="s">
        <v>4446</v>
      </c>
      <c r="D1695" t="str">
        <f>VLOOKUP(YouTube_University_Data_Final[[#This Row],[Title]],[1]!YouTube_University_Data_Final[[Title]:[Title_language]],2,FALSE)</f>
        <v>Bilingual</v>
      </c>
      <c r="E1695" t="s">
        <v>4447</v>
      </c>
      <c r="F1695">
        <v>27</v>
      </c>
      <c r="G1695" s="1">
        <v>44645</v>
      </c>
      <c r="H1695">
        <v>1318</v>
      </c>
      <c r="I1695" t="s">
        <v>4424</v>
      </c>
      <c r="J1695">
        <v>35695</v>
      </c>
      <c r="K1695">
        <v>66</v>
      </c>
      <c r="L1695">
        <v>0</v>
      </c>
      <c r="M1695">
        <v>0</v>
      </c>
      <c r="N1695" t="s">
        <v>90</v>
      </c>
      <c r="O1695">
        <v>2022</v>
      </c>
      <c r="P1695" t="s">
        <v>18</v>
      </c>
    </row>
    <row r="1696" spans="1:16" x14ac:dyDescent="0.3">
      <c r="A1696">
        <v>54</v>
      </c>
      <c r="B1696" t="s">
        <v>1556</v>
      </c>
      <c r="C1696" t="s">
        <v>4448</v>
      </c>
      <c r="D1696" t="str">
        <f>VLOOKUP(YouTube_University_Data_Final[[#This Row],[Title]],[1]!YouTube_University_Data_Final[[Title]:[Title_language]],2,FALSE)</f>
        <v>Bilingual</v>
      </c>
      <c r="E1696" t="s">
        <v>4447</v>
      </c>
      <c r="F1696">
        <v>27</v>
      </c>
      <c r="G1696" s="1">
        <v>44644</v>
      </c>
      <c r="H1696">
        <v>33</v>
      </c>
      <c r="I1696" t="s">
        <v>4424</v>
      </c>
      <c r="J1696">
        <v>1494</v>
      </c>
      <c r="K1696">
        <v>16</v>
      </c>
      <c r="L1696">
        <v>0</v>
      </c>
      <c r="M1696">
        <v>0</v>
      </c>
      <c r="N1696" t="s">
        <v>90</v>
      </c>
      <c r="O1696">
        <v>2022</v>
      </c>
      <c r="P1696" t="s">
        <v>18</v>
      </c>
    </row>
    <row r="1697" spans="1:16" x14ac:dyDescent="0.3">
      <c r="A1697">
        <v>55</v>
      </c>
      <c r="B1697" t="s">
        <v>1556</v>
      </c>
      <c r="C1697" t="s">
        <v>4449</v>
      </c>
      <c r="D1697" t="str">
        <f>VLOOKUP(YouTube_University_Data_Final[[#This Row],[Title]],[1]!YouTube_University_Data_Final[[Title]:[Title_language]],2,FALSE)</f>
        <v>Chinese</v>
      </c>
      <c r="E1697" t="s">
        <v>4450</v>
      </c>
      <c r="F1697">
        <v>27</v>
      </c>
      <c r="G1697" s="1">
        <v>44643</v>
      </c>
      <c r="H1697">
        <v>139</v>
      </c>
      <c r="I1697" t="s">
        <v>4451</v>
      </c>
      <c r="J1697">
        <v>62956</v>
      </c>
      <c r="K1697">
        <v>19</v>
      </c>
      <c r="L1697">
        <v>0</v>
      </c>
      <c r="M1697">
        <v>0</v>
      </c>
      <c r="N1697" t="s">
        <v>90</v>
      </c>
      <c r="O1697">
        <v>2022</v>
      </c>
      <c r="P1697" t="s">
        <v>18</v>
      </c>
    </row>
    <row r="1698" spans="1:16" x14ac:dyDescent="0.3">
      <c r="A1698">
        <v>56</v>
      </c>
      <c r="B1698" t="s">
        <v>1556</v>
      </c>
      <c r="C1698" t="s">
        <v>1564</v>
      </c>
      <c r="D1698" t="str">
        <f>VLOOKUP(YouTube_University_Data_Final[[#This Row],[Title]],[1]!YouTube_University_Data_Final[[Title]:[Title_language]],2,FALSE)</f>
        <v>English</v>
      </c>
      <c r="E1698" t="s">
        <v>2944</v>
      </c>
      <c r="F1698">
        <v>27</v>
      </c>
      <c r="G1698" s="1">
        <v>44642</v>
      </c>
      <c r="H1698">
        <v>233</v>
      </c>
      <c r="I1698" t="s">
        <v>2944</v>
      </c>
      <c r="J1698">
        <v>258</v>
      </c>
      <c r="K1698">
        <v>1</v>
      </c>
      <c r="L1698">
        <v>0</v>
      </c>
      <c r="M1698">
        <v>0</v>
      </c>
      <c r="N1698" t="s">
        <v>90</v>
      </c>
      <c r="O1698">
        <v>2022</v>
      </c>
      <c r="P1698" t="s">
        <v>18</v>
      </c>
    </row>
    <row r="1699" spans="1:16" x14ac:dyDescent="0.3">
      <c r="A1699">
        <v>57</v>
      </c>
      <c r="B1699" t="s">
        <v>1556</v>
      </c>
      <c r="C1699" t="s">
        <v>4452</v>
      </c>
      <c r="D1699" t="str">
        <f>VLOOKUP(YouTube_University_Data_Final[[#This Row],[Title]],[1]!YouTube_University_Data_Final[[Title]:[Title_language]],2,FALSE)</f>
        <v>Chinese</v>
      </c>
      <c r="E1699" t="s">
        <v>4453</v>
      </c>
      <c r="F1699">
        <v>27</v>
      </c>
      <c r="G1699" s="1">
        <v>44642</v>
      </c>
      <c r="H1699">
        <v>101</v>
      </c>
      <c r="I1699" t="s">
        <v>4454</v>
      </c>
      <c r="J1699">
        <v>505</v>
      </c>
      <c r="K1699">
        <v>2</v>
      </c>
      <c r="L1699">
        <v>0</v>
      </c>
      <c r="M1699">
        <v>0</v>
      </c>
      <c r="N1699" t="s">
        <v>90</v>
      </c>
      <c r="O1699">
        <v>2022</v>
      </c>
      <c r="P1699" t="s">
        <v>18</v>
      </c>
    </row>
    <row r="1700" spans="1:16" x14ac:dyDescent="0.3">
      <c r="A1700">
        <v>58</v>
      </c>
      <c r="B1700" t="s">
        <v>1556</v>
      </c>
      <c r="C1700" t="s">
        <v>4455</v>
      </c>
      <c r="D1700" t="str">
        <f>VLOOKUP(YouTube_University_Data_Final[[#This Row],[Title]],[1]!YouTube_University_Data_Final[[Title]:[Title_language]],2,FALSE)</f>
        <v>Bilingual</v>
      </c>
      <c r="E1700" t="s">
        <v>4456</v>
      </c>
      <c r="F1700">
        <v>27</v>
      </c>
      <c r="G1700" s="1">
        <v>44638</v>
      </c>
      <c r="H1700">
        <v>1320</v>
      </c>
      <c r="I1700" t="s">
        <v>4457</v>
      </c>
      <c r="J1700">
        <v>35818</v>
      </c>
      <c r="K1700">
        <v>58</v>
      </c>
      <c r="L1700">
        <v>0</v>
      </c>
      <c r="M1700">
        <v>0</v>
      </c>
      <c r="N1700" t="s">
        <v>90</v>
      </c>
      <c r="O1700">
        <v>2022</v>
      </c>
      <c r="P1700" t="s">
        <v>18</v>
      </c>
    </row>
    <row r="1701" spans="1:16" x14ac:dyDescent="0.3">
      <c r="A1701">
        <v>59</v>
      </c>
      <c r="B1701" t="s">
        <v>1556</v>
      </c>
      <c r="C1701" t="s">
        <v>4458</v>
      </c>
      <c r="D1701" t="str">
        <f>VLOOKUP(YouTube_University_Data_Final[[#This Row],[Title]],[1]!YouTube_University_Data_Final[[Title]:[Title_language]],2,FALSE)</f>
        <v>Bilingual</v>
      </c>
      <c r="E1701" t="s">
        <v>4459</v>
      </c>
      <c r="F1701">
        <v>27</v>
      </c>
      <c r="G1701" s="1">
        <v>44637</v>
      </c>
      <c r="H1701">
        <v>110</v>
      </c>
      <c r="I1701" t="s">
        <v>4457</v>
      </c>
      <c r="J1701">
        <v>31931</v>
      </c>
      <c r="K1701">
        <v>26</v>
      </c>
      <c r="L1701">
        <v>0</v>
      </c>
      <c r="M1701">
        <v>0</v>
      </c>
      <c r="N1701" t="s">
        <v>90</v>
      </c>
      <c r="O1701">
        <v>2022</v>
      </c>
      <c r="P1701" t="s">
        <v>18</v>
      </c>
    </row>
    <row r="1702" spans="1:16" x14ac:dyDescent="0.3">
      <c r="A1702">
        <v>60</v>
      </c>
      <c r="B1702" t="s">
        <v>1556</v>
      </c>
      <c r="C1702" t="s">
        <v>4460</v>
      </c>
      <c r="D1702" t="str">
        <f>VLOOKUP(YouTube_University_Data_Final[[#This Row],[Title]],[1]!YouTube_University_Data_Final[[Title]:[Title_language]],2,FALSE)</f>
        <v>Chinese</v>
      </c>
      <c r="E1702" t="s">
        <v>4461</v>
      </c>
      <c r="F1702">
        <v>27</v>
      </c>
      <c r="G1702" s="1">
        <v>44634</v>
      </c>
      <c r="H1702">
        <v>147</v>
      </c>
      <c r="I1702" t="s">
        <v>4462</v>
      </c>
      <c r="J1702">
        <v>2316</v>
      </c>
      <c r="K1702">
        <v>19</v>
      </c>
      <c r="L1702">
        <v>0</v>
      </c>
      <c r="M1702">
        <v>0</v>
      </c>
      <c r="N1702" t="s">
        <v>90</v>
      </c>
      <c r="O1702">
        <v>2022</v>
      </c>
      <c r="P1702" t="s">
        <v>18</v>
      </c>
    </row>
    <row r="1703" spans="1:16" x14ac:dyDescent="0.3">
      <c r="A1703">
        <v>61</v>
      </c>
      <c r="B1703" t="s">
        <v>1556</v>
      </c>
      <c r="C1703" t="s">
        <v>4463</v>
      </c>
      <c r="D1703" t="str">
        <f>VLOOKUP(YouTube_University_Data_Final[[#This Row],[Title]],[1]!YouTube_University_Data_Final[[Title]:[Title_language]],2,FALSE)</f>
        <v>Bilingual</v>
      </c>
      <c r="E1703" t="s">
        <v>4464</v>
      </c>
      <c r="F1703">
        <v>27</v>
      </c>
      <c r="G1703" s="1">
        <v>44613</v>
      </c>
      <c r="H1703">
        <v>107</v>
      </c>
      <c r="I1703" t="s">
        <v>4465</v>
      </c>
      <c r="J1703">
        <v>21326</v>
      </c>
      <c r="K1703">
        <v>3</v>
      </c>
      <c r="L1703">
        <v>0</v>
      </c>
      <c r="M1703">
        <v>0</v>
      </c>
      <c r="N1703" t="s">
        <v>162</v>
      </c>
      <c r="O1703">
        <v>2022</v>
      </c>
      <c r="P1703" t="s">
        <v>18</v>
      </c>
    </row>
    <row r="1704" spans="1:16" x14ac:dyDescent="0.3">
      <c r="A1704">
        <v>62</v>
      </c>
      <c r="B1704" t="s">
        <v>1556</v>
      </c>
      <c r="C1704" t="s">
        <v>4466</v>
      </c>
      <c r="D1704" t="str">
        <f>VLOOKUP(YouTube_University_Data_Final[[#This Row],[Title]],[1]!YouTube_University_Data_Final[[Title]:[Title_language]],2,FALSE)</f>
        <v>Chinese</v>
      </c>
      <c r="E1704" t="s">
        <v>2944</v>
      </c>
      <c r="F1704">
        <v>27</v>
      </c>
      <c r="G1704" s="1">
        <v>44606</v>
      </c>
      <c r="H1704">
        <v>370</v>
      </c>
      <c r="I1704" t="s">
        <v>2944</v>
      </c>
      <c r="J1704">
        <v>1852</v>
      </c>
      <c r="K1704">
        <v>21</v>
      </c>
      <c r="L1704">
        <v>0</v>
      </c>
      <c r="M1704">
        <v>0</v>
      </c>
      <c r="N1704" t="s">
        <v>162</v>
      </c>
      <c r="O1704">
        <v>2022</v>
      </c>
      <c r="P1704" t="s">
        <v>18</v>
      </c>
    </row>
    <row r="1705" spans="1:16" x14ac:dyDescent="0.3">
      <c r="A1705">
        <v>63</v>
      </c>
      <c r="B1705" t="s">
        <v>1556</v>
      </c>
      <c r="C1705" t="s">
        <v>4467</v>
      </c>
      <c r="D1705" t="str">
        <f>VLOOKUP(YouTube_University_Data_Final[[#This Row],[Title]],[1]!YouTube_University_Data_Final[[Title]:[Title_language]],2,FALSE)</f>
        <v>Bilingual</v>
      </c>
      <c r="E1705" t="s">
        <v>4468</v>
      </c>
      <c r="F1705">
        <v>27</v>
      </c>
      <c r="G1705" s="1">
        <v>44596</v>
      </c>
      <c r="H1705">
        <v>109</v>
      </c>
      <c r="I1705" t="s">
        <v>4469</v>
      </c>
      <c r="J1705">
        <v>21024</v>
      </c>
      <c r="K1705">
        <v>7</v>
      </c>
      <c r="L1705">
        <v>0</v>
      </c>
      <c r="M1705">
        <v>0</v>
      </c>
      <c r="N1705" t="s">
        <v>162</v>
      </c>
      <c r="O1705">
        <v>2022</v>
      </c>
      <c r="P1705" t="s">
        <v>18</v>
      </c>
    </row>
    <row r="1706" spans="1:16" x14ac:dyDescent="0.3">
      <c r="A1706">
        <v>64</v>
      </c>
      <c r="B1706" t="s">
        <v>1556</v>
      </c>
      <c r="C1706" t="s">
        <v>4470</v>
      </c>
      <c r="D1706" t="str">
        <f>VLOOKUP(YouTube_University_Data_Final[[#This Row],[Title]],[1]!YouTube_University_Data_Final[[Title]:[Title_language]],2,FALSE)</f>
        <v>English</v>
      </c>
      <c r="E1706" t="s">
        <v>4471</v>
      </c>
      <c r="F1706">
        <v>27</v>
      </c>
      <c r="G1706" s="1">
        <v>44588</v>
      </c>
      <c r="H1706">
        <v>139</v>
      </c>
      <c r="I1706" t="s">
        <v>4472</v>
      </c>
      <c r="J1706">
        <v>22233</v>
      </c>
      <c r="K1706">
        <v>12</v>
      </c>
      <c r="L1706">
        <v>0</v>
      </c>
      <c r="M1706">
        <v>0</v>
      </c>
      <c r="N1706" t="s">
        <v>93</v>
      </c>
      <c r="O1706">
        <v>2022</v>
      </c>
      <c r="P1706" t="s">
        <v>18</v>
      </c>
    </row>
    <row r="1707" spans="1:16" x14ac:dyDescent="0.3">
      <c r="A1707">
        <v>65</v>
      </c>
      <c r="B1707" t="s">
        <v>1556</v>
      </c>
      <c r="C1707" t="s">
        <v>4473</v>
      </c>
      <c r="D1707" t="str">
        <f>VLOOKUP(YouTube_University_Data_Final[[#This Row],[Title]],[1]!YouTube_University_Data_Final[[Title]:[Title_language]],2,FALSE)</f>
        <v>Bilingual</v>
      </c>
      <c r="E1707" t="s">
        <v>4474</v>
      </c>
      <c r="F1707">
        <v>27</v>
      </c>
      <c r="G1707" s="1">
        <v>44582</v>
      </c>
      <c r="H1707">
        <v>113</v>
      </c>
      <c r="I1707" t="s">
        <v>4475</v>
      </c>
      <c r="J1707">
        <v>22286</v>
      </c>
      <c r="K1707">
        <v>18</v>
      </c>
      <c r="L1707">
        <v>0</v>
      </c>
      <c r="M1707">
        <v>0</v>
      </c>
      <c r="N1707" t="s">
        <v>93</v>
      </c>
      <c r="O1707">
        <v>2022</v>
      </c>
      <c r="P1707" t="s">
        <v>18</v>
      </c>
    </row>
    <row r="1708" spans="1:16" x14ac:dyDescent="0.3">
      <c r="A1708">
        <v>66</v>
      </c>
      <c r="B1708" t="s">
        <v>1556</v>
      </c>
      <c r="C1708" t="s">
        <v>4476</v>
      </c>
      <c r="D1708" t="str">
        <f>VLOOKUP(YouTube_University_Data_Final[[#This Row],[Title]],[1]!YouTube_University_Data_Final[[Title]:[Title_language]],2,FALSE)</f>
        <v>English</v>
      </c>
      <c r="E1708" t="s">
        <v>1565</v>
      </c>
      <c r="F1708">
        <v>27</v>
      </c>
      <c r="G1708" s="1">
        <v>44558</v>
      </c>
      <c r="H1708">
        <v>141</v>
      </c>
      <c r="I1708" t="s">
        <v>2944</v>
      </c>
      <c r="J1708">
        <v>320</v>
      </c>
      <c r="K1708">
        <v>3</v>
      </c>
      <c r="L1708">
        <v>0</v>
      </c>
      <c r="M1708">
        <v>0</v>
      </c>
      <c r="N1708" t="s">
        <v>98</v>
      </c>
      <c r="O1708">
        <v>2021</v>
      </c>
      <c r="P1708" t="s">
        <v>18</v>
      </c>
    </row>
    <row r="1709" spans="1:16" x14ac:dyDescent="0.3">
      <c r="A1709">
        <v>67</v>
      </c>
      <c r="B1709" t="s">
        <v>1556</v>
      </c>
      <c r="C1709" t="s">
        <v>4477</v>
      </c>
      <c r="D1709" t="str">
        <f>VLOOKUP(YouTube_University_Data_Final[[#This Row],[Title]],[1]!YouTube_University_Data_Final[[Title]:[Title_language]],2,FALSE)</f>
        <v>Chinese</v>
      </c>
      <c r="E1709" t="s">
        <v>4478</v>
      </c>
      <c r="F1709">
        <v>27</v>
      </c>
      <c r="G1709" s="1">
        <v>44554</v>
      </c>
      <c r="H1709">
        <v>102</v>
      </c>
      <c r="I1709" t="s">
        <v>4479</v>
      </c>
      <c r="J1709">
        <v>1032</v>
      </c>
      <c r="K1709">
        <v>5</v>
      </c>
      <c r="L1709">
        <v>0</v>
      </c>
      <c r="M1709">
        <v>0</v>
      </c>
      <c r="N1709" t="s">
        <v>98</v>
      </c>
      <c r="O1709">
        <v>2021</v>
      </c>
      <c r="P1709" t="s">
        <v>18</v>
      </c>
    </row>
    <row r="1710" spans="1:16" x14ac:dyDescent="0.3">
      <c r="A1710">
        <v>68</v>
      </c>
      <c r="B1710" t="s">
        <v>1556</v>
      </c>
      <c r="C1710" t="s">
        <v>4480</v>
      </c>
      <c r="D1710" t="str">
        <f>VLOOKUP(YouTube_University_Data_Final[[#This Row],[Title]],[1]!YouTube_University_Data_Final[[Title]:[Title_language]],2,FALSE)</f>
        <v>Chinese</v>
      </c>
      <c r="E1710" t="s">
        <v>4481</v>
      </c>
      <c r="F1710">
        <v>27</v>
      </c>
      <c r="G1710" s="1">
        <v>44548</v>
      </c>
      <c r="H1710">
        <v>101</v>
      </c>
      <c r="I1710" t="s">
        <v>4482</v>
      </c>
      <c r="J1710">
        <v>827</v>
      </c>
      <c r="K1710">
        <v>23</v>
      </c>
      <c r="L1710">
        <v>0</v>
      </c>
      <c r="M1710">
        <v>0</v>
      </c>
      <c r="N1710" t="s">
        <v>98</v>
      </c>
      <c r="O1710">
        <v>2021</v>
      </c>
      <c r="P1710" t="s">
        <v>18</v>
      </c>
    </row>
    <row r="1711" spans="1:16" x14ac:dyDescent="0.3">
      <c r="A1711">
        <v>69</v>
      </c>
      <c r="B1711" t="s">
        <v>1556</v>
      </c>
      <c r="C1711" t="s">
        <v>4483</v>
      </c>
      <c r="D1711" t="str">
        <f>VLOOKUP(YouTube_University_Data_Final[[#This Row],[Title]],[1]!YouTube_University_Data_Final[[Title]:[Title_language]],2,FALSE)</f>
        <v>English</v>
      </c>
      <c r="E1711" t="s">
        <v>4483</v>
      </c>
      <c r="F1711">
        <v>27</v>
      </c>
      <c r="G1711" s="1">
        <v>44546</v>
      </c>
      <c r="H1711">
        <v>28</v>
      </c>
      <c r="I1711" t="s">
        <v>2944</v>
      </c>
      <c r="J1711">
        <v>199</v>
      </c>
      <c r="K1711">
        <v>1</v>
      </c>
      <c r="L1711">
        <v>0</v>
      </c>
      <c r="M1711">
        <v>0</v>
      </c>
      <c r="N1711" t="s">
        <v>98</v>
      </c>
      <c r="O1711">
        <v>2021</v>
      </c>
      <c r="P1711" t="s">
        <v>18</v>
      </c>
    </row>
    <row r="1712" spans="1:16" x14ac:dyDescent="0.3">
      <c r="A1712">
        <v>70</v>
      </c>
      <c r="B1712" t="s">
        <v>1556</v>
      </c>
      <c r="C1712" t="s">
        <v>4484</v>
      </c>
      <c r="D1712" t="str">
        <f>VLOOKUP(YouTube_University_Data_Final[[#This Row],[Title]],[1]!YouTube_University_Data_Final[[Title]:[Title_language]],2,FALSE)</f>
        <v>Chinese</v>
      </c>
      <c r="E1712" t="s">
        <v>4485</v>
      </c>
      <c r="F1712">
        <v>27</v>
      </c>
      <c r="G1712" s="1">
        <v>44531</v>
      </c>
      <c r="H1712">
        <v>143</v>
      </c>
      <c r="I1712" t="s">
        <v>4486</v>
      </c>
      <c r="J1712">
        <v>957</v>
      </c>
      <c r="K1712">
        <v>11</v>
      </c>
      <c r="L1712">
        <v>0</v>
      </c>
      <c r="M1712">
        <v>0</v>
      </c>
      <c r="N1712" t="s">
        <v>98</v>
      </c>
      <c r="O1712">
        <v>2021</v>
      </c>
      <c r="P1712" t="s">
        <v>18</v>
      </c>
    </row>
    <row r="1713" spans="1:16" x14ac:dyDescent="0.3">
      <c r="A1713">
        <v>71</v>
      </c>
      <c r="B1713" t="s">
        <v>1556</v>
      </c>
      <c r="C1713" t="s">
        <v>4487</v>
      </c>
      <c r="D1713" t="str">
        <f>VLOOKUP(YouTube_University_Data_Final[[#This Row],[Title]],[1]!YouTube_University_Data_Final[[Title]:[Title_language]],2,FALSE)</f>
        <v>English</v>
      </c>
      <c r="E1713" t="s">
        <v>2944</v>
      </c>
      <c r="F1713">
        <v>27</v>
      </c>
      <c r="G1713" s="1">
        <v>44529</v>
      </c>
      <c r="H1713">
        <v>413</v>
      </c>
      <c r="I1713" t="s">
        <v>2944</v>
      </c>
      <c r="J1713">
        <v>248</v>
      </c>
      <c r="K1713">
        <v>5</v>
      </c>
      <c r="L1713">
        <v>0</v>
      </c>
      <c r="M1713">
        <v>0</v>
      </c>
      <c r="N1713" t="s">
        <v>101</v>
      </c>
      <c r="O1713">
        <v>2021</v>
      </c>
      <c r="P1713" t="s">
        <v>18</v>
      </c>
    </row>
    <row r="1714" spans="1:16" x14ac:dyDescent="0.3">
      <c r="A1714">
        <v>72</v>
      </c>
      <c r="B1714" t="s">
        <v>1556</v>
      </c>
      <c r="C1714" t="s">
        <v>4488</v>
      </c>
      <c r="D1714" t="str">
        <f>VLOOKUP(YouTube_University_Data_Final[[#This Row],[Title]],[1]!YouTube_University_Data_Final[[Title]:[Title_language]],2,FALSE)</f>
        <v>Chinese</v>
      </c>
      <c r="E1714" t="s">
        <v>4489</v>
      </c>
      <c r="F1714">
        <v>27</v>
      </c>
      <c r="G1714" s="1">
        <v>44515</v>
      </c>
      <c r="H1714">
        <v>149</v>
      </c>
      <c r="I1714" t="s">
        <v>4490</v>
      </c>
      <c r="J1714">
        <v>306</v>
      </c>
      <c r="K1714">
        <v>2</v>
      </c>
      <c r="L1714">
        <v>0</v>
      </c>
      <c r="M1714">
        <v>0</v>
      </c>
      <c r="N1714" t="s">
        <v>101</v>
      </c>
      <c r="O1714">
        <v>2021</v>
      </c>
      <c r="P1714" t="s">
        <v>18</v>
      </c>
    </row>
    <row r="1715" spans="1:16" x14ac:dyDescent="0.3">
      <c r="A1715">
        <v>73</v>
      </c>
      <c r="B1715" t="s">
        <v>1556</v>
      </c>
      <c r="C1715" t="s">
        <v>4491</v>
      </c>
      <c r="D1715" t="str">
        <f>VLOOKUP(YouTube_University_Data_Final[[#This Row],[Title]],[1]!YouTube_University_Data_Final[[Title]:[Title_language]],2,FALSE)</f>
        <v>Chinese</v>
      </c>
      <c r="E1715" t="s">
        <v>4492</v>
      </c>
      <c r="F1715">
        <v>27</v>
      </c>
      <c r="G1715" s="1">
        <v>44506</v>
      </c>
      <c r="H1715">
        <v>157</v>
      </c>
      <c r="I1715" t="s">
        <v>4493</v>
      </c>
      <c r="J1715">
        <v>522</v>
      </c>
      <c r="K1715">
        <v>1</v>
      </c>
      <c r="L1715">
        <v>0</v>
      </c>
      <c r="M1715">
        <v>0</v>
      </c>
      <c r="N1715" t="s">
        <v>101</v>
      </c>
      <c r="O1715">
        <v>2021</v>
      </c>
      <c r="P1715" t="s">
        <v>18</v>
      </c>
    </row>
    <row r="1716" spans="1:16" x14ac:dyDescent="0.3">
      <c r="A1716">
        <v>74</v>
      </c>
      <c r="B1716" t="s">
        <v>1556</v>
      </c>
      <c r="C1716" t="s">
        <v>4494</v>
      </c>
      <c r="D1716" t="str">
        <f>VLOOKUP(YouTube_University_Data_Final[[#This Row],[Title]],[1]!YouTube_University_Data_Final[[Title]:[Title_language]],2,FALSE)</f>
        <v>Chinese</v>
      </c>
      <c r="E1716" t="s">
        <v>4495</v>
      </c>
      <c r="F1716">
        <v>27</v>
      </c>
      <c r="G1716" s="1">
        <v>44495</v>
      </c>
      <c r="H1716">
        <v>96</v>
      </c>
      <c r="I1716" t="s">
        <v>4496</v>
      </c>
      <c r="J1716">
        <v>978</v>
      </c>
      <c r="K1716">
        <v>8</v>
      </c>
      <c r="L1716">
        <v>0</v>
      </c>
      <c r="M1716">
        <v>0</v>
      </c>
      <c r="N1716" t="s">
        <v>17</v>
      </c>
      <c r="O1716">
        <v>2021</v>
      </c>
      <c r="P1716" t="s">
        <v>18</v>
      </c>
    </row>
    <row r="1717" spans="1:16" x14ac:dyDescent="0.3">
      <c r="A1717">
        <v>75</v>
      </c>
      <c r="B1717" t="s">
        <v>1556</v>
      </c>
      <c r="C1717" t="s">
        <v>4497</v>
      </c>
      <c r="D1717" t="str">
        <f>VLOOKUP(YouTube_University_Data_Final[[#This Row],[Title]],[1]!YouTube_University_Data_Final[[Title]:[Title_language]],2,FALSE)</f>
        <v>Chinese</v>
      </c>
      <c r="E1717" t="s">
        <v>4498</v>
      </c>
      <c r="F1717">
        <v>27</v>
      </c>
      <c r="G1717" s="1">
        <v>44491</v>
      </c>
      <c r="H1717">
        <v>143</v>
      </c>
      <c r="I1717" t="s">
        <v>4499</v>
      </c>
      <c r="J1717">
        <v>524</v>
      </c>
      <c r="K1717">
        <v>5</v>
      </c>
      <c r="L1717">
        <v>0</v>
      </c>
      <c r="M1717">
        <v>0</v>
      </c>
      <c r="N1717" t="s">
        <v>17</v>
      </c>
      <c r="O1717">
        <v>2021</v>
      </c>
      <c r="P1717" t="s">
        <v>18</v>
      </c>
    </row>
    <row r="1718" spans="1:16" x14ac:dyDescent="0.3">
      <c r="A1718">
        <v>76</v>
      </c>
      <c r="B1718" t="s">
        <v>1556</v>
      </c>
      <c r="C1718" t="s">
        <v>4500</v>
      </c>
      <c r="D1718" t="str">
        <f>VLOOKUP(YouTube_University_Data_Final[[#This Row],[Title]],[1]!YouTube_University_Data_Final[[Title]:[Title_language]],2,FALSE)</f>
        <v>Chinese</v>
      </c>
      <c r="E1718" t="s">
        <v>4501</v>
      </c>
      <c r="F1718">
        <v>27</v>
      </c>
      <c r="G1718" s="1">
        <v>44480</v>
      </c>
      <c r="H1718">
        <v>4</v>
      </c>
      <c r="I1718" t="s">
        <v>4502</v>
      </c>
      <c r="J1718">
        <v>386</v>
      </c>
      <c r="K1718">
        <v>2</v>
      </c>
      <c r="L1718">
        <v>0</v>
      </c>
      <c r="M1718">
        <v>0</v>
      </c>
      <c r="N1718" t="s">
        <v>17</v>
      </c>
      <c r="O1718">
        <v>2021</v>
      </c>
      <c r="P1718" t="s">
        <v>18</v>
      </c>
    </row>
    <row r="1719" spans="1:16" x14ac:dyDescent="0.3">
      <c r="A1719">
        <v>77</v>
      </c>
      <c r="B1719" t="s">
        <v>1556</v>
      </c>
      <c r="C1719" t="s">
        <v>4503</v>
      </c>
      <c r="D1719" t="str">
        <f>VLOOKUP(YouTube_University_Data_Final[[#This Row],[Title]],[1]!YouTube_University_Data_Final[[Title]:[Title_language]],2,FALSE)</f>
        <v>Chinese</v>
      </c>
      <c r="E1719" t="s">
        <v>4504</v>
      </c>
      <c r="F1719">
        <v>27</v>
      </c>
      <c r="G1719" s="1">
        <v>44469</v>
      </c>
      <c r="H1719">
        <v>119</v>
      </c>
      <c r="I1719" t="s">
        <v>4505</v>
      </c>
      <c r="J1719">
        <v>1144</v>
      </c>
      <c r="K1719">
        <v>8</v>
      </c>
      <c r="L1719">
        <v>0</v>
      </c>
      <c r="M1719">
        <v>0</v>
      </c>
      <c r="N1719" t="s">
        <v>21</v>
      </c>
      <c r="O1719">
        <v>2021</v>
      </c>
      <c r="P1719" t="s">
        <v>18</v>
      </c>
    </row>
    <row r="1720" spans="1:16" x14ac:dyDescent="0.3">
      <c r="A1720">
        <v>78</v>
      </c>
      <c r="B1720" t="s">
        <v>1556</v>
      </c>
      <c r="C1720" t="s">
        <v>4506</v>
      </c>
      <c r="D1720" t="str">
        <f>VLOOKUP(YouTube_University_Data_Final[[#This Row],[Title]],[1]!YouTube_University_Data_Final[[Title]:[Title_language]],2,FALSE)</f>
        <v>Chinese</v>
      </c>
      <c r="E1720" t="s">
        <v>4507</v>
      </c>
      <c r="F1720">
        <v>27</v>
      </c>
      <c r="G1720" s="1">
        <v>44469</v>
      </c>
      <c r="H1720">
        <v>113</v>
      </c>
      <c r="I1720" t="s">
        <v>4508</v>
      </c>
      <c r="J1720">
        <v>972</v>
      </c>
      <c r="K1720">
        <v>7</v>
      </c>
      <c r="L1720">
        <v>0</v>
      </c>
      <c r="M1720">
        <v>0</v>
      </c>
      <c r="N1720" t="s">
        <v>21</v>
      </c>
      <c r="O1720">
        <v>2021</v>
      </c>
      <c r="P1720" t="s">
        <v>18</v>
      </c>
    </row>
    <row r="1721" spans="1:16" x14ac:dyDescent="0.3">
      <c r="A1721">
        <v>79</v>
      </c>
      <c r="B1721" t="s">
        <v>1556</v>
      </c>
      <c r="C1721" t="s">
        <v>4509</v>
      </c>
      <c r="D1721" t="str">
        <f>VLOOKUP(YouTube_University_Data_Final[[#This Row],[Title]],[1]!YouTube_University_Data_Final[[Title]:[Title_language]],2,FALSE)</f>
        <v>Chinese</v>
      </c>
      <c r="E1721" t="s">
        <v>4510</v>
      </c>
      <c r="F1721">
        <v>27</v>
      </c>
      <c r="G1721" s="1">
        <v>44467</v>
      </c>
      <c r="H1721">
        <v>93</v>
      </c>
      <c r="I1721" t="s">
        <v>4511</v>
      </c>
      <c r="J1721">
        <v>392</v>
      </c>
      <c r="K1721">
        <v>2</v>
      </c>
      <c r="L1721">
        <v>0</v>
      </c>
      <c r="M1721">
        <v>0</v>
      </c>
      <c r="N1721" t="s">
        <v>21</v>
      </c>
      <c r="O1721">
        <v>2021</v>
      </c>
      <c r="P1721" t="s">
        <v>18</v>
      </c>
    </row>
    <row r="1722" spans="1:16" x14ac:dyDescent="0.3">
      <c r="A1722">
        <v>80</v>
      </c>
      <c r="B1722" t="s">
        <v>1556</v>
      </c>
      <c r="C1722" t="s">
        <v>4512</v>
      </c>
      <c r="D1722" t="str">
        <f>VLOOKUP(YouTube_University_Data_Final[[#This Row],[Title]],[1]!YouTube_University_Data_Final[[Title]:[Title_language]],2,FALSE)</f>
        <v>Chinese</v>
      </c>
      <c r="E1722" t="s">
        <v>4513</v>
      </c>
      <c r="F1722">
        <v>27</v>
      </c>
      <c r="G1722" s="1">
        <v>44463</v>
      </c>
      <c r="H1722">
        <v>118</v>
      </c>
      <c r="I1722" t="s">
        <v>4514</v>
      </c>
      <c r="J1722">
        <v>683</v>
      </c>
      <c r="K1722">
        <v>9</v>
      </c>
      <c r="L1722">
        <v>0</v>
      </c>
      <c r="M1722">
        <v>0</v>
      </c>
      <c r="N1722" t="s">
        <v>21</v>
      </c>
      <c r="O1722">
        <v>2021</v>
      </c>
      <c r="P1722" t="s">
        <v>18</v>
      </c>
    </row>
    <row r="1723" spans="1:16" x14ac:dyDescent="0.3">
      <c r="A1723">
        <v>81</v>
      </c>
      <c r="B1723" t="s">
        <v>1556</v>
      </c>
      <c r="C1723" t="s">
        <v>4515</v>
      </c>
      <c r="D1723" t="str">
        <f>VLOOKUP(YouTube_University_Data_Final[[#This Row],[Title]],[1]!YouTube_University_Data_Final[[Title]:[Title_language]],2,FALSE)</f>
        <v>Chinese</v>
      </c>
      <c r="E1723" t="s">
        <v>4516</v>
      </c>
      <c r="F1723">
        <v>27</v>
      </c>
      <c r="G1723" s="1">
        <v>44456</v>
      </c>
      <c r="H1723">
        <v>109</v>
      </c>
      <c r="I1723" t="s">
        <v>4517</v>
      </c>
      <c r="J1723">
        <v>793</v>
      </c>
      <c r="K1723">
        <v>10</v>
      </c>
      <c r="L1723">
        <v>0</v>
      </c>
      <c r="M1723">
        <v>0</v>
      </c>
      <c r="N1723" t="s">
        <v>21</v>
      </c>
      <c r="O1723">
        <v>2021</v>
      </c>
      <c r="P1723" t="s">
        <v>18</v>
      </c>
    </row>
    <row r="1724" spans="1:16" x14ac:dyDescent="0.3">
      <c r="A1724">
        <v>82</v>
      </c>
      <c r="B1724" t="s">
        <v>1556</v>
      </c>
      <c r="C1724" t="s">
        <v>4518</v>
      </c>
      <c r="D1724" t="str">
        <f>VLOOKUP(YouTube_University_Data_Final[[#This Row],[Title]],[1]!YouTube_University_Data_Final[[Title]:[Title_language]],2,FALSE)</f>
        <v>Bilingual</v>
      </c>
      <c r="E1724" t="s">
        <v>4519</v>
      </c>
      <c r="F1724">
        <v>27</v>
      </c>
      <c r="G1724" s="1">
        <v>44453</v>
      </c>
      <c r="H1724">
        <v>135</v>
      </c>
      <c r="I1724" t="s">
        <v>4520</v>
      </c>
      <c r="J1724">
        <v>16472</v>
      </c>
      <c r="K1724">
        <v>58</v>
      </c>
      <c r="L1724">
        <v>0</v>
      </c>
      <c r="M1724">
        <v>0</v>
      </c>
      <c r="N1724" t="s">
        <v>21</v>
      </c>
      <c r="O1724">
        <v>2021</v>
      </c>
      <c r="P1724" t="s">
        <v>18</v>
      </c>
    </row>
    <row r="1725" spans="1:16" x14ac:dyDescent="0.3">
      <c r="A1725">
        <v>83</v>
      </c>
      <c r="B1725" t="s">
        <v>1556</v>
      </c>
      <c r="C1725" t="s">
        <v>4521</v>
      </c>
      <c r="D1725" t="str">
        <f>VLOOKUP(YouTube_University_Data_Final[[#This Row],[Title]],[1]!YouTube_University_Data_Final[[Title]:[Title_language]],2,FALSE)</f>
        <v>Chinese</v>
      </c>
      <c r="E1725" t="s">
        <v>4522</v>
      </c>
      <c r="F1725">
        <v>27</v>
      </c>
      <c r="G1725" s="1">
        <v>44442</v>
      </c>
      <c r="H1725">
        <v>88</v>
      </c>
      <c r="I1725" t="s">
        <v>4523</v>
      </c>
      <c r="J1725">
        <v>522</v>
      </c>
      <c r="K1725">
        <v>12</v>
      </c>
      <c r="L1725">
        <v>0</v>
      </c>
      <c r="M1725">
        <v>0</v>
      </c>
      <c r="N1725" t="s">
        <v>21</v>
      </c>
      <c r="O1725">
        <v>2021</v>
      </c>
      <c r="P1725" t="s">
        <v>18</v>
      </c>
    </row>
    <row r="1726" spans="1:16" x14ac:dyDescent="0.3">
      <c r="A1726">
        <v>84</v>
      </c>
      <c r="B1726" t="s">
        <v>1556</v>
      </c>
      <c r="C1726" t="s">
        <v>4524</v>
      </c>
      <c r="D1726" t="str">
        <f>VLOOKUP(YouTube_University_Data_Final[[#This Row],[Title]],[1]!YouTube_University_Data_Final[[Title]:[Title_language]],2,FALSE)</f>
        <v>Chinese</v>
      </c>
      <c r="E1726" t="s">
        <v>4525</v>
      </c>
      <c r="F1726">
        <v>27</v>
      </c>
      <c r="G1726" s="1">
        <v>44439</v>
      </c>
      <c r="H1726">
        <v>85</v>
      </c>
      <c r="I1726" t="s">
        <v>4526</v>
      </c>
      <c r="J1726">
        <v>268</v>
      </c>
      <c r="K1726">
        <v>5</v>
      </c>
      <c r="L1726">
        <v>0</v>
      </c>
      <c r="M1726">
        <v>0</v>
      </c>
      <c r="N1726" t="s">
        <v>48</v>
      </c>
      <c r="O1726">
        <v>2021</v>
      </c>
      <c r="P1726" t="s">
        <v>18</v>
      </c>
    </row>
    <row r="1727" spans="1:16" x14ac:dyDescent="0.3">
      <c r="A1727">
        <v>85</v>
      </c>
      <c r="B1727" t="s">
        <v>1556</v>
      </c>
      <c r="C1727" t="s">
        <v>4527</v>
      </c>
      <c r="D1727" t="str">
        <f>VLOOKUP(YouTube_University_Data_Final[[#This Row],[Title]],[1]!YouTube_University_Data_Final[[Title]:[Title_language]],2,FALSE)</f>
        <v>Chinese</v>
      </c>
      <c r="E1727" t="s">
        <v>4528</v>
      </c>
      <c r="F1727">
        <v>27</v>
      </c>
      <c r="G1727" s="1">
        <v>44433</v>
      </c>
      <c r="H1727">
        <v>108</v>
      </c>
      <c r="I1727" t="s">
        <v>4529</v>
      </c>
      <c r="J1727">
        <v>9054</v>
      </c>
      <c r="K1727">
        <v>27</v>
      </c>
      <c r="L1727">
        <v>0</v>
      </c>
      <c r="M1727">
        <v>0</v>
      </c>
      <c r="N1727" t="s">
        <v>48</v>
      </c>
      <c r="O1727">
        <v>2021</v>
      </c>
      <c r="P1727" t="s">
        <v>18</v>
      </c>
    </row>
    <row r="1728" spans="1:16" x14ac:dyDescent="0.3">
      <c r="A1728">
        <v>86</v>
      </c>
      <c r="B1728" t="s">
        <v>1556</v>
      </c>
      <c r="C1728" t="s">
        <v>4530</v>
      </c>
      <c r="D1728" t="str">
        <f>VLOOKUP(YouTube_University_Data_Final[[#This Row],[Title]],[1]!YouTube_University_Data_Final[[Title]:[Title_language]],2,FALSE)</f>
        <v>Chinese</v>
      </c>
      <c r="E1728" t="s">
        <v>4531</v>
      </c>
      <c r="F1728">
        <v>27</v>
      </c>
      <c r="G1728" s="1">
        <v>44428</v>
      </c>
      <c r="H1728">
        <v>190</v>
      </c>
      <c r="I1728" t="s">
        <v>4532</v>
      </c>
      <c r="J1728">
        <v>1804</v>
      </c>
      <c r="K1728">
        <v>34</v>
      </c>
      <c r="L1728">
        <v>0</v>
      </c>
      <c r="M1728">
        <v>0</v>
      </c>
      <c r="N1728" t="s">
        <v>48</v>
      </c>
      <c r="O1728">
        <v>2021</v>
      </c>
      <c r="P1728" t="s">
        <v>18</v>
      </c>
    </row>
    <row r="1729" spans="1:16" x14ac:dyDescent="0.3">
      <c r="A1729">
        <v>87</v>
      </c>
      <c r="B1729" t="s">
        <v>1556</v>
      </c>
      <c r="C1729" t="s">
        <v>1566</v>
      </c>
      <c r="D1729" t="str">
        <f>VLOOKUP(YouTube_University_Data_Final[[#This Row],[Title]],[1]!YouTube_University_Data_Final[[Title]:[Title_language]],2,FALSE)</f>
        <v>English</v>
      </c>
      <c r="E1729" t="s">
        <v>2944</v>
      </c>
      <c r="F1729">
        <v>27</v>
      </c>
      <c r="G1729" s="1">
        <v>44427</v>
      </c>
      <c r="H1729">
        <v>247</v>
      </c>
      <c r="I1729" t="s">
        <v>2944</v>
      </c>
      <c r="J1729">
        <v>1004</v>
      </c>
      <c r="K1729">
        <v>12</v>
      </c>
      <c r="L1729">
        <v>0</v>
      </c>
      <c r="M1729">
        <v>0</v>
      </c>
      <c r="N1729" t="s">
        <v>48</v>
      </c>
      <c r="O1729">
        <v>2021</v>
      </c>
      <c r="P1729" t="s">
        <v>18</v>
      </c>
    </row>
    <row r="1730" spans="1:16" x14ac:dyDescent="0.3">
      <c r="A1730">
        <v>88</v>
      </c>
      <c r="B1730" t="s">
        <v>1556</v>
      </c>
      <c r="C1730" t="s">
        <v>1567</v>
      </c>
      <c r="D1730" t="str">
        <f>VLOOKUP(YouTube_University_Data_Final[[#This Row],[Title]],[1]!YouTube_University_Data_Final[[Title]:[Title_language]],2,FALSE)</f>
        <v>English</v>
      </c>
      <c r="E1730" t="s">
        <v>4533</v>
      </c>
      <c r="F1730">
        <v>27</v>
      </c>
      <c r="G1730" s="1">
        <v>44414</v>
      </c>
      <c r="H1730">
        <v>185</v>
      </c>
      <c r="I1730" t="s">
        <v>2944</v>
      </c>
      <c r="J1730">
        <v>64901</v>
      </c>
      <c r="K1730">
        <v>17</v>
      </c>
      <c r="L1730">
        <v>0</v>
      </c>
      <c r="M1730">
        <v>0</v>
      </c>
      <c r="N1730" t="s">
        <v>48</v>
      </c>
      <c r="O1730">
        <v>2021</v>
      </c>
      <c r="P1730" t="s">
        <v>18</v>
      </c>
    </row>
    <row r="1731" spans="1:16" x14ac:dyDescent="0.3">
      <c r="A1731">
        <v>89</v>
      </c>
      <c r="B1731" t="s">
        <v>1556</v>
      </c>
      <c r="C1731" t="s">
        <v>4534</v>
      </c>
      <c r="D1731" t="str">
        <f>VLOOKUP(YouTube_University_Data_Final[[#This Row],[Title]],[1]!YouTube_University_Data_Final[[Title]:[Title_language]],2,FALSE)</f>
        <v>Chinese</v>
      </c>
      <c r="E1731" t="s">
        <v>4535</v>
      </c>
      <c r="F1731">
        <v>27</v>
      </c>
      <c r="G1731" s="1">
        <v>44413</v>
      </c>
      <c r="H1731">
        <v>116</v>
      </c>
      <c r="I1731" t="s">
        <v>4536</v>
      </c>
      <c r="J1731">
        <v>9274</v>
      </c>
      <c r="K1731">
        <v>111</v>
      </c>
      <c r="L1731">
        <v>0</v>
      </c>
      <c r="M1731">
        <v>0</v>
      </c>
      <c r="N1731" t="s">
        <v>48</v>
      </c>
      <c r="O1731">
        <v>2021</v>
      </c>
      <c r="P1731" t="s">
        <v>18</v>
      </c>
    </row>
    <row r="1732" spans="1:16" x14ac:dyDescent="0.3">
      <c r="A1732">
        <v>90</v>
      </c>
      <c r="B1732" t="s">
        <v>1556</v>
      </c>
      <c r="C1732" t="s">
        <v>1568</v>
      </c>
      <c r="D1732" t="str">
        <f>VLOOKUP(YouTube_University_Data_Final[[#This Row],[Title]],[1]!YouTube_University_Data_Final[[Title]:[Title_language]],2,FALSE)</f>
        <v>English</v>
      </c>
      <c r="E1732" t="s">
        <v>2944</v>
      </c>
      <c r="F1732">
        <v>27</v>
      </c>
      <c r="G1732" s="1">
        <v>44400</v>
      </c>
      <c r="H1732">
        <v>209</v>
      </c>
      <c r="I1732" t="s">
        <v>2944</v>
      </c>
      <c r="J1732">
        <v>532</v>
      </c>
      <c r="K1732">
        <v>7</v>
      </c>
      <c r="L1732">
        <v>0</v>
      </c>
      <c r="M1732">
        <v>0</v>
      </c>
      <c r="N1732" t="s">
        <v>56</v>
      </c>
      <c r="O1732">
        <v>2021</v>
      </c>
      <c r="P1732" t="s">
        <v>18</v>
      </c>
    </row>
    <row r="1733" spans="1:16" x14ac:dyDescent="0.3">
      <c r="A1733">
        <v>91</v>
      </c>
      <c r="B1733" t="s">
        <v>1556</v>
      </c>
      <c r="C1733" t="s">
        <v>4537</v>
      </c>
      <c r="D1733" t="str">
        <f>VLOOKUP(YouTube_University_Data_Final[[#This Row],[Title]],[1]!YouTube_University_Data_Final[[Title]:[Title_language]],2,FALSE)</f>
        <v>Chinese</v>
      </c>
      <c r="E1733" t="s">
        <v>4538</v>
      </c>
      <c r="F1733">
        <v>27</v>
      </c>
      <c r="G1733" s="1">
        <v>44396</v>
      </c>
      <c r="H1733">
        <v>128</v>
      </c>
      <c r="I1733" t="s">
        <v>4539</v>
      </c>
      <c r="J1733">
        <v>151880</v>
      </c>
      <c r="K1733">
        <v>42</v>
      </c>
      <c r="L1733">
        <v>0</v>
      </c>
      <c r="M1733">
        <v>0</v>
      </c>
      <c r="N1733" t="s">
        <v>56</v>
      </c>
      <c r="O1733">
        <v>2021</v>
      </c>
      <c r="P1733" t="s">
        <v>18</v>
      </c>
    </row>
    <row r="1734" spans="1:16" x14ac:dyDescent="0.3">
      <c r="A1734">
        <v>92</v>
      </c>
      <c r="B1734" t="s">
        <v>1556</v>
      </c>
      <c r="C1734" t="s">
        <v>4540</v>
      </c>
      <c r="D1734" t="str">
        <f>VLOOKUP(YouTube_University_Data_Final[[#This Row],[Title]],[1]!YouTube_University_Data_Final[[Title]:[Title_language]],2,FALSE)</f>
        <v>Chinese</v>
      </c>
      <c r="E1734" t="s">
        <v>4541</v>
      </c>
      <c r="F1734">
        <v>27</v>
      </c>
      <c r="G1734" s="1">
        <v>44376</v>
      </c>
      <c r="H1734">
        <v>94</v>
      </c>
      <c r="I1734" t="s">
        <v>2944</v>
      </c>
      <c r="J1734">
        <v>392</v>
      </c>
      <c r="K1734">
        <v>4</v>
      </c>
      <c r="L1734">
        <v>0</v>
      </c>
      <c r="M1734">
        <v>0</v>
      </c>
      <c r="N1734" t="s">
        <v>78</v>
      </c>
      <c r="O1734">
        <v>2021</v>
      </c>
      <c r="P1734" t="s">
        <v>18</v>
      </c>
    </row>
    <row r="1735" spans="1:16" x14ac:dyDescent="0.3">
      <c r="A1735">
        <v>93</v>
      </c>
      <c r="B1735" t="s">
        <v>1556</v>
      </c>
      <c r="C1735" t="s">
        <v>1569</v>
      </c>
      <c r="D1735" t="str">
        <f>VLOOKUP(YouTube_University_Data_Final[[#This Row],[Title]],[1]!YouTube_University_Data_Final[[Title]:[Title_language]],2,FALSE)</f>
        <v>English</v>
      </c>
      <c r="E1735" t="s">
        <v>2944</v>
      </c>
      <c r="F1735">
        <v>27</v>
      </c>
      <c r="G1735" s="1">
        <v>44376</v>
      </c>
      <c r="H1735">
        <v>102</v>
      </c>
      <c r="I1735" t="s">
        <v>2944</v>
      </c>
      <c r="J1735">
        <v>253</v>
      </c>
      <c r="K1735">
        <v>5</v>
      </c>
      <c r="L1735">
        <v>0</v>
      </c>
      <c r="M1735">
        <v>0</v>
      </c>
      <c r="N1735" t="s">
        <v>78</v>
      </c>
      <c r="O1735">
        <v>2021</v>
      </c>
      <c r="P1735" t="s">
        <v>18</v>
      </c>
    </row>
    <row r="1736" spans="1:16" x14ac:dyDescent="0.3">
      <c r="A1736">
        <v>94</v>
      </c>
      <c r="B1736" t="s">
        <v>1556</v>
      </c>
      <c r="C1736" t="s">
        <v>4542</v>
      </c>
      <c r="D1736" t="str">
        <f>VLOOKUP(YouTube_University_Data_Final[[#This Row],[Title]],[1]!YouTube_University_Data_Final[[Title]:[Title_language]],2,FALSE)</f>
        <v>English</v>
      </c>
      <c r="E1736" t="s">
        <v>2944</v>
      </c>
      <c r="F1736">
        <v>27</v>
      </c>
      <c r="G1736" s="1">
        <v>44340</v>
      </c>
      <c r="H1736">
        <v>319</v>
      </c>
      <c r="I1736" t="s">
        <v>2944</v>
      </c>
      <c r="J1736">
        <v>1380</v>
      </c>
      <c r="K1736">
        <v>10</v>
      </c>
      <c r="L1736">
        <v>0</v>
      </c>
      <c r="M1736">
        <v>0</v>
      </c>
      <c r="N1736" t="s">
        <v>81</v>
      </c>
      <c r="O1736">
        <v>2021</v>
      </c>
      <c r="P1736" t="s">
        <v>18</v>
      </c>
    </row>
    <row r="1737" spans="1:16" x14ac:dyDescent="0.3">
      <c r="A1737">
        <v>95</v>
      </c>
      <c r="B1737" t="s">
        <v>1556</v>
      </c>
      <c r="C1737" t="s">
        <v>1570</v>
      </c>
      <c r="D1737" t="str">
        <f>VLOOKUP(YouTube_University_Data_Final[[#This Row],[Title]],[1]!YouTube_University_Data_Final[[Title]:[Title_language]],2,FALSE)</f>
        <v>English</v>
      </c>
      <c r="E1737" t="s">
        <v>2944</v>
      </c>
      <c r="F1737">
        <v>27</v>
      </c>
      <c r="G1737" s="1">
        <v>44319</v>
      </c>
      <c r="H1737">
        <v>212</v>
      </c>
      <c r="I1737" t="s">
        <v>2944</v>
      </c>
      <c r="J1737">
        <v>286</v>
      </c>
      <c r="K1737">
        <v>5</v>
      </c>
      <c r="L1737">
        <v>0</v>
      </c>
      <c r="M1737">
        <v>0</v>
      </c>
      <c r="N1737" t="s">
        <v>81</v>
      </c>
      <c r="O1737">
        <v>2021</v>
      </c>
      <c r="P1737" t="s">
        <v>18</v>
      </c>
    </row>
    <row r="1738" spans="1:16" x14ac:dyDescent="0.3">
      <c r="A1738">
        <v>96</v>
      </c>
      <c r="B1738" t="s">
        <v>1556</v>
      </c>
      <c r="C1738" t="s">
        <v>4543</v>
      </c>
      <c r="D1738" t="str">
        <f>VLOOKUP(YouTube_University_Data_Final[[#This Row],[Title]],[1]!YouTube_University_Data_Final[[Title]:[Title_language]],2,FALSE)</f>
        <v>Bilingual</v>
      </c>
      <c r="E1738" t="s">
        <v>4544</v>
      </c>
      <c r="F1738">
        <v>27</v>
      </c>
      <c r="G1738" s="1">
        <v>44284</v>
      </c>
      <c r="H1738">
        <v>80</v>
      </c>
      <c r="I1738" t="s">
        <v>4545</v>
      </c>
      <c r="J1738">
        <v>26532</v>
      </c>
      <c r="K1738">
        <v>11</v>
      </c>
      <c r="L1738">
        <v>0</v>
      </c>
      <c r="M1738">
        <v>0</v>
      </c>
      <c r="N1738" t="s">
        <v>90</v>
      </c>
      <c r="O1738">
        <v>2021</v>
      </c>
      <c r="P1738" t="s">
        <v>18</v>
      </c>
    </row>
    <row r="1739" spans="1:16" x14ac:dyDescent="0.3">
      <c r="A1739">
        <v>97</v>
      </c>
      <c r="B1739" t="s">
        <v>1556</v>
      </c>
      <c r="C1739" t="s">
        <v>1571</v>
      </c>
      <c r="D1739" t="str">
        <f>VLOOKUP(YouTube_University_Data_Final[[#This Row],[Title]],[1]!YouTube_University_Data_Final[[Title]:[Title_language]],2,FALSE)</f>
        <v>English</v>
      </c>
      <c r="E1739" t="s">
        <v>2944</v>
      </c>
      <c r="F1739">
        <v>27</v>
      </c>
      <c r="G1739" s="1">
        <v>44280</v>
      </c>
      <c r="H1739">
        <v>119</v>
      </c>
      <c r="I1739" t="s">
        <v>2944</v>
      </c>
      <c r="J1739">
        <v>689</v>
      </c>
      <c r="K1739">
        <v>10</v>
      </c>
      <c r="L1739">
        <v>0</v>
      </c>
      <c r="M1739">
        <v>0</v>
      </c>
      <c r="N1739" t="s">
        <v>90</v>
      </c>
      <c r="O1739">
        <v>2021</v>
      </c>
      <c r="P1739" t="s">
        <v>18</v>
      </c>
    </row>
    <row r="1740" spans="1:16" x14ac:dyDescent="0.3">
      <c r="A1740">
        <v>98</v>
      </c>
      <c r="B1740" t="s">
        <v>1556</v>
      </c>
      <c r="C1740" t="s">
        <v>4546</v>
      </c>
      <c r="D1740" t="str">
        <f>VLOOKUP(YouTube_University_Data_Final[[#This Row],[Title]],[1]!YouTube_University_Data_Final[[Title]:[Title_language]],2,FALSE)</f>
        <v>Chinese</v>
      </c>
      <c r="E1740" t="s">
        <v>4541</v>
      </c>
      <c r="F1740">
        <v>27</v>
      </c>
      <c r="G1740" s="1">
        <v>44279</v>
      </c>
      <c r="H1740">
        <v>94</v>
      </c>
      <c r="I1740" t="s">
        <v>4547</v>
      </c>
      <c r="J1740">
        <v>26962</v>
      </c>
      <c r="K1740">
        <v>54</v>
      </c>
      <c r="L1740">
        <v>0</v>
      </c>
      <c r="M1740">
        <v>0</v>
      </c>
      <c r="N1740" t="s">
        <v>90</v>
      </c>
      <c r="O1740">
        <v>2021</v>
      </c>
      <c r="P1740" t="s">
        <v>18</v>
      </c>
    </row>
    <row r="1741" spans="1:16" x14ac:dyDescent="0.3">
      <c r="A1741">
        <v>99</v>
      </c>
      <c r="B1741" t="s">
        <v>1556</v>
      </c>
      <c r="C1741" t="s">
        <v>1572</v>
      </c>
      <c r="D1741" t="str">
        <f>VLOOKUP(YouTube_University_Data_Final[[#This Row],[Title]],[1]!YouTube_University_Data_Final[[Title]:[Title_language]],2,FALSE)</f>
        <v>English</v>
      </c>
      <c r="E1741" t="s">
        <v>2944</v>
      </c>
      <c r="F1741">
        <v>27</v>
      </c>
      <c r="G1741" s="1">
        <v>44279</v>
      </c>
      <c r="H1741">
        <v>140</v>
      </c>
      <c r="I1741" t="s">
        <v>2944</v>
      </c>
      <c r="J1741">
        <v>124112</v>
      </c>
      <c r="K1741">
        <v>7</v>
      </c>
      <c r="L1741">
        <v>0</v>
      </c>
      <c r="M1741">
        <v>0</v>
      </c>
      <c r="N1741" t="s">
        <v>90</v>
      </c>
      <c r="O1741">
        <v>2021</v>
      </c>
      <c r="P1741" t="s">
        <v>18</v>
      </c>
    </row>
    <row r="1742" spans="1:16" x14ac:dyDescent="0.3">
      <c r="A1742">
        <v>100</v>
      </c>
      <c r="B1742" t="s">
        <v>1556</v>
      </c>
      <c r="C1742" t="s">
        <v>4548</v>
      </c>
      <c r="D1742" t="str">
        <f>VLOOKUP(YouTube_University_Data_Final[[#This Row],[Title]],[1]!YouTube_University_Data_Final[[Title]:[Title_language]],2,FALSE)</f>
        <v>Bilingual</v>
      </c>
      <c r="E1742" t="s">
        <v>2944</v>
      </c>
      <c r="F1742">
        <v>27</v>
      </c>
      <c r="G1742" s="1">
        <v>44266</v>
      </c>
      <c r="H1742">
        <v>173</v>
      </c>
      <c r="I1742" t="s">
        <v>2944</v>
      </c>
      <c r="J1742">
        <v>33118</v>
      </c>
      <c r="K1742">
        <v>8</v>
      </c>
      <c r="L1742">
        <v>0</v>
      </c>
      <c r="M1742">
        <v>0</v>
      </c>
      <c r="N1742" t="s">
        <v>90</v>
      </c>
      <c r="O1742">
        <v>2021</v>
      </c>
      <c r="P1742" t="s">
        <v>18</v>
      </c>
    </row>
    <row r="1743" spans="1:16" x14ac:dyDescent="0.3">
      <c r="A1743">
        <v>101</v>
      </c>
      <c r="B1743" t="s">
        <v>1556</v>
      </c>
      <c r="C1743" t="s">
        <v>4549</v>
      </c>
      <c r="D1743" t="str">
        <f>VLOOKUP(YouTube_University_Data_Final[[#This Row],[Title]],[1]!YouTube_University_Data_Final[[Title]:[Title_language]],2,FALSE)</f>
        <v>Bilingual</v>
      </c>
      <c r="E1743" t="s">
        <v>2944</v>
      </c>
      <c r="F1743">
        <v>27</v>
      </c>
      <c r="G1743" s="1">
        <v>44266</v>
      </c>
      <c r="H1743">
        <v>215</v>
      </c>
      <c r="I1743" t="s">
        <v>2944</v>
      </c>
      <c r="J1743">
        <v>86293</v>
      </c>
      <c r="K1743">
        <v>12</v>
      </c>
      <c r="L1743">
        <v>0</v>
      </c>
      <c r="M1743">
        <v>0</v>
      </c>
      <c r="N1743" t="s">
        <v>90</v>
      </c>
      <c r="O1743">
        <v>2021</v>
      </c>
      <c r="P1743" t="s">
        <v>18</v>
      </c>
    </row>
    <row r="1744" spans="1:16" x14ac:dyDescent="0.3">
      <c r="A1744">
        <v>102</v>
      </c>
      <c r="B1744" t="s">
        <v>1556</v>
      </c>
      <c r="C1744" t="s">
        <v>1573</v>
      </c>
      <c r="D1744" t="str">
        <f>VLOOKUP(YouTube_University_Data_Final[[#This Row],[Title]],[1]!YouTube_University_Data_Final[[Title]:[Title_language]],2,FALSE)</f>
        <v>English</v>
      </c>
      <c r="E1744" t="s">
        <v>2944</v>
      </c>
      <c r="F1744">
        <v>27</v>
      </c>
      <c r="G1744" s="1">
        <v>44258</v>
      </c>
      <c r="H1744">
        <v>258</v>
      </c>
      <c r="I1744" t="s">
        <v>2944</v>
      </c>
      <c r="J1744">
        <v>59821</v>
      </c>
      <c r="K1744">
        <v>18</v>
      </c>
      <c r="L1744">
        <v>0</v>
      </c>
      <c r="M1744">
        <v>0</v>
      </c>
      <c r="N1744" t="s">
        <v>90</v>
      </c>
      <c r="O1744">
        <v>2021</v>
      </c>
      <c r="P1744" t="s">
        <v>18</v>
      </c>
    </row>
    <row r="1745" spans="1:16" x14ac:dyDescent="0.3">
      <c r="A1745">
        <v>103</v>
      </c>
      <c r="B1745" t="s">
        <v>1556</v>
      </c>
      <c r="C1745" t="s">
        <v>4550</v>
      </c>
      <c r="D1745" t="str">
        <f>VLOOKUP(YouTube_University_Data_Final[[#This Row],[Title]],[1]!YouTube_University_Data_Final[[Title]:[Title_language]],2,FALSE)</f>
        <v>Bilingual</v>
      </c>
      <c r="E1745" t="s">
        <v>4551</v>
      </c>
      <c r="F1745">
        <v>27</v>
      </c>
      <c r="G1745" s="1">
        <v>44256</v>
      </c>
      <c r="H1745">
        <v>137</v>
      </c>
      <c r="I1745" t="s">
        <v>4552</v>
      </c>
      <c r="J1745">
        <v>69359</v>
      </c>
      <c r="K1745">
        <v>72</v>
      </c>
      <c r="L1745">
        <v>0</v>
      </c>
      <c r="M1745">
        <v>0</v>
      </c>
      <c r="N1745" t="s">
        <v>90</v>
      </c>
      <c r="O1745">
        <v>2021</v>
      </c>
      <c r="P1745" t="s">
        <v>18</v>
      </c>
    </row>
    <row r="1746" spans="1:16" x14ac:dyDescent="0.3">
      <c r="A1746">
        <v>104</v>
      </c>
      <c r="B1746" t="s">
        <v>1556</v>
      </c>
      <c r="C1746" t="s">
        <v>4553</v>
      </c>
      <c r="D1746" t="str">
        <f>VLOOKUP(YouTube_University_Data_Final[[#This Row],[Title]],[1]!YouTube_University_Data_Final[[Title]:[Title_language]],2,FALSE)</f>
        <v>Bilingual</v>
      </c>
      <c r="E1746" t="s">
        <v>4554</v>
      </c>
      <c r="F1746">
        <v>27</v>
      </c>
      <c r="G1746" s="1">
        <v>44250</v>
      </c>
      <c r="H1746">
        <v>135</v>
      </c>
      <c r="I1746" t="s">
        <v>4555</v>
      </c>
      <c r="J1746">
        <v>148846</v>
      </c>
      <c r="K1746">
        <v>0</v>
      </c>
      <c r="L1746">
        <v>0</v>
      </c>
      <c r="M1746">
        <v>0</v>
      </c>
      <c r="N1746" t="s">
        <v>162</v>
      </c>
      <c r="O1746">
        <v>2021</v>
      </c>
      <c r="P1746" t="s">
        <v>18</v>
      </c>
    </row>
    <row r="1747" spans="1:16" x14ac:dyDescent="0.3">
      <c r="A1747">
        <v>105</v>
      </c>
      <c r="B1747" t="s">
        <v>1556</v>
      </c>
      <c r="C1747" t="s">
        <v>4556</v>
      </c>
      <c r="D1747" t="str">
        <f>VLOOKUP(YouTube_University_Data_Final[[#This Row],[Title]],[1]!YouTube_University_Data_Final[[Title]:[Title_language]],2,FALSE)</f>
        <v>Bilingual</v>
      </c>
      <c r="E1747" t="s">
        <v>4554</v>
      </c>
      <c r="F1747">
        <v>27</v>
      </c>
      <c r="G1747" s="1">
        <v>44250</v>
      </c>
      <c r="H1747">
        <v>134</v>
      </c>
      <c r="I1747" t="s">
        <v>4555</v>
      </c>
      <c r="J1747">
        <v>149583</v>
      </c>
      <c r="K1747">
        <v>0</v>
      </c>
      <c r="L1747">
        <v>0</v>
      </c>
      <c r="M1747">
        <v>0</v>
      </c>
      <c r="N1747" t="s">
        <v>162</v>
      </c>
      <c r="O1747">
        <v>2021</v>
      </c>
      <c r="P1747" t="s">
        <v>18</v>
      </c>
    </row>
    <row r="1748" spans="1:16" x14ac:dyDescent="0.3">
      <c r="A1748">
        <v>106</v>
      </c>
      <c r="B1748" t="s">
        <v>1556</v>
      </c>
      <c r="C1748" t="s">
        <v>4557</v>
      </c>
      <c r="D1748" t="str">
        <f>VLOOKUP(YouTube_University_Data_Final[[#This Row],[Title]],[1]!YouTube_University_Data_Final[[Title]:[Title_language]],2,FALSE)</f>
        <v>Bilingual</v>
      </c>
      <c r="E1748" t="s">
        <v>4558</v>
      </c>
      <c r="F1748">
        <v>27</v>
      </c>
      <c r="G1748" s="1">
        <v>44246</v>
      </c>
      <c r="H1748">
        <v>88</v>
      </c>
      <c r="I1748" t="s">
        <v>4555</v>
      </c>
      <c r="J1748">
        <v>59681</v>
      </c>
      <c r="K1748">
        <v>0</v>
      </c>
      <c r="L1748">
        <v>0</v>
      </c>
      <c r="M1748">
        <v>0</v>
      </c>
      <c r="N1748" t="s">
        <v>162</v>
      </c>
      <c r="O1748">
        <v>2021</v>
      </c>
      <c r="P1748" t="s">
        <v>18</v>
      </c>
    </row>
    <row r="1749" spans="1:16" x14ac:dyDescent="0.3">
      <c r="A1749">
        <v>107</v>
      </c>
      <c r="B1749" t="s">
        <v>1556</v>
      </c>
      <c r="C1749" t="s">
        <v>4559</v>
      </c>
      <c r="D1749" t="str">
        <f>VLOOKUP(YouTube_University_Data_Final[[#This Row],[Title]],[1]!YouTube_University_Data_Final[[Title]:[Title_language]],2,FALSE)</f>
        <v>English</v>
      </c>
      <c r="E1749" t="s">
        <v>2944</v>
      </c>
      <c r="F1749">
        <v>27</v>
      </c>
      <c r="G1749" s="1">
        <v>44244</v>
      </c>
      <c r="H1749">
        <v>475</v>
      </c>
      <c r="I1749" t="s">
        <v>2944</v>
      </c>
      <c r="J1749">
        <v>1132</v>
      </c>
      <c r="K1749">
        <v>13</v>
      </c>
      <c r="L1749">
        <v>0</v>
      </c>
      <c r="M1749">
        <v>0</v>
      </c>
      <c r="N1749" t="s">
        <v>162</v>
      </c>
      <c r="O1749">
        <v>2021</v>
      </c>
      <c r="P1749" t="s">
        <v>18</v>
      </c>
    </row>
    <row r="1750" spans="1:16" x14ac:dyDescent="0.3">
      <c r="A1750">
        <v>108</v>
      </c>
      <c r="B1750" t="s">
        <v>1556</v>
      </c>
      <c r="C1750" t="s">
        <v>1574</v>
      </c>
      <c r="D1750" t="str">
        <f>VLOOKUP(YouTube_University_Data_Final[[#This Row],[Title]],[1]!YouTube_University_Data_Final[[Title]:[Title_language]],2,FALSE)</f>
        <v>English</v>
      </c>
      <c r="E1750" t="s">
        <v>4560</v>
      </c>
      <c r="F1750">
        <v>27</v>
      </c>
      <c r="G1750" s="1">
        <v>44207</v>
      </c>
      <c r="H1750">
        <v>151</v>
      </c>
      <c r="I1750" t="s">
        <v>2944</v>
      </c>
      <c r="J1750">
        <v>59641</v>
      </c>
      <c r="K1750">
        <v>10</v>
      </c>
      <c r="L1750">
        <v>0</v>
      </c>
      <c r="M1750">
        <v>0</v>
      </c>
      <c r="N1750" t="s">
        <v>93</v>
      </c>
      <c r="O1750">
        <v>2021</v>
      </c>
      <c r="P1750" t="s">
        <v>18</v>
      </c>
    </row>
    <row r="1751" spans="1:16" x14ac:dyDescent="0.3">
      <c r="A1751">
        <v>109</v>
      </c>
      <c r="B1751" t="s">
        <v>1556</v>
      </c>
      <c r="C1751" t="s">
        <v>4561</v>
      </c>
      <c r="D1751" t="str">
        <f>VLOOKUP(YouTube_University_Data_Final[[#This Row],[Title]],[1]!YouTube_University_Data_Final[[Title]:[Title_language]],2,FALSE)</f>
        <v>English</v>
      </c>
      <c r="E1751" t="s">
        <v>2944</v>
      </c>
      <c r="F1751">
        <v>27</v>
      </c>
      <c r="G1751" s="1">
        <v>44189</v>
      </c>
      <c r="H1751">
        <v>361</v>
      </c>
      <c r="I1751" t="s">
        <v>2944</v>
      </c>
      <c r="J1751">
        <v>443</v>
      </c>
      <c r="K1751">
        <v>8</v>
      </c>
      <c r="L1751">
        <v>0</v>
      </c>
      <c r="M1751">
        <v>0</v>
      </c>
      <c r="N1751" t="s">
        <v>98</v>
      </c>
      <c r="O1751">
        <v>2020</v>
      </c>
      <c r="P1751" t="s">
        <v>18</v>
      </c>
    </row>
    <row r="1752" spans="1:16" x14ac:dyDescent="0.3">
      <c r="A1752">
        <v>110</v>
      </c>
      <c r="B1752" t="s">
        <v>1556</v>
      </c>
      <c r="C1752" t="s">
        <v>1575</v>
      </c>
      <c r="D1752" t="str">
        <f>VLOOKUP(YouTube_University_Data_Final[[#This Row],[Title]],[1]!YouTube_University_Data_Final[[Title]:[Title_language]],2,FALSE)</f>
        <v>English</v>
      </c>
      <c r="E1752" t="s">
        <v>2944</v>
      </c>
      <c r="F1752">
        <v>27</v>
      </c>
      <c r="G1752" s="1">
        <v>44176</v>
      </c>
      <c r="H1752">
        <v>146</v>
      </c>
      <c r="I1752" t="s">
        <v>2944</v>
      </c>
      <c r="J1752">
        <v>141</v>
      </c>
      <c r="K1752">
        <v>0</v>
      </c>
      <c r="L1752">
        <v>0</v>
      </c>
      <c r="M1752">
        <v>0</v>
      </c>
      <c r="N1752" t="s">
        <v>98</v>
      </c>
      <c r="O1752">
        <v>2020</v>
      </c>
      <c r="P1752" t="s">
        <v>18</v>
      </c>
    </row>
    <row r="1753" spans="1:16" x14ac:dyDescent="0.3">
      <c r="A1753">
        <v>111</v>
      </c>
      <c r="B1753" t="s">
        <v>1556</v>
      </c>
      <c r="C1753" t="s">
        <v>4562</v>
      </c>
      <c r="D1753" t="str">
        <f>VLOOKUP(YouTube_University_Data_Final[[#This Row],[Title]],[1]!YouTube_University_Data_Final[[Title]:[Title_language]],2,FALSE)</f>
        <v>English</v>
      </c>
      <c r="E1753" t="s">
        <v>2944</v>
      </c>
      <c r="F1753">
        <v>27</v>
      </c>
      <c r="G1753" s="1">
        <v>44141</v>
      </c>
      <c r="H1753">
        <v>113</v>
      </c>
      <c r="I1753" t="s">
        <v>2944</v>
      </c>
      <c r="J1753">
        <v>115416</v>
      </c>
      <c r="K1753">
        <v>6</v>
      </c>
      <c r="L1753">
        <v>0</v>
      </c>
      <c r="M1753">
        <v>0</v>
      </c>
      <c r="N1753" t="s">
        <v>101</v>
      </c>
      <c r="O1753">
        <v>2020</v>
      </c>
      <c r="P1753" t="s">
        <v>18</v>
      </c>
    </row>
    <row r="1754" spans="1:16" x14ac:dyDescent="0.3">
      <c r="A1754">
        <v>112</v>
      </c>
      <c r="B1754" t="s">
        <v>1556</v>
      </c>
      <c r="C1754" t="s">
        <v>1576</v>
      </c>
      <c r="D1754" t="str">
        <f>VLOOKUP(YouTube_University_Data_Final[[#This Row],[Title]],[1]!YouTube_University_Data_Final[[Title]:[Title_language]],2,FALSE)</f>
        <v>English</v>
      </c>
      <c r="E1754" t="s">
        <v>2944</v>
      </c>
      <c r="F1754">
        <v>27</v>
      </c>
      <c r="G1754" s="1">
        <v>44138</v>
      </c>
      <c r="H1754">
        <v>127</v>
      </c>
      <c r="I1754" t="s">
        <v>2944</v>
      </c>
      <c r="J1754">
        <v>211</v>
      </c>
      <c r="K1754">
        <v>3</v>
      </c>
      <c r="L1754">
        <v>0</v>
      </c>
      <c r="M1754">
        <v>0</v>
      </c>
      <c r="N1754" t="s">
        <v>101</v>
      </c>
      <c r="O1754">
        <v>2020</v>
      </c>
      <c r="P1754" t="s">
        <v>18</v>
      </c>
    </row>
    <row r="1755" spans="1:16" x14ac:dyDescent="0.3">
      <c r="A1755">
        <v>113</v>
      </c>
      <c r="B1755" t="s">
        <v>1556</v>
      </c>
      <c r="C1755" t="s">
        <v>1577</v>
      </c>
      <c r="D1755" t="str">
        <f>VLOOKUP(YouTube_University_Data_Final[[#This Row],[Title]],[1]!YouTube_University_Data_Final[[Title]:[Title_language]],2,FALSE)</f>
        <v>English</v>
      </c>
      <c r="E1755" t="s">
        <v>2944</v>
      </c>
      <c r="F1755">
        <v>27</v>
      </c>
      <c r="G1755" s="1">
        <v>44069</v>
      </c>
      <c r="H1755">
        <v>228</v>
      </c>
      <c r="I1755" t="s">
        <v>2944</v>
      </c>
      <c r="J1755">
        <v>792</v>
      </c>
      <c r="K1755">
        <v>12</v>
      </c>
      <c r="L1755">
        <v>0</v>
      </c>
      <c r="M1755">
        <v>0</v>
      </c>
      <c r="N1755" t="s">
        <v>48</v>
      </c>
      <c r="O1755">
        <v>2020</v>
      </c>
      <c r="P1755" t="s">
        <v>18</v>
      </c>
    </row>
    <row r="1756" spans="1:16" x14ac:dyDescent="0.3">
      <c r="A1756">
        <v>114</v>
      </c>
      <c r="B1756" t="s">
        <v>1556</v>
      </c>
      <c r="C1756" t="s">
        <v>1578</v>
      </c>
      <c r="D1756" t="str">
        <f>VLOOKUP(YouTube_University_Data_Final[[#This Row],[Title]],[1]!YouTube_University_Data_Final[[Title]:[Title_language]],2,FALSE)</f>
        <v>English</v>
      </c>
      <c r="E1756" t="s">
        <v>2944</v>
      </c>
      <c r="F1756">
        <v>27</v>
      </c>
      <c r="G1756" s="1">
        <v>44039</v>
      </c>
      <c r="H1756">
        <v>168</v>
      </c>
      <c r="I1756" t="s">
        <v>2944</v>
      </c>
      <c r="J1756">
        <v>1193</v>
      </c>
      <c r="K1756">
        <v>5</v>
      </c>
      <c r="L1756">
        <v>0</v>
      </c>
      <c r="M1756">
        <v>0</v>
      </c>
      <c r="N1756" t="s">
        <v>56</v>
      </c>
      <c r="O1756">
        <v>2020</v>
      </c>
      <c r="P1756" t="s">
        <v>18</v>
      </c>
    </row>
    <row r="1757" spans="1:16" x14ac:dyDescent="0.3">
      <c r="A1757">
        <v>115</v>
      </c>
      <c r="B1757" t="s">
        <v>1556</v>
      </c>
      <c r="C1757" t="s">
        <v>4563</v>
      </c>
      <c r="D1757" t="str">
        <f>VLOOKUP(YouTube_University_Data_Final[[#This Row],[Title]],[1]!YouTube_University_Data_Final[[Title]:[Title_language]],2,FALSE)</f>
        <v>Bilingual</v>
      </c>
      <c r="E1757" t="s">
        <v>2944</v>
      </c>
      <c r="F1757">
        <v>27</v>
      </c>
      <c r="G1757" s="1">
        <v>44028</v>
      </c>
      <c r="H1757">
        <v>171</v>
      </c>
      <c r="I1757" t="s">
        <v>2944</v>
      </c>
      <c r="J1757">
        <v>77121</v>
      </c>
      <c r="K1757">
        <v>8</v>
      </c>
      <c r="L1757">
        <v>0</v>
      </c>
      <c r="M1757">
        <v>0</v>
      </c>
      <c r="N1757" t="s">
        <v>56</v>
      </c>
      <c r="O1757">
        <v>2020</v>
      </c>
      <c r="P1757" t="s">
        <v>18</v>
      </c>
    </row>
    <row r="1758" spans="1:16" x14ac:dyDescent="0.3">
      <c r="A1758">
        <v>116</v>
      </c>
      <c r="B1758" t="s">
        <v>1556</v>
      </c>
      <c r="C1758" t="s">
        <v>1579</v>
      </c>
      <c r="D1758" t="str">
        <f>VLOOKUP(YouTube_University_Data_Final[[#This Row],[Title]],[1]!YouTube_University_Data_Final[[Title]:[Title_language]],2,FALSE)</f>
        <v>English</v>
      </c>
      <c r="E1758" t="s">
        <v>2944</v>
      </c>
      <c r="F1758">
        <v>27</v>
      </c>
      <c r="G1758" s="1">
        <v>44008</v>
      </c>
      <c r="H1758">
        <v>95</v>
      </c>
      <c r="I1758" t="s">
        <v>2944</v>
      </c>
      <c r="J1758">
        <v>372</v>
      </c>
      <c r="K1758">
        <v>6</v>
      </c>
      <c r="L1758">
        <v>0</v>
      </c>
      <c r="M1758">
        <v>0</v>
      </c>
      <c r="N1758" t="s">
        <v>78</v>
      </c>
      <c r="O1758">
        <v>2020</v>
      </c>
      <c r="P1758" t="s">
        <v>18</v>
      </c>
    </row>
    <row r="1759" spans="1:16" x14ac:dyDescent="0.3">
      <c r="A1759">
        <v>117</v>
      </c>
      <c r="B1759" t="s">
        <v>1556</v>
      </c>
      <c r="C1759" t="s">
        <v>4564</v>
      </c>
      <c r="D1759" t="str">
        <f>VLOOKUP(YouTube_University_Data_Final[[#This Row],[Title]],[1]!YouTube_University_Data_Final[[Title]:[Title_language]],2,FALSE)</f>
        <v>English</v>
      </c>
      <c r="E1759" t="s">
        <v>2944</v>
      </c>
      <c r="F1759">
        <v>27</v>
      </c>
      <c r="G1759" s="1">
        <v>43984</v>
      </c>
      <c r="H1759">
        <v>126</v>
      </c>
      <c r="I1759" t="s">
        <v>2944</v>
      </c>
      <c r="J1759">
        <v>69272</v>
      </c>
      <c r="K1759">
        <v>85</v>
      </c>
      <c r="L1759">
        <v>0</v>
      </c>
      <c r="M1759">
        <v>0</v>
      </c>
      <c r="N1759" t="s">
        <v>78</v>
      </c>
      <c r="O1759">
        <v>2020</v>
      </c>
      <c r="P1759" t="s">
        <v>18</v>
      </c>
    </row>
    <row r="1760" spans="1:16" x14ac:dyDescent="0.3">
      <c r="A1760">
        <v>118</v>
      </c>
      <c r="B1760" t="s">
        <v>1556</v>
      </c>
      <c r="C1760" t="s">
        <v>1580</v>
      </c>
      <c r="D1760" t="str">
        <f>VLOOKUP(YouTube_University_Data_Final[[#This Row],[Title]],[1]!YouTube_University_Data_Final[[Title]:[Title_language]],2,FALSE)</f>
        <v>English</v>
      </c>
      <c r="E1760" t="s">
        <v>4565</v>
      </c>
      <c r="F1760">
        <v>27</v>
      </c>
      <c r="G1760" s="1">
        <v>43899</v>
      </c>
      <c r="H1760">
        <v>126</v>
      </c>
      <c r="I1760" t="s">
        <v>2944</v>
      </c>
      <c r="J1760">
        <v>9981</v>
      </c>
      <c r="K1760">
        <v>96</v>
      </c>
      <c r="L1760">
        <v>0</v>
      </c>
      <c r="M1760">
        <v>0</v>
      </c>
      <c r="N1760" t="s">
        <v>90</v>
      </c>
      <c r="O1760">
        <v>2020</v>
      </c>
      <c r="P1760" t="s">
        <v>18</v>
      </c>
    </row>
    <row r="1761" spans="1:16" x14ac:dyDescent="0.3">
      <c r="A1761">
        <v>119</v>
      </c>
      <c r="B1761" t="s">
        <v>1556</v>
      </c>
      <c r="C1761" t="s">
        <v>1581</v>
      </c>
      <c r="D1761" t="str">
        <f>VLOOKUP(YouTube_University_Data_Final[[#This Row],[Title]],[1]!YouTube_University_Data_Final[[Title]:[Title_language]],2,FALSE)</f>
        <v>English</v>
      </c>
      <c r="E1761" t="s">
        <v>2944</v>
      </c>
      <c r="F1761">
        <v>27</v>
      </c>
      <c r="G1761" s="1">
        <v>43881</v>
      </c>
      <c r="H1761">
        <v>110</v>
      </c>
      <c r="I1761" t="s">
        <v>2944</v>
      </c>
      <c r="J1761">
        <v>202027</v>
      </c>
      <c r="K1761">
        <v>6</v>
      </c>
      <c r="L1761">
        <v>0</v>
      </c>
      <c r="M1761">
        <v>0</v>
      </c>
      <c r="N1761" t="s">
        <v>162</v>
      </c>
      <c r="O1761">
        <v>2020</v>
      </c>
      <c r="P1761" t="s">
        <v>18</v>
      </c>
    </row>
    <row r="1762" spans="1:16" x14ac:dyDescent="0.3">
      <c r="A1762">
        <v>120</v>
      </c>
      <c r="B1762" t="s">
        <v>1556</v>
      </c>
      <c r="C1762" t="s">
        <v>4566</v>
      </c>
      <c r="D1762" t="str">
        <f>VLOOKUP(YouTube_University_Data_Final[[#This Row],[Title]],[1]!YouTube_University_Data_Final[[Title]:[Title_language]],2,FALSE)</f>
        <v>English</v>
      </c>
      <c r="E1762" t="s">
        <v>2944</v>
      </c>
      <c r="F1762">
        <v>27</v>
      </c>
      <c r="G1762" s="1">
        <v>43851</v>
      </c>
      <c r="H1762">
        <v>357</v>
      </c>
      <c r="I1762" t="s">
        <v>2944</v>
      </c>
      <c r="J1762">
        <v>826</v>
      </c>
      <c r="K1762">
        <v>10</v>
      </c>
      <c r="L1762">
        <v>0</v>
      </c>
      <c r="M1762">
        <v>0</v>
      </c>
      <c r="N1762" t="s">
        <v>93</v>
      </c>
      <c r="O1762">
        <v>2020</v>
      </c>
      <c r="P1762" t="s">
        <v>18</v>
      </c>
    </row>
    <row r="1763" spans="1:16" x14ac:dyDescent="0.3">
      <c r="A1763">
        <v>121</v>
      </c>
      <c r="B1763" t="s">
        <v>1556</v>
      </c>
      <c r="C1763" t="s">
        <v>4567</v>
      </c>
      <c r="D1763" t="str">
        <f>VLOOKUP(YouTube_University_Data_Final[[#This Row],[Title]],[1]!YouTube_University_Data_Final[[Title]:[Title_language]],2,FALSE)</f>
        <v>English</v>
      </c>
      <c r="E1763" t="s">
        <v>2944</v>
      </c>
      <c r="F1763">
        <v>27</v>
      </c>
      <c r="G1763" s="1">
        <v>43851</v>
      </c>
      <c r="H1763">
        <v>163</v>
      </c>
      <c r="I1763" t="s">
        <v>2944</v>
      </c>
      <c r="J1763">
        <v>32383</v>
      </c>
      <c r="K1763">
        <v>1</v>
      </c>
      <c r="L1763">
        <v>0</v>
      </c>
      <c r="M1763">
        <v>0</v>
      </c>
      <c r="N1763" t="s">
        <v>93</v>
      </c>
      <c r="O1763">
        <v>2020</v>
      </c>
      <c r="P1763" t="s">
        <v>18</v>
      </c>
    </row>
    <row r="1764" spans="1:16" x14ac:dyDescent="0.3">
      <c r="A1764">
        <v>122</v>
      </c>
      <c r="B1764" t="s">
        <v>1556</v>
      </c>
      <c r="C1764" t="s">
        <v>1582</v>
      </c>
      <c r="D1764" t="str">
        <f>VLOOKUP(YouTube_University_Data_Final[[#This Row],[Title]],[1]!YouTube_University_Data_Final[[Title]:[Title_language]],2,FALSE)</f>
        <v>English</v>
      </c>
      <c r="E1764" t="s">
        <v>2944</v>
      </c>
      <c r="F1764">
        <v>27</v>
      </c>
      <c r="G1764" s="1">
        <v>43836</v>
      </c>
      <c r="H1764">
        <v>118</v>
      </c>
      <c r="I1764" t="s">
        <v>2944</v>
      </c>
      <c r="J1764">
        <v>50042</v>
      </c>
      <c r="K1764">
        <v>14</v>
      </c>
      <c r="L1764">
        <v>0</v>
      </c>
      <c r="M1764">
        <v>0</v>
      </c>
      <c r="N1764" t="s">
        <v>93</v>
      </c>
      <c r="O1764">
        <v>2020</v>
      </c>
      <c r="P1764" t="s">
        <v>18</v>
      </c>
    </row>
    <row r="1765" spans="1:16" x14ac:dyDescent="0.3">
      <c r="A1765">
        <v>123</v>
      </c>
      <c r="B1765" t="s">
        <v>1556</v>
      </c>
      <c r="C1765" t="s">
        <v>1583</v>
      </c>
      <c r="D1765" t="str">
        <f>VLOOKUP(YouTube_University_Data_Final[[#This Row],[Title]],[1]!YouTube_University_Data_Final[[Title]:[Title_language]],2,FALSE)</f>
        <v>English</v>
      </c>
      <c r="E1765" t="s">
        <v>2944</v>
      </c>
      <c r="F1765">
        <v>27</v>
      </c>
      <c r="G1765" s="1">
        <v>43801</v>
      </c>
      <c r="H1765">
        <v>112</v>
      </c>
      <c r="I1765" t="s">
        <v>2944</v>
      </c>
      <c r="J1765">
        <v>1001</v>
      </c>
      <c r="K1765">
        <v>7</v>
      </c>
      <c r="L1765">
        <v>0</v>
      </c>
      <c r="M1765">
        <v>0</v>
      </c>
      <c r="N1765" t="s">
        <v>98</v>
      </c>
      <c r="O1765">
        <v>2019</v>
      </c>
      <c r="P1765" t="s">
        <v>18</v>
      </c>
    </row>
    <row r="1766" spans="1:16" x14ac:dyDescent="0.3">
      <c r="A1766">
        <v>124</v>
      </c>
      <c r="B1766" t="s">
        <v>1556</v>
      </c>
      <c r="C1766" t="s">
        <v>4568</v>
      </c>
      <c r="D1766" t="str">
        <f>VLOOKUP(YouTube_University_Data_Final[[#This Row],[Title]],[1]!YouTube_University_Data_Final[[Title]:[Title_language]],2,FALSE)</f>
        <v>Bilingual</v>
      </c>
      <c r="E1766" t="s">
        <v>2944</v>
      </c>
      <c r="F1766">
        <v>27</v>
      </c>
      <c r="G1766" s="1">
        <v>43774</v>
      </c>
      <c r="H1766">
        <v>361</v>
      </c>
      <c r="I1766" t="s">
        <v>2944</v>
      </c>
      <c r="J1766">
        <v>795</v>
      </c>
      <c r="K1766">
        <v>3</v>
      </c>
      <c r="L1766">
        <v>0</v>
      </c>
      <c r="M1766">
        <v>0</v>
      </c>
      <c r="N1766" t="s">
        <v>101</v>
      </c>
      <c r="O1766">
        <v>2019</v>
      </c>
      <c r="P1766" t="s">
        <v>18</v>
      </c>
    </row>
    <row r="1767" spans="1:16" x14ac:dyDescent="0.3">
      <c r="A1767">
        <v>125</v>
      </c>
      <c r="B1767" t="s">
        <v>1556</v>
      </c>
      <c r="C1767" t="s">
        <v>1584</v>
      </c>
      <c r="D1767" t="str">
        <f>VLOOKUP(YouTube_University_Data_Final[[#This Row],[Title]],[1]!YouTube_University_Data_Final[[Title]:[Title_language]],2,FALSE)</f>
        <v>English</v>
      </c>
      <c r="E1767" t="s">
        <v>1584</v>
      </c>
      <c r="F1767">
        <v>27</v>
      </c>
      <c r="G1767" s="1">
        <v>43768</v>
      </c>
      <c r="H1767">
        <v>89</v>
      </c>
      <c r="I1767" t="s">
        <v>2944</v>
      </c>
      <c r="J1767">
        <v>416</v>
      </c>
      <c r="K1767">
        <v>2</v>
      </c>
      <c r="L1767">
        <v>0</v>
      </c>
      <c r="M1767">
        <v>0</v>
      </c>
      <c r="N1767" t="s">
        <v>17</v>
      </c>
      <c r="O1767">
        <v>2019</v>
      </c>
      <c r="P1767" t="s">
        <v>18</v>
      </c>
    </row>
    <row r="1768" spans="1:16" x14ac:dyDescent="0.3">
      <c r="A1768">
        <v>126</v>
      </c>
      <c r="B1768" t="s">
        <v>1556</v>
      </c>
      <c r="C1768" t="s">
        <v>4569</v>
      </c>
      <c r="D1768" t="str">
        <f>VLOOKUP(YouTube_University_Data_Final[[#This Row],[Title]],[1]!YouTube_University_Data_Final[[Title]:[Title_language]],2,FALSE)</f>
        <v>Bilingual</v>
      </c>
      <c r="E1768" t="s">
        <v>2944</v>
      </c>
      <c r="F1768">
        <v>27</v>
      </c>
      <c r="G1768" s="1">
        <v>43754</v>
      </c>
      <c r="H1768">
        <v>372</v>
      </c>
      <c r="I1768" t="s">
        <v>2944</v>
      </c>
      <c r="J1768">
        <v>1245</v>
      </c>
      <c r="K1768">
        <v>17</v>
      </c>
      <c r="L1768">
        <v>0</v>
      </c>
      <c r="M1768">
        <v>0</v>
      </c>
      <c r="N1768" t="s">
        <v>17</v>
      </c>
      <c r="O1768">
        <v>2019</v>
      </c>
      <c r="P1768" t="s">
        <v>18</v>
      </c>
    </row>
    <row r="1769" spans="1:16" x14ac:dyDescent="0.3">
      <c r="A1769">
        <v>127</v>
      </c>
      <c r="B1769" t="s">
        <v>1556</v>
      </c>
      <c r="C1769" t="s">
        <v>4570</v>
      </c>
      <c r="D1769" t="str">
        <f>VLOOKUP(YouTube_University_Data_Final[[#This Row],[Title]],[1]!YouTube_University_Data_Final[[Title]:[Title_language]],2,FALSE)</f>
        <v>Bilingual</v>
      </c>
      <c r="E1769" t="s">
        <v>2944</v>
      </c>
      <c r="F1769">
        <v>27</v>
      </c>
      <c r="G1769" s="1">
        <v>43750</v>
      </c>
      <c r="H1769">
        <v>176</v>
      </c>
      <c r="I1769" t="s">
        <v>2944</v>
      </c>
      <c r="J1769">
        <v>295</v>
      </c>
      <c r="K1769">
        <v>2</v>
      </c>
      <c r="L1769">
        <v>0</v>
      </c>
      <c r="M1769">
        <v>0</v>
      </c>
      <c r="N1769" t="s">
        <v>17</v>
      </c>
      <c r="O1769">
        <v>2019</v>
      </c>
      <c r="P1769" t="s">
        <v>18</v>
      </c>
    </row>
    <row r="1770" spans="1:16" x14ac:dyDescent="0.3">
      <c r="A1770">
        <v>128</v>
      </c>
      <c r="B1770" t="s">
        <v>1556</v>
      </c>
      <c r="C1770" t="s">
        <v>1585</v>
      </c>
      <c r="D1770" t="str">
        <f>VLOOKUP(YouTube_University_Data_Final[[#This Row],[Title]],[1]!YouTube_University_Data_Final[[Title]:[Title_language]],2,FALSE)</f>
        <v>English</v>
      </c>
      <c r="E1770" t="s">
        <v>2944</v>
      </c>
      <c r="F1770">
        <v>27</v>
      </c>
      <c r="G1770" s="1">
        <v>43742</v>
      </c>
      <c r="H1770">
        <v>78</v>
      </c>
      <c r="I1770" t="s">
        <v>2944</v>
      </c>
      <c r="J1770">
        <v>254</v>
      </c>
      <c r="K1770">
        <v>3</v>
      </c>
      <c r="L1770">
        <v>0</v>
      </c>
      <c r="M1770">
        <v>0</v>
      </c>
      <c r="N1770" t="s">
        <v>17</v>
      </c>
      <c r="O1770">
        <v>2019</v>
      </c>
      <c r="P1770" t="s">
        <v>18</v>
      </c>
    </row>
    <row r="1771" spans="1:16" x14ac:dyDescent="0.3">
      <c r="A1771">
        <v>129</v>
      </c>
      <c r="B1771" t="s">
        <v>1556</v>
      </c>
      <c r="C1771" t="s">
        <v>4571</v>
      </c>
      <c r="D1771" t="str">
        <f>VLOOKUP(YouTube_University_Data_Final[[#This Row],[Title]],[1]!YouTube_University_Data_Final[[Title]:[Title_language]],2,FALSE)</f>
        <v>Bilingual</v>
      </c>
      <c r="E1771" t="s">
        <v>2944</v>
      </c>
      <c r="F1771">
        <v>27</v>
      </c>
      <c r="G1771" s="1">
        <v>43731</v>
      </c>
      <c r="H1771">
        <v>113</v>
      </c>
      <c r="I1771" t="s">
        <v>2944</v>
      </c>
      <c r="J1771">
        <v>204300</v>
      </c>
      <c r="K1771">
        <v>19</v>
      </c>
      <c r="L1771">
        <v>0</v>
      </c>
      <c r="M1771">
        <v>0</v>
      </c>
      <c r="N1771" t="s">
        <v>21</v>
      </c>
      <c r="O1771">
        <v>2019</v>
      </c>
      <c r="P1771" t="s">
        <v>18</v>
      </c>
    </row>
    <row r="1772" spans="1:16" x14ac:dyDescent="0.3">
      <c r="A1772">
        <v>130</v>
      </c>
      <c r="B1772" t="s">
        <v>1556</v>
      </c>
      <c r="C1772" t="s">
        <v>1586</v>
      </c>
      <c r="D1772" t="str">
        <f>VLOOKUP(YouTube_University_Data_Final[[#This Row],[Title]],[1]!YouTube_University_Data_Final[[Title]:[Title_language]],2,FALSE)</f>
        <v>English</v>
      </c>
      <c r="E1772" t="s">
        <v>1586</v>
      </c>
      <c r="F1772">
        <v>27</v>
      </c>
      <c r="G1772" s="1">
        <v>43650</v>
      </c>
      <c r="H1772">
        <v>317</v>
      </c>
      <c r="I1772" t="s">
        <v>2944</v>
      </c>
      <c r="J1772">
        <v>1005</v>
      </c>
      <c r="K1772">
        <v>8</v>
      </c>
      <c r="L1772">
        <v>0</v>
      </c>
      <c r="M1772">
        <v>0</v>
      </c>
      <c r="N1772" t="s">
        <v>56</v>
      </c>
      <c r="O1772">
        <v>2019</v>
      </c>
      <c r="P1772" t="s">
        <v>18</v>
      </c>
    </row>
    <row r="1773" spans="1:16" x14ac:dyDescent="0.3">
      <c r="A1773">
        <v>131</v>
      </c>
      <c r="B1773" t="s">
        <v>1556</v>
      </c>
      <c r="C1773" t="s">
        <v>4572</v>
      </c>
      <c r="D1773" t="str">
        <f>VLOOKUP(YouTube_University_Data_Final[[#This Row],[Title]],[1]!YouTube_University_Data_Final[[Title]:[Title_language]],2,FALSE)</f>
        <v>Chinese</v>
      </c>
      <c r="E1773" t="s">
        <v>2944</v>
      </c>
      <c r="F1773">
        <v>27</v>
      </c>
      <c r="G1773" s="1">
        <v>43627</v>
      </c>
      <c r="H1773">
        <v>139</v>
      </c>
      <c r="I1773" t="s">
        <v>2944</v>
      </c>
      <c r="J1773">
        <v>208969</v>
      </c>
      <c r="K1773">
        <v>36</v>
      </c>
      <c r="L1773">
        <v>0</v>
      </c>
      <c r="M1773">
        <v>0</v>
      </c>
      <c r="N1773" t="s">
        <v>78</v>
      </c>
      <c r="O1773">
        <v>2019</v>
      </c>
      <c r="P1773" t="s">
        <v>18</v>
      </c>
    </row>
    <row r="1774" spans="1:16" x14ac:dyDescent="0.3">
      <c r="A1774">
        <v>132</v>
      </c>
      <c r="B1774" t="s">
        <v>1556</v>
      </c>
      <c r="C1774" t="s">
        <v>4573</v>
      </c>
      <c r="D1774" t="str">
        <f>VLOOKUP(YouTube_University_Data_Final[[#This Row],[Title]],[1]!YouTube_University_Data_Final[[Title]:[Title_language]],2,FALSE)</f>
        <v>Bilingual</v>
      </c>
      <c r="E1774" t="s">
        <v>2944</v>
      </c>
      <c r="F1774">
        <v>27</v>
      </c>
      <c r="G1774" s="1">
        <v>43626</v>
      </c>
      <c r="H1774">
        <v>137</v>
      </c>
      <c r="I1774" t="s">
        <v>2944</v>
      </c>
      <c r="J1774">
        <v>90377</v>
      </c>
      <c r="K1774">
        <v>5</v>
      </c>
      <c r="L1774">
        <v>0</v>
      </c>
      <c r="M1774">
        <v>0</v>
      </c>
      <c r="N1774" t="s">
        <v>78</v>
      </c>
      <c r="O1774">
        <v>2019</v>
      </c>
      <c r="P1774" t="s">
        <v>18</v>
      </c>
    </row>
    <row r="1775" spans="1:16" x14ac:dyDescent="0.3">
      <c r="A1775">
        <v>133</v>
      </c>
      <c r="B1775" t="s">
        <v>1556</v>
      </c>
      <c r="C1775" t="s">
        <v>1587</v>
      </c>
      <c r="D1775" t="str">
        <f>VLOOKUP(YouTube_University_Data_Final[[#This Row],[Title]],[1]!YouTube_University_Data_Final[[Title]:[Title_language]],2,FALSE)</f>
        <v>English</v>
      </c>
      <c r="E1775" t="s">
        <v>2944</v>
      </c>
      <c r="F1775">
        <v>27</v>
      </c>
      <c r="G1775" s="1">
        <v>43556</v>
      </c>
      <c r="H1775">
        <v>106</v>
      </c>
      <c r="I1775" t="s">
        <v>2944</v>
      </c>
      <c r="J1775">
        <v>41725</v>
      </c>
      <c r="K1775">
        <v>12</v>
      </c>
      <c r="L1775">
        <v>0</v>
      </c>
      <c r="M1775">
        <v>0</v>
      </c>
      <c r="N1775" t="s">
        <v>87</v>
      </c>
      <c r="O1775">
        <v>2019</v>
      </c>
      <c r="P1775" t="s">
        <v>18</v>
      </c>
    </row>
    <row r="1776" spans="1:16" x14ac:dyDescent="0.3">
      <c r="A1776">
        <v>134</v>
      </c>
      <c r="B1776" t="s">
        <v>1556</v>
      </c>
      <c r="C1776" t="s">
        <v>1588</v>
      </c>
      <c r="D1776" t="str">
        <f>VLOOKUP(YouTube_University_Data_Final[[#This Row],[Title]],[1]!YouTube_University_Data_Final[[Title]:[Title_language]],2,FALSE)</f>
        <v>English</v>
      </c>
      <c r="E1776" t="s">
        <v>2944</v>
      </c>
      <c r="F1776">
        <v>27</v>
      </c>
      <c r="G1776" s="1">
        <v>43529</v>
      </c>
      <c r="H1776">
        <v>85</v>
      </c>
      <c r="I1776" t="s">
        <v>2944</v>
      </c>
      <c r="J1776">
        <v>1310</v>
      </c>
      <c r="K1776">
        <v>7</v>
      </c>
      <c r="L1776">
        <v>0</v>
      </c>
      <c r="M1776">
        <v>0</v>
      </c>
      <c r="N1776" t="s">
        <v>90</v>
      </c>
      <c r="O1776">
        <v>2019</v>
      </c>
      <c r="P1776" t="s">
        <v>18</v>
      </c>
    </row>
    <row r="1777" spans="1:16" x14ac:dyDescent="0.3">
      <c r="A1777">
        <v>135</v>
      </c>
      <c r="B1777" t="s">
        <v>1556</v>
      </c>
      <c r="C1777" t="s">
        <v>1589</v>
      </c>
      <c r="D1777" t="str">
        <f>VLOOKUP(YouTube_University_Data_Final[[#This Row],[Title]],[1]!YouTube_University_Data_Final[[Title]:[Title_language]],2,FALSE)</f>
        <v>English</v>
      </c>
      <c r="E1777" t="s">
        <v>2944</v>
      </c>
      <c r="F1777">
        <v>27</v>
      </c>
      <c r="G1777" s="1">
        <v>43504</v>
      </c>
      <c r="H1777">
        <v>111</v>
      </c>
      <c r="I1777" t="s">
        <v>2944</v>
      </c>
      <c r="J1777">
        <v>40505</v>
      </c>
      <c r="K1777">
        <v>10</v>
      </c>
      <c r="L1777">
        <v>0</v>
      </c>
      <c r="M1777">
        <v>0</v>
      </c>
      <c r="N1777" t="s">
        <v>162</v>
      </c>
      <c r="O1777">
        <v>2019</v>
      </c>
      <c r="P1777" t="s">
        <v>18</v>
      </c>
    </row>
    <row r="1778" spans="1:16" x14ac:dyDescent="0.3">
      <c r="A1778">
        <v>136</v>
      </c>
      <c r="B1778" t="s">
        <v>1556</v>
      </c>
      <c r="C1778" t="s">
        <v>1590</v>
      </c>
      <c r="D1778" t="str">
        <f>VLOOKUP(YouTube_University_Data_Final[[#This Row],[Title]],[1]!YouTube_University_Data_Final[[Title]:[Title_language]],2,FALSE)</f>
        <v>English</v>
      </c>
      <c r="E1778" t="s">
        <v>2944</v>
      </c>
      <c r="F1778">
        <v>27</v>
      </c>
      <c r="G1778" s="1">
        <v>43469</v>
      </c>
      <c r="H1778">
        <v>103</v>
      </c>
      <c r="I1778" t="s">
        <v>2944</v>
      </c>
      <c r="J1778">
        <v>341</v>
      </c>
      <c r="K1778">
        <v>1</v>
      </c>
      <c r="L1778">
        <v>0</v>
      </c>
      <c r="M1778">
        <v>0</v>
      </c>
      <c r="N1778" t="s">
        <v>93</v>
      </c>
      <c r="O1778">
        <v>2019</v>
      </c>
      <c r="P1778" t="s">
        <v>18</v>
      </c>
    </row>
    <row r="1779" spans="1:16" x14ac:dyDescent="0.3">
      <c r="A1779">
        <v>137</v>
      </c>
      <c r="B1779" t="s">
        <v>1556</v>
      </c>
      <c r="C1779" t="s">
        <v>1591</v>
      </c>
      <c r="D1779" t="str">
        <f>VLOOKUP(YouTube_University_Data_Final[[#This Row],[Title]],[1]!YouTube_University_Data_Final[[Title]:[Title_language]],2,FALSE)</f>
        <v>English</v>
      </c>
      <c r="E1779" t="s">
        <v>2944</v>
      </c>
      <c r="F1779">
        <v>27</v>
      </c>
      <c r="G1779" s="1">
        <v>43444</v>
      </c>
      <c r="H1779">
        <v>6577</v>
      </c>
      <c r="I1779" t="s">
        <v>2944</v>
      </c>
      <c r="J1779">
        <v>420</v>
      </c>
      <c r="K1779">
        <v>4</v>
      </c>
      <c r="L1779">
        <v>0</v>
      </c>
      <c r="M1779">
        <v>0</v>
      </c>
      <c r="N1779" t="s">
        <v>98</v>
      </c>
      <c r="O1779">
        <v>2018</v>
      </c>
      <c r="P1779" t="s">
        <v>18</v>
      </c>
    </row>
    <row r="1780" spans="1:16" x14ac:dyDescent="0.3">
      <c r="A1780">
        <v>138</v>
      </c>
      <c r="B1780" t="s">
        <v>1556</v>
      </c>
      <c r="C1780" t="s">
        <v>1592</v>
      </c>
      <c r="D1780" t="str">
        <f>VLOOKUP(YouTube_University_Data_Final[[#This Row],[Title]],[1]!YouTube_University_Data_Final[[Title]:[Title_language]],2,FALSE)</f>
        <v>English</v>
      </c>
      <c r="E1780" t="s">
        <v>2944</v>
      </c>
      <c r="F1780">
        <v>27</v>
      </c>
      <c r="G1780" s="1">
        <v>43431</v>
      </c>
      <c r="H1780">
        <v>116</v>
      </c>
      <c r="I1780" t="s">
        <v>2944</v>
      </c>
      <c r="J1780">
        <v>779</v>
      </c>
      <c r="K1780">
        <v>4</v>
      </c>
      <c r="L1780">
        <v>0</v>
      </c>
      <c r="M1780">
        <v>0</v>
      </c>
      <c r="N1780" t="s">
        <v>101</v>
      </c>
      <c r="O1780">
        <v>2018</v>
      </c>
      <c r="P1780" t="s">
        <v>18</v>
      </c>
    </row>
    <row r="1781" spans="1:16" x14ac:dyDescent="0.3">
      <c r="A1781">
        <v>139</v>
      </c>
      <c r="B1781" t="s">
        <v>1556</v>
      </c>
      <c r="C1781" t="s">
        <v>1593</v>
      </c>
      <c r="D1781" t="str">
        <f>VLOOKUP(YouTube_University_Data_Final[[#This Row],[Title]],[1]!YouTube_University_Data_Final[[Title]:[Title_language]],2,FALSE)</f>
        <v>English</v>
      </c>
      <c r="E1781" t="s">
        <v>2944</v>
      </c>
      <c r="F1781">
        <v>27</v>
      </c>
      <c r="G1781" s="1">
        <v>43431</v>
      </c>
      <c r="H1781">
        <v>145</v>
      </c>
      <c r="I1781" t="s">
        <v>2944</v>
      </c>
      <c r="J1781">
        <v>753</v>
      </c>
      <c r="K1781">
        <v>0</v>
      </c>
      <c r="L1781">
        <v>0</v>
      </c>
      <c r="M1781">
        <v>0</v>
      </c>
      <c r="N1781" t="s">
        <v>101</v>
      </c>
      <c r="O1781">
        <v>2018</v>
      </c>
      <c r="P1781" t="s">
        <v>18</v>
      </c>
    </row>
    <row r="1782" spans="1:16" x14ac:dyDescent="0.3">
      <c r="A1782">
        <v>140</v>
      </c>
      <c r="B1782" t="s">
        <v>1556</v>
      </c>
      <c r="C1782" t="s">
        <v>1594</v>
      </c>
      <c r="D1782" t="str">
        <f>VLOOKUP(YouTube_University_Data_Final[[#This Row],[Title]],[1]!YouTube_University_Data_Final[[Title]:[Title_language]],2,FALSE)</f>
        <v>English</v>
      </c>
      <c r="E1782" t="s">
        <v>2944</v>
      </c>
      <c r="F1782">
        <v>27</v>
      </c>
      <c r="G1782" s="1">
        <v>43427</v>
      </c>
      <c r="H1782">
        <v>408</v>
      </c>
      <c r="I1782" t="s">
        <v>2944</v>
      </c>
      <c r="J1782">
        <v>560</v>
      </c>
      <c r="K1782">
        <v>7</v>
      </c>
      <c r="L1782">
        <v>0</v>
      </c>
      <c r="M1782">
        <v>0</v>
      </c>
      <c r="N1782" t="s">
        <v>101</v>
      </c>
      <c r="O1782">
        <v>2018</v>
      </c>
      <c r="P1782" t="s">
        <v>18</v>
      </c>
    </row>
    <row r="1783" spans="1:16" x14ac:dyDescent="0.3">
      <c r="A1783">
        <v>141</v>
      </c>
      <c r="B1783" t="s">
        <v>1556</v>
      </c>
      <c r="C1783" t="s">
        <v>4574</v>
      </c>
      <c r="D1783" t="str">
        <f>VLOOKUP(YouTube_University_Data_Final[[#This Row],[Title]],[1]!YouTube_University_Data_Final[[Title]:[Title_language]],2,FALSE)</f>
        <v>Bilingual</v>
      </c>
      <c r="E1783" t="s">
        <v>2944</v>
      </c>
      <c r="F1783">
        <v>27</v>
      </c>
      <c r="G1783" s="1">
        <v>43418</v>
      </c>
      <c r="H1783">
        <v>2</v>
      </c>
      <c r="I1783" t="s">
        <v>2944</v>
      </c>
      <c r="J1783">
        <v>166647</v>
      </c>
      <c r="K1783">
        <v>6</v>
      </c>
      <c r="L1783">
        <v>0</v>
      </c>
      <c r="M1783">
        <v>0</v>
      </c>
      <c r="N1783" t="s">
        <v>101</v>
      </c>
      <c r="O1783">
        <v>2018</v>
      </c>
      <c r="P1783" t="s">
        <v>18</v>
      </c>
    </row>
    <row r="1784" spans="1:16" x14ac:dyDescent="0.3">
      <c r="A1784">
        <v>142</v>
      </c>
      <c r="B1784" t="s">
        <v>1556</v>
      </c>
      <c r="C1784" t="s">
        <v>4575</v>
      </c>
      <c r="D1784" t="str">
        <f>VLOOKUP(YouTube_University_Data_Final[[#This Row],[Title]],[1]!YouTube_University_Data_Final[[Title]:[Title_language]],2,FALSE)</f>
        <v>Chinese</v>
      </c>
      <c r="E1784" t="s">
        <v>2944</v>
      </c>
      <c r="F1784">
        <v>27</v>
      </c>
      <c r="G1784" s="1">
        <v>43353</v>
      </c>
      <c r="H1784">
        <v>493</v>
      </c>
      <c r="I1784" t="s">
        <v>2944</v>
      </c>
      <c r="J1784">
        <v>669</v>
      </c>
      <c r="K1784">
        <v>4</v>
      </c>
      <c r="L1784">
        <v>0</v>
      </c>
      <c r="M1784">
        <v>0</v>
      </c>
      <c r="N1784" t="s">
        <v>21</v>
      </c>
      <c r="O1784">
        <v>2018</v>
      </c>
      <c r="P1784" t="s">
        <v>18</v>
      </c>
    </row>
    <row r="1785" spans="1:16" x14ac:dyDescent="0.3">
      <c r="A1785">
        <v>143</v>
      </c>
      <c r="B1785" t="s">
        <v>1556</v>
      </c>
      <c r="C1785" t="s">
        <v>4576</v>
      </c>
      <c r="D1785" t="str">
        <f>VLOOKUP(YouTube_University_Data_Final[[#This Row],[Title]],[1]!YouTube_University_Data_Final[[Title]:[Title_language]],2,FALSE)</f>
        <v>Bilingual</v>
      </c>
      <c r="E1785" t="s">
        <v>2944</v>
      </c>
      <c r="F1785">
        <v>27</v>
      </c>
      <c r="G1785" s="1">
        <v>43339</v>
      </c>
      <c r="H1785">
        <v>493</v>
      </c>
      <c r="I1785" t="s">
        <v>2944</v>
      </c>
      <c r="J1785">
        <v>3768</v>
      </c>
      <c r="K1785">
        <v>18</v>
      </c>
      <c r="L1785">
        <v>0</v>
      </c>
      <c r="M1785">
        <v>0</v>
      </c>
      <c r="N1785" t="s">
        <v>48</v>
      </c>
      <c r="O1785">
        <v>2018</v>
      </c>
      <c r="P1785" t="s">
        <v>18</v>
      </c>
    </row>
    <row r="1786" spans="1:16" x14ac:dyDescent="0.3">
      <c r="A1786">
        <v>144</v>
      </c>
      <c r="B1786" t="s">
        <v>1556</v>
      </c>
      <c r="C1786" t="s">
        <v>1595</v>
      </c>
      <c r="D1786" t="str">
        <f>VLOOKUP(YouTube_University_Data_Final[[#This Row],[Title]],[1]!YouTube_University_Data_Final[[Title]:[Title_language]],2,FALSE)</f>
        <v>English</v>
      </c>
      <c r="E1786" t="s">
        <v>2944</v>
      </c>
      <c r="F1786">
        <v>27</v>
      </c>
      <c r="G1786" s="1">
        <v>43334</v>
      </c>
      <c r="H1786">
        <v>267</v>
      </c>
      <c r="I1786" t="s">
        <v>2944</v>
      </c>
      <c r="J1786">
        <v>561</v>
      </c>
      <c r="K1786">
        <v>7</v>
      </c>
      <c r="L1786">
        <v>0</v>
      </c>
      <c r="M1786">
        <v>0</v>
      </c>
      <c r="N1786" t="s">
        <v>48</v>
      </c>
      <c r="O1786">
        <v>2018</v>
      </c>
      <c r="P1786" t="s">
        <v>18</v>
      </c>
    </row>
    <row r="1787" spans="1:16" x14ac:dyDescent="0.3">
      <c r="A1787">
        <v>145</v>
      </c>
      <c r="B1787" t="s">
        <v>1556</v>
      </c>
      <c r="C1787" t="s">
        <v>4577</v>
      </c>
      <c r="D1787" t="str">
        <f>VLOOKUP(YouTube_University_Data_Final[[#This Row],[Title]],[1]!YouTube_University_Data_Final[[Title]:[Title_language]],2,FALSE)</f>
        <v>Bilingual</v>
      </c>
      <c r="E1787" t="s">
        <v>2944</v>
      </c>
      <c r="F1787">
        <v>27</v>
      </c>
      <c r="G1787" s="1">
        <v>43306</v>
      </c>
      <c r="H1787">
        <v>174</v>
      </c>
      <c r="I1787" t="s">
        <v>2944</v>
      </c>
      <c r="J1787">
        <v>18951</v>
      </c>
      <c r="K1787">
        <v>4</v>
      </c>
      <c r="L1787">
        <v>0</v>
      </c>
      <c r="M1787">
        <v>0</v>
      </c>
      <c r="N1787" t="s">
        <v>56</v>
      </c>
      <c r="O1787">
        <v>2018</v>
      </c>
      <c r="P1787" t="s">
        <v>18</v>
      </c>
    </row>
    <row r="1788" spans="1:16" x14ac:dyDescent="0.3">
      <c r="A1788">
        <v>146</v>
      </c>
      <c r="B1788" t="s">
        <v>1556</v>
      </c>
      <c r="C1788" t="s">
        <v>4578</v>
      </c>
      <c r="D1788" t="str">
        <f>VLOOKUP(YouTube_University_Data_Final[[#This Row],[Title]],[1]!YouTube_University_Data_Final[[Title]:[Title_language]],2,FALSE)</f>
        <v>Bilingual</v>
      </c>
      <c r="E1788" t="s">
        <v>2944</v>
      </c>
      <c r="F1788">
        <v>27</v>
      </c>
      <c r="G1788" s="1">
        <v>43297</v>
      </c>
      <c r="H1788">
        <v>163</v>
      </c>
      <c r="I1788" t="s">
        <v>2944</v>
      </c>
      <c r="J1788">
        <v>35172</v>
      </c>
      <c r="K1788">
        <v>3</v>
      </c>
      <c r="L1788">
        <v>0</v>
      </c>
      <c r="M1788">
        <v>0</v>
      </c>
      <c r="N1788" t="s">
        <v>56</v>
      </c>
      <c r="O1788">
        <v>2018</v>
      </c>
      <c r="P1788" t="s">
        <v>18</v>
      </c>
    </row>
    <row r="1789" spans="1:16" x14ac:dyDescent="0.3">
      <c r="A1789">
        <v>147</v>
      </c>
      <c r="B1789" t="s">
        <v>1556</v>
      </c>
      <c r="C1789" t="s">
        <v>4579</v>
      </c>
      <c r="D1789" t="str">
        <f>VLOOKUP(YouTube_University_Data_Final[[#This Row],[Title]],[1]!YouTube_University_Data_Final[[Title]:[Title_language]],2,FALSE)</f>
        <v>Chinese</v>
      </c>
      <c r="E1789" t="s">
        <v>1596</v>
      </c>
      <c r="F1789">
        <v>27</v>
      </c>
      <c r="G1789" s="1">
        <v>43259</v>
      </c>
      <c r="H1789">
        <v>114</v>
      </c>
      <c r="I1789" t="s">
        <v>2944</v>
      </c>
      <c r="J1789">
        <v>33003</v>
      </c>
      <c r="K1789">
        <v>12</v>
      </c>
      <c r="L1789">
        <v>0</v>
      </c>
      <c r="M1789">
        <v>0</v>
      </c>
      <c r="N1789" t="s">
        <v>78</v>
      </c>
      <c r="O1789">
        <v>2018</v>
      </c>
      <c r="P1789" t="s">
        <v>18</v>
      </c>
    </row>
    <row r="1790" spans="1:16" x14ac:dyDescent="0.3">
      <c r="A1790">
        <v>148</v>
      </c>
      <c r="B1790" t="s">
        <v>1556</v>
      </c>
      <c r="C1790" t="s">
        <v>4580</v>
      </c>
      <c r="D1790" t="str">
        <f>VLOOKUP(YouTube_University_Data_Final[[#This Row],[Title]],[1]!YouTube_University_Data_Final[[Title]:[Title_language]],2,FALSE)</f>
        <v>Chinese</v>
      </c>
      <c r="E1790" t="s">
        <v>1597</v>
      </c>
      <c r="F1790">
        <v>27</v>
      </c>
      <c r="G1790" s="1">
        <v>43259</v>
      </c>
      <c r="H1790">
        <v>6</v>
      </c>
      <c r="I1790" t="s">
        <v>2944</v>
      </c>
      <c r="J1790">
        <v>35434</v>
      </c>
      <c r="K1790">
        <v>13</v>
      </c>
      <c r="L1790">
        <v>0</v>
      </c>
      <c r="M1790">
        <v>0</v>
      </c>
      <c r="N1790" t="s">
        <v>78</v>
      </c>
      <c r="O1790">
        <v>2018</v>
      </c>
      <c r="P1790" t="s">
        <v>18</v>
      </c>
    </row>
    <row r="1791" spans="1:16" x14ac:dyDescent="0.3">
      <c r="A1791">
        <v>149</v>
      </c>
      <c r="B1791" t="s">
        <v>1556</v>
      </c>
      <c r="C1791" t="s">
        <v>4581</v>
      </c>
      <c r="D1791" t="str">
        <f>VLOOKUP(YouTube_University_Data_Final[[#This Row],[Title]],[1]!YouTube_University_Data_Final[[Title]:[Title_language]],2,FALSE)</f>
        <v>Chinese</v>
      </c>
      <c r="E1791" t="s">
        <v>1598</v>
      </c>
      <c r="F1791">
        <v>27</v>
      </c>
      <c r="G1791" s="1">
        <v>43259</v>
      </c>
      <c r="H1791">
        <v>306</v>
      </c>
      <c r="I1791" t="s">
        <v>2944</v>
      </c>
      <c r="J1791">
        <v>1750</v>
      </c>
      <c r="K1791">
        <v>17</v>
      </c>
      <c r="L1791">
        <v>0</v>
      </c>
      <c r="M1791">
        <v>0</v>
      </c>
      <c r="N1791" t="s">
        <v>78</v>
      </c>
      <c r="O1791">
        <v>2018</v>
      </c>
      <c r="P1791" t="s">
        <v>18</v>
      </c>
    </row>
    <row r="1792" spans="1:16" x14ac:dyDescent="0.3">
      <c r="A1792">
        <v>150</v>
      </c>
      <c r="B1792" t="s">
        <v>1556</v>
      </c>
      <c r="C1792" t="s">
        <v>4582</v>
      </c>
      <c r="D1792" t="str">
        <f>VLOOKUP(YouTube_University_Data_Final[[#This Row],[Title]],[1]!YouTube_University_Data_Final[[Title]:[Title_language]],2,FALSE)</f>
        <v>Bilingual</v>
      </c>
      <c r="E1792" t="s">
        <v>2944</v>
      </c>
      <c r="F1792">
        <v>27</v>
      </c>
      <c r="G1792" s="1">
        <v>43243</v>
      </c>
      <c r="H1792">
        <v>168</v>
      </c>
      <c r="I1792" t="s">
        <v>2944</v>
      </c>
      <c r="J1792">
        <v>556</v>
      </c>
      <c r="K1792">
        <v>3</v>
      </c>
      <c r="L1792">
        <v>0</v>
      </c>
      <c r="M1792">
        <v>0</v>
      </c>
      <c r="N1792" t="s">
        <v>81</v>
      </c>
      <c r="O1792">
        <v>2018</v>
      </c>
      <c r="P1792" t="s">
        <v>18</v>
      </c>
    </row>
    <row r="1793" spans="1:16" x14ac:dyDescent="0.3">
      <c r="A1793">
        <v>151</v>
      </c>
      <c r="B1793" t="s">
        <v>1556</v>
      </c>
      <c r="C1793" t="s">
        <v>4583</v>
      </c>
      <c r="D1793" t="str">
        <f>VLOOKUP(YouTube_University_Data_Final[[#This Row],[Title]],[1]!YouTube_University_Data_Final[[Title]:[Title_language]],2,FALSE)</f>
        <v>Bilingual</v>
      </c>
      <c r="E1793" t="s">
        <v>4584</v>
      </c>
      <c r="F1793">
        <v>27</v>
      </c>
      <c r="G1793" s="1">
        <v>43224</v>
      </c>
      <c r="H1793">
        <v>113</v>
      </c>
      <c r="I1793" t="s">
        <v>2944</v>
      </c>
      <c r="J1793">
        <v>82621</v>
      </c>
      <c r="K1793">
        <v>12</v>
      </c>
      <c r="L1793">
        <v>0</v>
      </c>
      <c r="M1793">
        <v>0</v>
      </c>
      <c r="N1793" t="s">
        <v>81</v>
      </c>
      <c r="O1793">
        <v>2018</v>
      </c>
      <c r="P1793" t="s">
        <v>18</v>
      </c>
    </row>
    <row r="1794" spans="1:16" x14ac:dyDescent="0.3">
      <c r="A1794">
        <v>152</v>
      </c>
      <c r="B1794" t="s">
        <v>1556</v>
      </c>
      <c r="C1794" t="s">
        <v>4585</v>
      </c>
      <c r="D1794" t="str">
        <f>VLOOKUP(YouTube_University_Data_Final[[#This Row],[Title]],[1]!YouTube_University_Data_Final[[Title]:[Title_language]],2,FALSE)</f>
        <v>Bilingual</v>
      </c>
      <c r="E1794" t="s">
        <v>2944</v>
      </c>
      <c r="F1794">
        <v>27</v>
      </c>
      <c r="G1794" s="1">
        <v>43174</v>
      </c>
      <c r="H1794">
        <v>108</v>
      </c>
      <c r="I1794" t="s">
        <v>2944</v>
      </c>
      <c r="J1794">
        <v>37360</v>
      </c>
      <c r="K1794">
        <v>25</v>
      </c>
      <c r="L1794">
        <v>0</v>
      </c>
      <c r="M1794">
        <v>0</v>
      </c>
      <c r="N1794" t="s">
        <v>90</v>
      </c>
      <c r="O1794">
        <v>2018</v>
      </c>
      <c r="P1794" t="s">
        <v>18</v>
      </c>
    </row>
    <row r="1795" spans="1:16" x14ac:dyDescent="0.3">
      <c r="A1795">
        <v>153</v>
      </c>
      <c r="B1795" t="s">
        <v>1556</v>
      </c>
      <c r="C1795" t="s">
        <v>4586</v>
      </c>
      <c r="D1795" t="str">
        <f>VLOOKUP(YouTube_University_Data_Final[[#This Row],[Title]],[1]!YouTube_University_Data_Final[[Title]:[Title_language]],2,FALSE)</f>
        <v>English</v>
      </c>
      <c r="E1795" t="s">
        <v>2944</v>
      </c>
      <c r="F1795">
        <v>27</v>
      </c>
      <c r="G1795" s="1">
        <v>43136</v>
      </c>
      <c r="H1795">
        <v>268</v>
      </c>
      <c r="I1795" t="s">
        <v>2944</v>
      </c>
      <c r="J1795">
        <v>365</v>
      </c>
      <c r="K1795">
        <v>6</v>
      </c>
      <c r="L1795">
        <v>0</v>
      </c>
      <c r="M1795">
        <v>0</v>
      </c>
      <c r="N1795" t="s">
        <v>162</v>
      </c>
      <c r="O1795">
        <v>2018</v>
      </c>
      <c r="P1795" t="s">
        <v>18</v>
      </c>
    </row>
    <row r="1796" spans="1:16" x14ac:dyDescent="0.3">
      <c r="A1796">
        <v>154</v>
      </c>
      <c r="B1796" t="s">
        <v>1556</v>
      </c>
      <c r="C1796" t="s">
        <v>1599</v>
      </c>
      <c r="D1796" t="str">
        <f>VLOOKUP(YouTube_University_Data_Final[[#This Row],[Title]],[1]!YouTube_University_Data_Final[[Title]:[Title_language]],2,FALSE)</f>
        <v>English</v>
      </c>
      <c r="E1796" t="s">
        <v>2944</v>
      </c>
      <c r="F1796">
        <v>27</v>
      </c>
      <c r="G1796" s="1">
        <v>43130</v>
      </c>
      <c r="H1796">
        <v>109</v>
      </c>
      <c r="I1796" t="s">
        <v>2944</v>
      </c>
      <c r="J1796">
        <v>1523</v>
      </c>
      <c r="K1796">
        <v>4</v>
      </c>
      <c r="L1796">
        <v>0</v>
      </c>
      <c r="M1796">
        <v>0</v>
      </c>
      <c r="N1796" t="s">
        <v>93</v>
      </c>
      <c r="O1796">
        <v>2018</v>
      </c>
      <c r="P1796" t="s">
        <v>18</v>
      </c>
    </row>
    <row r="1797" spans="1:16" x14ac:dyDescent="0.3">
      <c r="A1797">
        <v>155</v>
      </c>
      <c r="B1797" t="s">
        <v>1556</v>
      </c>
      <c r="C1797" t="s">
        <v>1600</v>
      </c>
      <c r="D1797" t="str">
        <f>VLOOKUP(YouTube_University_Data_Final[[#This Row],[Title]],[1]!YouTube_University_Data_Final[[Title]:[Title_language]],2,FALSE)</f>
        <v>English</v>
      </c>
      <c r="E1797" t="s">
        <v>2944</v>
      </c>
      <c r="F1797">
        <v>27</v>
      </c>
      <c r="G1797" s="1">
        <v>43124</v>
      </c>
      <c r="H1797">
        <v>159</v>
      </c>
      <c r="I1797" t="s">
        <v>2944</v>
      </c>
      <c r="J1797">
        <v>422</v>
      </c>
      <c r="K1797">
        <v>0</v>
      </c>
      <c r="L1797">
        <v>0</v>
      </c>
      <c r="M1797">
        <v>0</v>
      </c>
      <c r="N1797" t="s">
        <v>93</v>
      </c>
      <c r="O1797">
        <v>2018</v>
      </c>
      <c r="P1797" t="s">
        <v>18</v>
      </c>
    </row>
    <row r="1798" spans="1:16" x14ac:dyDescent="0.3">
      <c r="A1798">
        <v>156</v>
      </c>
      <c r="B1798" t="s">
        <v>1556</v>
      </c>
      <c r="C1798" t="s">
        <v>4587</v>
      </c>
      <c r="D1798" t="str">
        <f>VLOOKUP(YouTube_University_Data_Final[[#This Row],[Title]],[1]!YouTube_University_Data_Final[[Title]:[Title_language]],2,FALSE)</f>
        <v>Bilingual</v>
      </c>
      <c r="E1798" t="s">
        <v>2944</v>
      </c>
      <c r="F1798">
        <v>27</v>
      </c>
      <c r="G1798" s="1">
        <v>43102</v>
      </c>
      <c r="H1798">
        <v>41</v>
      </c>
      <c r="I1798" t="s">
        <v>2944</v>
      </c>
      <c r="J1798">
        <v>84395</v>
      </c>
      <c r="K1798">
        <v>5</v>
      </c>
      <c r="L1798">
        <v>0</v>
      </c>
      <c r="M1798">
        <v>0</v>
      </c>
      <c r="N1798" t="s">
        <v>93</v>
      </c>
      <c r="O1798">
        <v>2018</v>
      </c>
      <c r="P1798" t="s">
        <v>18</v>
      </c>
    </row>
    <row r="1799" spans="1:16" x14ac:dyDescent="0.3">
      <c r="A1799">
        <v>157</v>
      </c>
      <c r="B1799" t="s">
        <v>1556</v>
      </c>
      <c r="C1799" t="s">
        <v>1601</v>
      </c>
      <c r="D1799" t="str">
        <f>VLOOKUP(YouTube_University_Data_Final[[#This Row],[Title]],[1]!YouTube_University_Data_Final[[Title]:[Title_language]],2,FALSE)</f>
        <v>English</v>
      </c>
      <c r="E1799" t="s">
        <v>2944</v>
      </c>
      <c r="F1799">
        <v>27</v>
      </c>
      <c r="G1799" s="1">
        <v>43089</v>
      </c>
      <c r="H1799">
        <v>145</v>
      </c>
      <c r="I1799" t="s">
        <v>2944</v>
      </c>
      <c r="J1799">
        <v>158</v>
      </c>
      <c r="K1799">
        <v>2</v>
      </c>
      <c r="L1799">
        <v>0</v>
      </c>
      <c r="M1799">
        <v>0</v>
      </c>
      <c r="N1799" t="s">
        <v>98</v>
      </c>
      <c r="O1799">
        <v>2017</v>
      </c>
      <c r="P1799" t="s">
        <v>18</v>
      </c>
    </row>
    <row r="1800" spans="1:16" x14ac:dyDescent="0.3">
      <c r="A1800">
        <v>158</v>
      </c>
      <c r="B1800" t="s">
        <v>1556</v>
      </c>
      <c r="C1800" t="s">
        <v>1602</v>
      </c>
      <c r="D1800" t="str">
        <f>VLOOKUP(YouTube_University_Data_Final[[#This Row],[Title]],[1]!YouTube_University_Data_Final[[Title]:[Title_language]],2,FALSE)</f>
        <v>English</v>
      </c>
      <c r="E1800" t="s">
        <v>2944</v>
      </c>
      <c r="F1800">
        <v>27</v>
      </c>
      <c r="G1800" s="1">
        <v>43083</v>
      </c>
      <c r="H1800">
        <v>161</v>
      </c>
      <c r="I1800" t="s">
        <v>2944</v>
      </c>
      <c r="J1800">
        <v>1340</v>
      </c>
      <c r="K1800">
        <v>9</v>
      </c>
      <c r="L1800">
        <v>0</v>
      </c>
      <c r="M1800">
        <v>0</v>
      </c>
      <c r="N1800" t="s">
        <v>98</v>
      </c>
      <c r="O1800">
        <v>2017</v>
      </c>
      <c r="P1800" t="s">
        <v>18</v>
      </c>
    </row>
    <row r="1801" spans="1:16" x14ac:dyDescent="0.3">
      <c r="A1801">
        <v>159</v>
      </c>
      <c r="B1801" t="s">
        <v>1556</v>
      </c>
      <c r="C1801" t="s">
        <v>4588</v>
      </c>
      <c r="D1801" t="str">
        <f>VLOOKUP(YouTube_University_Data_Final[[#This Row],[Title]],[1]!YouTube_University_Data_Final[[Title]:[Title_language]],2,FALSE)</f>
        <v>Chinese</v>
      </c>
      <c r="E1801" t="s">
        <v>2944</v>
      </c>
      <c r="F1801">
        <v>27</v>
      </c>
      <c r="G1801" s="1">
        <v>43083</v>
      </c>
      <c r="H1801">
        <v>165</v>
      </c>
      <c r="I1801" t="s">
        <v>2944</v>
      </c>
      <c r="J1801">
        <v>2475</v>
      </c>
      <c r="K1801">
        <v>20</v>
      </c>
      <c r="L1801">
        <v>0</v>
      </c>
      <c r="M1801">
        <v>0</v>
      </c>
      <c r="N1801" t="s">
        <v>98</v>
      </c>
      <c r="O1801">
        <v>2017</v>
      </c>
      <c r="P1801" t="s">
        <v>18</v>
      </c>
    </row>
    <row r="1802" spans="1:16" x14ac:dyDescent="0.3">
      <c r="A1802">
        <v>160</v>
      </c>
      <c r="B1802" t="s">
        <v>1556</v>
      </c>
      <c r="C1802" t="s">
        <v>4589</v>
      </c>
      <c r="D1802" t="str">
        <f>VLOOKUP(YouTube_University_Data_Final[[#This Row],[Title]],[1]!YouTube_University_Data_Final[[Title]:[Title_language]],2,FALSE)</f>
        <v>English</v>
      </c>
      <c r="E1802" t="s">
        <v>2944</v>
      </c>
      <c r="F1802">
        <v>27</v>
      </c>
      <c r="G1802" s="1">
        <v>43083</v>
      </c>
      <c r="H1802">
        <v>45</v>
      </c>
      <c r="I1802" t="s">
        <v>2944</v>
      </c>
      <c r="J1802">
        <v>542</v>
      </c>
      <c r="K1802">
        <v>3</v>
      </c>
      <c r="L1802">
        <v>0</v>
      </c>
      <c r="M1802">
        <v>0</v>
      </c>
      <c r="N1802" t="s">
        <v>98</v>
      </c>
      <c r="O1802">
        <v>2017</v>
      </c>
      <c r="P1802" t="s">
        <v>18</v>
      </c>
    </row>
    <row r="1803" spans="1:16" x14ac:dyDescent="0.3">
      <c r="A1803">
        <v>161</v>
      </c>
      <c r="B1803" t="s">
        <v>1556</v>
      </c>
      <c r="C1803" t="s">
        <v>4590</v>
      </c>
      <c r="D1803" t="str">
        <f>VLOOKUP(YouTube_University_Data_Final[[#This Row],[Title]],[1]!YouTube_University_Data_Final[[Title]:[Title_language]],2,FALSE)</f>
        <v>Chinese</v>
      </c>
      <c r="E1803" t="s">
        <v>4591</v>
      </c>
      <c r="F1803">
        <v>27</v>
      </c>
      <c r="G1803" s="1">
        <v>43083</v>
      </c>
      <c r="H1803">
        <v>46</v>
      </c>
      <c r="I1803" t="s">
        <v>2944</v>
      </c>
      <c r="J1803">
        <v>171002</v>
      </c>
      <c r="K1803">
        <v>8</v>
      </c>
      <c r="L1803">
        <v>0</v>
      </c>
      <c r="M1803">
        <v>0</v>
      </c>
      <c r="N1803" t="s">
        <v>98</v>
      </c>
      <c r="O1803">
        <v>2017</v>
      </c>
      <c r="P1803" t="s">
        <v>18</v>
      </c>
    </row>
    <row r="1804" spans="1:16" x14ac:dyDescent="0.3">
      <c r="A1804">
        <v>162</v>
      </c>
      <c r="B1804" t="s">
        <v>1556</v>
      </c>
      <c r="C1804" t="s">
        <v>4592</v>
      </c>
      <c r="D1804" t="str">
        <f>VLOOKUP(YouTube_University_Data_Final[[#This Row],[Title]],[1]!YouTube_University_Data_Final[[Title]:[Title_language]],2,FALSE)</f>
        <v>English</v>
      </c>
      <c r="E1804" t="s">
        <v>2944</v>
      </c>
      <c r="F1804">
        <v>27</v>
      </c>
      <c r="G1804" s="1">
        <v>43076</v>
      </c>
      <c r="H1804">
        <v>218</v>
      </c>
      <c r="I1804" t="s">
        <v>2944</v>
      </c>
      <c r="J1804">
        <v>1342</v>
      </c>
      <c r="K1804">
        <v>5</v>
      </c>
      <c r="L1804">
        <v>0</v>
      </c>
      <c r="M1804">
        <v>0</v>
      </c>
      <c r="N1804" t="s">
        <v>98</v>
      </c>
      <c r="O1804">
        <v>2017</v>
      </c>
      <c r="P1804" t="s">
        <v>18</v>
      </c>
    </row>
    <row r="1805" spans="1:16" x14ac:dyDescent="0.3">
      <c r="A1805">
        <v>163</v>
      </c>
      <c r="B1805" t="s">
        <v>1556</v>
      </c>
      <c r="C1805" t="s">
        <v>4593</v>
      </c>
      <c r="D1805" t="str">
        <f>VLOOKUP(YouTube_University_Data_Final[[#This Row],[Title]],[1]!YouTube_University_Data_Final[[Title]:[Title_language]],2,FALSE)</f>
        <v>English</v>
      </c>
      <c r="E1805" t="s">
        <v>2944</v>
      </c>
      <c r="F1805">
        <v>27</v>
      </c>
      <c r="G1805" s="1">
        <v>43073</v>
      </c>
      <c r="H1805">
        <v>101</v>
      </c>
      <c r="I1805" t="s">
        <v>2944</v>
      </c>
      <c r="J1805">
        <v>854</v>
      </c>
      <c r="K1805">
        <v>3</v>
      </c>
      <c r="L1805">
        <v>0</v>
      </c>
      <c r="M1805">
        <v>0</v>
      </c>
      <c r="N1805" t="s">
        <v>98</v>
      </c>
      <c r="O1805">
        <v>2017</v>
      </c>
      <c r="P1805" t="s">
        <v>18</v>
      </c>
    </row>
    <row r="1806" spans="1:16" x14ac:dyDescent="0.3">
      <c r="A1806">
        <v>164</v>
      </c>
      <c r="B1806" t="s">
        <v>1556</v>
      </c>
      <c r="C1806" t="s">
        <v>1603</v>
      </c>
      <c r="D1806" t="str">
        <f>VLOOKUP(YouTube_University_Data_Final[[#This Row],[Title]],[1]!YouTube_University_Data_Final[[Title]:[Title_language]],2,FALSE)</f>
        <v>English</v>
      </c>
      <c r="E1806" t="s">
        <v>2944</v>
      </c>
      <c r="F1806">
        <v>27</v>
      </c>
      <c r="G1806" s="1">
        <v>43073</v>
      </c>
      <c r="H1806">
        <v>116</v>
      </c>
      <c r="I1806" t="s">
        <v>2944</v>
      </c>
      <c r="J1806">
        <v>198</v>
      </c>
      <c r="K1806">
        <v>0</v>
      </c>
      <c r="L1806">
        <v>0</v>
      </c>
      <c r="M1806">
        <v>0</v>
      </c>
      <c r="N1806" t="s">
        <v>98</v>
      </c>
      <c r="O1806">
        <v>2017</v>
      </c>
      <c r="P1806" t="s">
        <v>18</v>
      </c>
    </row>
    <row r="1807" spans="1:16" x14ac:dyDescent="0.3">
      <c r="A1807">
        <v>165</v>
      </c>
      <c r="B1807" t="s">
        <v>1556</v>
      </c>
      <c r="C1807" t="s">
        <v>1604</v>
      </c>
      <c r="D1807" t="str">
        <f>VLOOKUP(YouTube_University_Data_Final[[#This Row],[Title]],[1]!YouTube_University_Data_Final[[Title]:[Title_language]],2,FALSE)</f>
        <v>English</v>
      </c>
      <c r="E1807" t="s">
        <v>2944</v>
      </c>
      <c r="F1807">
        <v>27</v>
      </c>
      <c r="G1807" s="1">
        <v>43070</v>
      </c>
      <c r="H1807">
        <v>157</v>
      </c>
      <c r="I1807" t="s">
        <v>2944</v>
      </c>
      <c r="J1807">
        <v>62832</v>
      </c>
      <c r="K1807">
        <v>8</v>
      </c>
      <c r="L1807">
        <v>0</v>
      </c>
      <c r="M1807">
        <v>0</v>
      </c>
      <c r="N1807" t="s">
        <v>98</v>
      </c>
      <c r="O1807">
        <v>2017</v>
      </c>
      <c r="P1807" t="s">
        <v>18</v>
      </c>
    </row>
    <row r="1808" spans="1:16" x14ac:dyDescent="0.3">
      <c r="A1808">
        <v>166</v>
      </c>
      <c r="B1808" t="s">
        <v>1556</v>
      </c>
      <c r="C1808" t="s">
        <v>1605</v>
      </c>
      <c r="D1808" t="str">
        <f>VLOOKUP(YouTube_University_Data_Final[[#This Row],[Title]],[1]!YouTube_University_Data_Final[[Title]:[Title_language]],2,FALSE)</f>
        <v>English</v>
      </c>
      <c r="E1808" t="s">
        <v>2944</v>
      </c>
      <c r="F1808">
        <v>27</v>
      </c>
      <c r="G1808" s="1">
        <v>43033</v>
      </c>
      <c r="H1808">
        <v>159</v>
      </c>
      <c r="I1808" t="s">
        <v>2944</v>
      </c>
      <c r="J1808">
        <v>150</v>
      </c>
      <c r="K1808">
        <v>0</v>
      </c>
      <c r="L1808">
        <v>0</v>
      </c>
      <c r="M1808">
        <v>0</v>
      </c>
      <c r="N1808" t="s">
        <v>17</v>
      </c>
      <c r="O1808">
        <v>2017</v>
      </c>
      <c r="P1808" t="s">
        <v>18</v>
      </c>
    </row>
    <row r="1809" spans="1:16" x14ac:dyDescent="0.3">
      <c r="A1809">
        <v>167</v>
      </c>
      <c r="B1809" t="s">
        <v>1556</v>
      </c>
      <c r="C1809" t="s">
        <v>1606</v>
      </c>
      <c r="D1809" t="str">
        <f>VLOOKUP(YouTube_University_Data_Final[[#This Row],[Title]],[1]!YouTube_University_Data_Final[[Title]:[Title_language]],2,FALSE)</f>
        <v>English</v>
      </c>
      <c r="E1809" t="s">
        <v>4594</v>
      </c>
      <c r="F1809">
        <v>27</v>
      </c>
      <c r="G1809" s="1">
        <v>43026</v>
      </c>
      <c r="H1809">
        <v>103</v>
      </c>
      <c r="I1809" t="s">
        <v>2944</v>
      </c>
      <c r="J1809">
        <v>889</v>
      </c>
      <c r="K1809">
        <v>0</v>
      </c>
      <c r="L1809">
        <v>0</v>
      </c>
      <c r="M1809">
        <v>0</v>
      </c>
      <c r="N1809" t="s">
        <v>17</v>
      </c>
      <c r="O1809">
        <v>2017</v>
      </c>
      <c r="P1809" t="s">
        <v>18</v>
      </c>
    </row>
    <row r="1810" spans="1:16" x14ac:dyDescent="0.3">
      <c r="A1810">
        <v>168</v>
      </c>
      <c r="B1810" t="s">
        <v>1556</v>
      </c>
      <c r="C1810" t="s">
        <v>1607</v>
      </c>
      <c r="D1810" t="str">
        <f>VLOOKUP(YouTube_University_Data_Final[[#This Row],[Title]],[1]!YouTube_University_Data_Final[[Title]:[Title_language]],2,FALSE)</f>
        <v>English</v>
      </c>
      <c r="E1810" t="s">
        <v>1608</v>
      </c>
      <c r="F1810">
        <v>27</v>
      </c>
      <c r="G1810" s="1">
        <v>43003</v>
      </c>
      <c r="H1810">
        <v>98</v>
      </c>
      <c r="I1810" t="s">
        <v>2944</v>
      </c>
      <c r="J1810">
        <v>921</v>
      </c>
      <c r="K1810">
        <v>1</v>
      </c>
      <c r="L1810">
        <v>0</v>
      </c>
      <c r="M1810">
        <v>0</v>
      </c>
      <c r="N1810" t="s">
        <v>21</v>
      </c>
      <c r="O1810">
        <v>2017</v>
      </c>
      <c r="P1810" t="s">
        <v>18</v>
      </c>
    </row>
    <row r="1811" spans="1:16" x14ac:dyDescent="0.3">
      <c r="A1811">
        <v>169</v>
      </c>
      <c r="B1811" t="s">
        <v>1556</v>
      </c>
      <c r="C1811" t="s">
        <v>1609</v>
      </c>
      <c r="D1811" t="str">
        <f>VLOOKUP(YouTube_University_Data_Final[[#This Row],[Title]],[1]!YouTube_University_Data_Final[[Title]:[Title_language]],2,FALSE)</f>
        <v>English</v>
      </c>
      <c r="E1811" t="s">
        <v>3053</v>
      </c>
      <c r="F1811">
        <v>27</v>
      </c>
      <c r="G1811" s="1">
        <v>42927</v>
      </c>
      <c r="H1811">
        <v>254</v>
      </c>
      <c r="I1811" t="s">
        <v>2944</v>
      </c>
      <c r="J1811">
        <v>349</v>
      </c>
      <c r="K1811">
        <v>2</v>
      </c>
      <c r="L1811">
        <v>0</v>
      </c>
      <c r="M1811">
        <v>0</v>
      </c>
      <c r="N1811" t="s">
        <v>56</v>
      </c>
      <c r="O1811">
        <v>2017</v>
      </c>
      <c r="P1811" t="s">
        <v>18</v>
      </c>
    </row>
    <row r="1812" spans="1:16" x14ac:dyDescent="0.3">
      <c r="A1812">
        <v>170</v>
      </c>
      <c r="B1812" t="s">
        <v>1556</v>
      </c>
      <c r="C1812" t="s">
        <v>1610</v>
      </c>
      <c r="D1812" t="str">
        <f>VLOOKUP(YouTube_University_Data_Final[[#This Row],[Title]],[1]!YouTube_University_Data_Final[[Title]:[Title_language]],2,FALSE)</f>
        <v>English</v>
      </c>
      <c r="E1812" t="s">
        <v>2944</v>
      </c>
      <c r="F1812">
        <v>27</v>
      </c>
      <c r="G1812" s="1">
        <v>42919</v>
      </c>
      <c r="H1812">
        <v>106</v>
      </c>
      <c r="I1812" t="s">
        <v>2944</v>
      </c>
      <c r="J1812">
        <v>1756</v>
      </c>
      <c r="K1812">
        <v>3</v>
      </c>
      <c r="L1812">
        <v>0</v>
      </c>
      <c r="M1812">
        <v>0</v>
      </c>
      <c r="N1812" t="s">
        <v>56</v>
      </c>
      <c r="O1812">
        <v>2017</v>
      </c>
      <c r="P1812" t="s">
        <v>18</v>
      </c>
    </row>
    <row r="1813" spans="1:16" x14ac:dyDescent="0.3">
      <c r="A1813">
        <v>171</v>
      </c>
      <c r="B1813" t="s">
        <v>1556</v>
      </c>
      <c r="C1813" t="s">
        <v>1611</v>
      </c>
      <c r="D1813" t="str">
        <f>VLOOKUP(YouTube_University_Data_Final[[#This Row],[Title]],[1]!YouTube_University_Data_Final[[Title]:[Title_language]],2,FALSE)</f>
        <v>English</v>
      </c>
      <c r="E1813" t="s">
        <v>2944</v>
      </c>
      <c r="F1813">
        <v>27</v>
      </c>
      <c r="G1813" s="1">
        <v>42919</v>
      </c>
      <c r="H1813">
        <v>217</v>
      </c>
      <c r="I1813" t="s">
        <v>2944</v>
      </c>
      <c r="J1813">
        <v>1656</v>
      </c>
      <c r="K1813">
        <v>11</v>
      </c>
      <c r="L1813">
        <v>0</v>
      </c>
      <c r="M1813">
        <v>0</v>
      </c>
      <c r="N1813" t="s">
        <v>56</v>
      </c>
      <c r="O1813">
        <v>2017</v>
      </c>
      <c r="P1813" t="s">
        <v>18</v>
      </c>
    </row>
    <row r="1814" spans="1:16" x14ac:dyDescent="0.3">
      <c r="A1814">
        <v>172</v>
      </c>
      <c r="B1814" t="s">
        <v>1556</v>
      </c>
      <c r="C1814" t="s">
        <v>1612</v>
      </c>
      <c r="D1814" t="str">
        <f>VLOOKUP(YouTube_University_Data_Final[[#This Row],[Title]],[1]!YouTube_University_Data_Final[[Title]:[Title_language]],2,FALSE)</f>
        <v>English</v>
      </c>
      <c r="E1814" t="s">
        <v>2944</v>
      </c>
      <c r="F1814">
        <v>27</v>
      </c>
      <c r="G1814" s="1">
        <v>42902</v>
      </c>
      <c r="H1814">
        <v>118</v>
      </c>
      <c r="I1814" t="s">
        <v>2944</v>
      </c>
      <c r="J1814">
        <v>574</v>
      </c>
      <c r="K1814">
        <v>1</v>
      </c>
      <c r="L1814">
        <v>0</v>
      </c>
      <c r="M1814">
        <v>0</v>
      </c>
      <c r="N1814" t="s">
        <v>78</v>
      </c>
      <c r="O1814">
        <v>2017</v>
      </c>
      <c r="P1814" t="s">
        <v>18</v>
      </c>
    </row>
    <row r="1815" spans="1:16" x14ac:dyDescent="0.3">
      <c r="A1815">
        <v>173</v>
      </c>
      <c r="B1815" t="s">
        <v>1556</v>
      </c>
      <c r="C1815" t="s">
        <v>4595</v>
      </c>
      <c r="D1815" t="str">
        <f>VLOOKUP(YouTube_University_Data_Final[[#This Row],[Title]],[1]!YouTube_University_Data_Final[[Title]:[Title_language]],2,FALSE)</f>
        <v>English</v>
      </c>
      <c r="E1815" t="s">
        <v>2944</v>
      </c>
      <c r="F1815">
        <v>27</v>
      </c>
      <c r="G1815" s="1">
        <v>42900</v>
      </c>
      <c r="H1815">
        <v>126</v>
      </c>
      <c r="I1815" t="s">
        <v>2944</v>
      </c>
      <c r="J1815">
        <v>802</v>
      </c>
      <c r="K1815">
        <v>1</v>
      </c>
      <c r="L1815">
        <v>0</v>
      </c>
      <c r="M1815">
        <v>0</v>
      </c>
      <c r="N1815" t="s">
        <v>78</v>
      </c>
      <c r="O1815">
        <v>2017</v>
      </c>
      <c r="P1815" t="s">
        <v>18</v>
      </c>
    </row>
    <row r="1816" spans="1:16" x14ac:dyDescent="0.3">
      <c r="A1816">
        <v>174</v>
      </c>
      <c r="B1816" t="s">
        <v>1556</v>
      </c>
      <c r="C1816" t="s">
        <v>4596</v>
      </c>
      <c r="D1816" t="str">
        <f>VLOOKUP(YouTube_University_Data_Final[[#This Row],[Title]],[1]!YouTube_University_Data_Final[[Title]:[Title_language]],2,FALSE)</f>
        <v>English</v>
      </c>
      <c r="E1816" t="s">
        <v>3053</v>
      </c>
      <c r="F1816">
        <v>27</v>
      </c>
      <c r="G1816" s="1">
        <v>42865</v>
      </c>
      <c r="H1816">
        <v>59</v>
      </c>
      <c r="I1816" t="s">
        <v>2944</v>
      </c>
      <c r="J1816">
        <v>624</v>
      </c>
      <c r="K1816">
        <v>4</v>
      </c>
      <c r="L1816">
        <v>0</v>
      </c>
      <c r="M1816">
        <v>0</v>
      </c>
      <c r="N1816" t="s">
        <v>81</v>
      </c>
      <c r="O1816">
        <v>2017</v>
      </c>
      <c r="P1816" t="s">
        <v>18</v>
      </c>
    </row>
    <row r="1817" spans="1:16" x14ac:dyDescent="0.3">
      <c r="A1817">
        <v>175</v>
      </c>
      <c r="B1817" t="s">
        <v>1556</v>
      </c>
      <c r="C1817" t="s">
        <v>1613</v>
      </c>
      <c r="D1817" t="str">
        <f>VLOOKUP(YouTube_University_Data_Final[[#This Row],[Title]],[1]!YouTube_University_Data_Final[[Title]:[Title_language]],2,FALSE)</f>
        <v>English</v>
      </c>
      <c r="E1817" t="s">
        <v>1614</v>
      </c>
      <c r="F1817">
        <v>27</v>
      </c>
      <c r="G1817" s="1">
        <v>42850</v>
      </c>
      <c r="H1817">
        <v>153</v>
      </c>
      <c r="I1817" t="s">
        <v>2944</v>
      </c>
      <c r="J1817">
        <v>1302</v>
      </c>
      <c r="K1817">
        <v>6</v>
      </c>
      <c r="L1817">
        <v>0</v>
      </c>
      <c r="M1817">
        <v>0</v>
      </c>
      <c r="N1817" t="s">
        <v>87</v>
      </c>
      <c r="O1817">
        <v>2017</v>
      </c>
      <c r="P1817" t="s">
        <v>18</v>
      </c>
    </row>
    <row r="1818" spans="1:16" x14ac:dyDescent="0.3">
      <c r="A1818">
        <v>176</v>
      </c>
      <c r="B1818" t="s">
        <v>1556</v>
      </c>
      <c r="C1818" t="s">
        <v>4597</v>
      </c>
      <c r="D1818" t="str">
        <f>VLOOKUP(YouTube_University_Data_Final[[#This Row],[Title]],[1]!YouTube_University_Data_Final[[Title]:[Title_language]],2,FALSE)</f>
        <v>English</v>
      </c>
      <c r="E1818" t="s">
        <v>4598</v>
      </c>
      <c r="F1818">
        <v>27</v>
      </c>
      <c r="G1818" s="1">
        <v>42850</v>
      </c>
      <c r="H1818">
        <v>435</v>
      </c>
      <c r="I1818" t="s">
        <v>2944</v>
      </c>
      <c r="J1818">
        <v>114091</v>
      </c>
      <c r="K1818">
        <v>26</v>
      </c>
      <c r="L1818">
        <v>0</v>
      </c>
      <c r="M1818">
        <v>0</v>
      </c>
      <c r="N1818" t="s">
        <v>87</v>
      </c>
      <c r="O1818">
        <v>2017</v>
      </c>
      <c r="P1818" t="s">
        <v>18</v>
      </c>
    </row>
    <row r="1819" spans="1:16" x14ac:dyDescent="0.3">
      <c r="A1819">
        <v>177</v>
      </c>
      <c r="B1819" t="s">
        <v>1556</v>
      </c>
      <c r="C1819" t="s">
        <v>1615</v>
      </c>
      <c r="D1819" t="str">
        <f>VLOOKUP(YouTube_University_Data_Final[[#This Row],[Title]],[1]!YouTube_University_Data_Final[[Title]:[Title_language]],2,FALSE)</f>
        <v>English</v>
      </c>
      <c r="E1819" t="s">
        <v>4599</v>
      </c>
      <c r="F1819">
        <v>27</v>
      </c>
      <c r="G1819" s="1">
        <v>42849</v>
      </c>
      <c r="H1819">
        <v>141</v>
      </c>
      <c r="I1819" t="s">
        <v>2944</v>
      </c>
      <c r="J1819">
        <v>897</v>
      </c>
      <c r="K1819">
        <v>1</v>
      </c>
      <c r="L1819">
        <v>0</v>
      </c>
      <c r="M1819">
        <v>0</v>
      </c>
      <c r="N1819" t="s">
        <v>87</v>
      </c>
      <c r="O1819">
        <v>2017</v>
      </c>
      <c r="P1819" t="s">
        <v>18</v>
      </c>
    </row>
    <row r="1820" spans="1:16" x14ac:dyDescent="0.3">
      <c r="A1820">
        <v>178</v>
      </c>
      <c r="B1820" t="s">
        <v>1556</v>
      </c>
      <c r="C1820" t="s">
        <v>1616</v>
      </c>
      <c r="D1820" t="str">
        <f>VLOOKUP(YouTube_University_Data_Final[[#This Row],[Title]],[1]!YouTube_University_Data_Final[[Title]:[Title_language]],2,FALSE)</f>
        <v>English</v>
      </c>
      <c r="E1820" t="s">
        <v>4600</v>
      </c>
      <c r="F1820">
        <v>27</v>
      </c>
      <c r="G1820" s="1">
        <v>42808</v>
      </c>
      <c r="H1820">
        <v>131</v>
      </c>
      <c r="I1820" t="s">
        <v>2944</v>
      </c>
      <c r="J1820">
        <v>4913</v>
      </c>
      <c r="K1820">
        <v>13</v>
      </c>
      <c r="L1820">
        <v>0</v>
      </c>
      <c r="M1820">
        <v>0</v>
      </c>
      <c r="N1820" t="s">
        <v>90</v>
      </c>
      <c r="O1820">
        <v>2017</v>
      </c>
      <c r="P1820" t="s">
        <v>18</v>
      </c>
    </row>
    <row r="1821" spans="1:16" x14ac:dyDescent="0.3">
      <c r="A1821">
        <v>179</v>
      </c>
      <c r="B1821" t="s">
        <v>1556</v>
      </c>
      <c r="C1821" t="s">
        <v>4601</v>
      </c>
      <c r="D1821" t="str">
        <f>VLOOKUP(YouTube_University_Data_Final[[#This Row],[Title]],[1]!YouTube_University_Data_Final[[Title]:[Title_language]],2,FALSE)</f>
        <v>English</v>
      </c>
      <c r="E1821" t="s">
        <v>4602</v>
      </c>
      <c r="F1821">
        <v>27</v>
      </c>
      <c r="G1821" s="1">
        <v>42803</v>
      </c>
      <c r="H1821">
        <v>177</v>
      </c>
      <c r="I1821" t="s">
        <v>2944</v>
      </c>
      <c r="J1821">
        <v>159</v>
      </c>
      <c r="K1821">
        <v>0</v>
      </c>
      <c r="L1821">
        <v>0</v>
      </c>
      <c r="M1821">
        <v>0</v>
      </c>
      <c r="N1821" t="s">
        <v>90</v>
      </c>
      <c r="O1821">
        <v>2017</v>
      </c>
      <c r="P1821" t="s">
        <v>18</v>
      </c>
    </row>
    <row r="1822" spans="1:16" x14ac:dyDescent="0.3">
      <c r="A1822">
        <v>180</v>
      </c>
      <c r="B1822" t="s">
        <v>1556</v>
      </c>
      <c r="C1822" t="s">
        <v>1617</v>
      </c>
      <c r="D1822" t="str">
        <f>VLOOKUP(YouTube_University_Data_Final[[#This Row],[Title]],[1]!YouTube_University_Data_Final[[Title]:[Title_language]],2,FALSE)</f>
        <v>English</v>
      </c>
      <c r="E1822" t="s">
        <v>1618</v>
      </c>
      <c r="F1822">
        <v>27</v>
      </c>
      <c r="G1822" s="1">
        <v>42803</v>
      </c>
      <c r="H1822">
        <v>219</v>
      </c>
      <c r="I1822" t="s">
        <v>2944</v>
      </c>
      <c r="J1822">
        <v>347</v>
      </c>
      <c r="K1822">
        <v>1</v>
      </c>
      <c r="L1822">
        <v>0</v>
      </c>
      <c r="M1822">
        <v>0</v>
      </c>
      <c r="N1822" t="s">
        <v>90</v>
      </c>
      <c r="O1822">
        <v>2017</v>
      </c>
      <c r="P1822" t="s">
        <v>18</v>
      </c>
    </row>
    <row r="1823" spans="1:16" x14ac:dyDescent="0.3">
      <c r="A1823">
        <v>181</v>
      </c>
      <c r="B1823" t="s">
        <v>1556</v>
      </c>
      <c r="C1823" t="s">
        <v>1619</v>
      </c>
      <c r="D1823" t="str">
        <f>VLOOKUP(YouTube_University_Data_Final[[#This Row],[Title]],[1]!YouTube_University_Data_Final[[Title]:[Title_language]],2,FALSE)</f>
        <v>English</v>
      </c>
      <c r="E1823" t="s">
        <v>3053</v>
      </c>
      <c r="F1823">
        <v>27</v>
      </c>
      <c r="G1823" s="1">
        <v>42801</v>
      </c>
      <c r="H1823">
        <v>172</v>
      </c>
      <c r="I1823" t="s">
        <v>2944</v>
      </c>
      <c r="J1823">
        <v>117</v>
      </c>
      <c r="K1823">
        <v>0</v>
      </c>
      <c r="L1823">
        <v>0</v>
      </c>
      <c r="M1823">
        <v>0</v>
      </c>
      <c r="N1823" t="s">
        <v>90</v>
      </c>
      <c r="O1823">
        <v>2017</v>
      </c>
      <c r="P1823" t="s">
        <v>18</v>
      </c>
    </row>
    <row r="1824" spans="1:16" x14ac:dyDescent="0.3">
      <c r="A1824">
        <v>182</v>
      </c>
      <c r="B1824" t="s">
        <v>1556</v>
      </c>
      <c r="C1824" t="s">
        <v>1620</v>
      </c>
      <c r="D1824" t="str">
        <f>VLOOKUP(YouTube_University_Data_Final[[#This Row],[Title]],[1]!YouTube_University_Data_Final[[Title]:[Title_language]],2,FALSE)</f>
        <v>English</v>
      </c>
      <c r="E1824" t="s">
        <v>3053</v>
      </c>
      <c r="F1824">
        <v>27</v>
      </c>
      <c r="G1824" s="1">
        <v>42788</v>
      </c>
      <c r="H1824">
        <v>128</v>
      </c>
      <c r="I1824" t="s">
        <v>2944</v>
      </c>
      <c r="J1824">
        <v>802</v>
      </c>
      <c r="K1824">
        <v>0</v>
      </c>
      <c r="L1824">
        <v>0</v>
      </c>
      <c r="M1824">
        <v>0</v>
      </c>
      <c r="N1824" t="s">
        <v>162</v>
      </c>
      <c r="O1824">
        <v>2017</v>
      </c>
      <c r="P1824" t="s">
        <v>18</v>
      </c>
    </row>
    <row r="1825" spans="1:16" x14ac:dyDescent="0.3">
      <c r="A1825">
        <v>183</v>
      </c>
      <c r="B1825" t="s">
        <v>1556</v>
      </c>
      <c r="C1825" t="s">
        <v>1621</v>
      </c>
      <c r="D1825" t="str">
        <f>VLOOKUP(YouTube_University_Data_Final[[#This Row],[Title]],[1]!YouTube_University_Data_Final[[Title]:[Title_language]],2,FALSE)</f>
        <v>English</v>
      </c>
      <c r="E1825" t="s">
        <v>2944</v>
      </c>
      <c r="F1825">
        <v>27</v>
      </c>
      <c r="G1825" s="1">
        <v>42713</v>
      </c>
      <c r="H1825">
        <v>198</v>
      </c>
      <c r="I1825" t="s">
        <v>2944</v>
      </c>
      <c r="J1825">
        <v>364</v>
      </c>
      <c r="K1825">
        <v>2</v>
      </c>
      <c r="L1825">
        <v>0</v>
      </c>
      <c r="M1825">
        <v>0</v>
      </c>
      <c r="N1825" t="s">
        <v>98</v>
      </c>
      <c r="O1825">
        <v>2016</v>
      </c>
      <c r="P1825" t="s">
        <v>18</v>
      </c>
    </row>
    <row r="1826" spans="1:16" x14ac:dyDescent="0.3">
      <c r="A1826">
        <v>184</v>
      </c>
      <c r="B1826" t="s">
        <v>1556</v>
      </c>
      <c r="C1826" t="s">
        <v>1622</v>
      </c>
      <c r="D1826" t="str">
        <f>VLOOKUP(YouTube_University_Data_Final[[#This Row],[Title]],[1]!YouTube_University_Data_Final[[Title]:[Title_language]],2,FALSE)</f>
        <v>English</v>
      </c>
      <c r="E1826" t="s">
        <v>2944</v>
      </c>
      <c r="F1826">
        <v>27</v>
      </c>
      <c r="G1826" s="1">
        <v>42711</v>
      </c>
      <c r="H1826">
        <v>109</v>
      </c>
      <c r="I1826" t="s">
        <v>2944</v>
      </c>
      <c r="J1826">
        <v>230</v>
      </c>
      <c r="K1826">
        <v>0</v>
      </c>
      <c r="L1826">
        <v>0</v>
      </c>
      <c r="M1826">
        <v>0</v>
      </c>
      <c r="N1826" t="s">
        <v>98</v>
      </c>
      <c r="O1826">
        <v>2016</v>
      </c>
      <c r="P1826" t="s">
        <v>18</v>
      </c>
    </row>
    <row r="1827" spans="1:16" x14ac:dyDescent="0.3">
      <c r="A1827">
        <v>185</v>
      </c>
      <c r="B1827" t="s">
        <v>1556</v>
      </c>
      <c r="C1827" t="s">
        <v>4603</v>
      </c>
      <c r="D1827" t="str">
        <f>VLOOKUP(YouTube_University_Data_Final[[#This Row],[Title]],[1]!YouTube_University_Data_Final[[Title]:[Title_language]],2,FALSE)</f>
        <v>English</v>
      </c>
      <c r="E1827" t="s">
        <v>2944</v>
      </c>
      <c r="F1827">
        <v>27</v>
      </c>
      <c r="G1827" s="1">
        <v>42710</v>
      </c>
      <c r="H1827">
        <v>64</v>
      </c>
      <c r="I1827" t="s">
        <v>2944</v>
      </c>
      <c r="J1827">
        <v>187</v>
      </c>
      <c r="K1827">
        <v>0</v>
      </c>
      <c r="L1827">
        <v>0</v>
      </c>
      <c r="M1827">
        <v>0</v>
      </c>
      <c r="N1827" t="s">
        <v>98</v>
      </c>
      <c r="O1827">
        <v>2016</v>
      </c>
      <c r="P1827" t="s">
        <v>18</v>
      </c>
    </row>
    <row r="1828" spans="1:16" x14ac:dyDescent="0.3">
      <c r="A1828">
        <v>186</v>
      </c>
      <c r="B1828" t="s">
        <v>1556</v>
      </c>
      <c r="C1828" t="s">
        <v>1623</v>
      </c>
      <c r="D1828" t="str">
        <f>VLOOKUP(YouTube_University_Data_Final[[#This Row],[Title]],[1]!YouTube_University_Data_Final[[Title]:[Title_language]],2,FALSE)</f>
        <v>English</v>
      </c>
      <c r="E1828" t="s">
        <v>2944</v>
      </c>
      <c r="F1828">
        <v>27</v>
      </c>
      <c r="G1828" s="1">
        <v>42710</v>
      </c>
      <c r="H1828">
        <v>85</v>
      </c>
      <c r="I1828" t="s">
        <v>2944</v>
      </c>
      <c r="J1828">
        <v>442</v>
      </c>
      <c r="K1828">
        <v>3</v>
      </c>
      <c r="L1828">
        <v>0</v>
      </c>
      <c r="M1828">
        <v>0</v>
      </c>
      <c r="N1828" t="s">
        <v>98</v>
      </c>
      <c r="O1828">
        <v>2016</v>
      </c>
      <c r="P1828" t="s">
        <v>18</v>
      </c>
    </row>
    <row r="1829" spans="1:16" x14ac:dyDescent="0.3">
      <c r="A1829">
        <v>187</v>
      </c>
      <c r="B1829" t="s">
        <v>1556</v>
      </c>
      <c r="C1829" t="s">
        <v>1624</v>
      </c>
      <c r="D1829" t="str">
        <f>VLOOKUP(YouTube_University_Data_Final[[#This Row],[Title]],[1]!YouTube_University_Data_Final[[Title]:[Title_language]],2,FALSE)</f>
        <v>English</v>
      </c>
      <c r="E1829" t="s">
        <v>2944</v>
      </c>
      <c r="F1829">
        <v>27</v>
      </c>
      <c r="G1829" s="1">
        <v>42705</v>
      </c>
      <c r="H1829">
        <v>252</v>
      </c>
      <c r="I1829" t="s">
        <v>2944</v>
      </c>
      <c r="J1829">
        <v>719</v>
      </c>
      <c r="K1829">
        <v>2</v>
      </c>
      <c r="L1829">
        <v>0</v>
      </c>
      <c r="M1829">
        <v>0</v>
      </c>
      <c r="N1829" t="s">
        <v>98</v>
      </c>
      <c r="O1829">
        <v>2016</v>
      </c>
      <c r="P1829" t="s">
        <v>18</v>
      </c>
    </row>
    <row r="1830" spans="1:16" x14ac:dyDescent="0.3">
      <c r="A1830">
        <v>188</v>
      </c>
      <c r="B1830" t="s">
        <v>1556</v>
      </c>
      <c r="C1830" t="s">
        <v>4604</v>
      </c>
      <c r="D1830" t="str">
        <f>VLOOKUP(YouTube_University_Data_Final[[#This Row],[Title]],[1]!YouTube_University_Data_Final[[Title]:[Title_language]],2,FALSE)</f>
        <v>English</v>
      </c>
      <c r="E1830" t="s">
        <v>2944</v>
      </c>
      <c r="F1830">
        <v>27</v>
      </c>
      <c r="G1830" s="1">
        <v>42691</v>
      </c>
      <c r="H1830">
        <v>66</v>
      </c>
      <c r="I1830" t="s">
        <v>2944</v>
      </c>
      <c r="J1830">
        <v>260</v>
      </c>
      <c r="K1830">
        <v>0</v>
      </c>
      <c r="L1830">
        <v>0</v>
      </c>
      <c r="M1830">
        <v>0</v>
      </c>
      <c r="N1830" t="s">
        <v>101</v>
      </c>
      <c r="O1830">
        <v>2016</v>
      </c>
      <c r="P1830" t="s">
        <v>18</v>
      </c>
    </row>
    <row r="1831" spans="1:16" x14ac:dyDescent="0.3">
      <c r="A1831">
        <v>189</v>
      </c>
      <c r="B1831" t="s">
        <v>1556</v>
      </c>
      <c r="C1831" t="s">
        <v>4605</v>
      </c>
      <c r="D1831" t="str">
        <f>VLOOKUP(YouTube_University_Data_Final[[#This Row],[Title]],[1]!YouTube_University_Data_Final[[Title]:[Title_language]],2,FALSE)</f>
        <v>English</v>
      </c>
      <c r="E1831" t="s">
        <v>2944</v>
      </c>
      <c r="F1831">
        <v>27</v>
      </c>
      <c r="G1831" s="1">
        <v>42691</v>
      </c>
      <c r="H1831">
        <v>68</v>
      </c>
      <c r="I1831" t="s">
        <v>2944</v>
      </c>
      <c r="J1831">
        <v>256</v>
      </c>
      <c r="K1831">
        <v>0</v>
      </c>
      <c r="L1831">
        <v>0</v>
      </c>
      <c r="M1831">
        <v>0</v>
      </c>
      <c r="N1831" t="s">
        <v>101</v>
      </c>
      <c r="O1831">
        <v>2016</v>
      </c>
      <c r="P1831" t="s">
        <v>18</v>
      </c>
    </row>
    <row r="1832" spans="1:16" x14ac:dyDescent="0.3">
      <c r="A1832">
        <v>190</v>
      </c>
      <c r="B1832" t="s">
        <v>1556</v>
      </c>
      <c r="C1832" t="s">
        <v>1625</v>
      </c>
      <c r="D1832" t="str">
        <f>VLOOKUP(YouTube_University_Data_Final[[#This Row],[Title]],[1]!YouTube_University_Data_Final[[Title]:[Title_language]],2,FALSE)</f>
        <v>English</v>
      </c>
      <c r="E1832" t="s">
        <v>2944</v>
      </c>
      <c r="F1832">
        <v>27</v>
      </c>
      <c r="G1832" s="1">
        <v>42691</v>
      </c>
      <c r="H1832">
        <v>195</v>
      </c>
      <c r="I1832" t="s">
        <v>2944</v>
      </c>
      <c r="J1832">
        <v>472</v>
      </c>
      <c r="K1832">
        <v>1</v>
      </c>
      <c r="L1832">
        <v>0</v>
      </c>
      <c r="M1832">
        <v>0</v>
      </c>
      <c r="N1832" t="s">
        <v>101</v>
      </c>
      <c r="O1832">
        <v>2016</v>
      </c>
      <c r="P1832" t="s">
        <v>18</v>
      </c>
    </row>
    <row r="1833" spans="1:16" x14ac:dyDescent="0.3">
      <c r="A1833">
        <v>191</v>
      </c>
      <c r="B1833" t="s">
        <v>1556</v>
      </c>
      <c r="C1833" t="s">
        <v>1626</v>
      </c>
      <c r="D1833" t="str">
        <f>VLOOKUP(YouTube_University_Data_Final[[#This Row],[Title]],[1]!YouTube_University_Data_Final[[Title]:[Title_language]],2,FALSE)</f>
        <v>English</v>
      </c>
      <c r="E1833" t="s">
        <v>2944</v>
      </c>
      <c r="F1833">
        <v>27</v>
      </c>
      <c r="G1833" s="1">
        <v>42655</v>
      </c>
      <c r="H1833">
        <v>136</v>
      </c>
      <c r="I1833" t="s">
        <v>2944</v>
      </c>
      <c r="J1833">
        <v>356</v>
      </c>
      <c r="K1833">
        <v>1</v>
      </c>
      <c r="L1833">
        <v>0</v>
      </c>
      <c r="M1833">
        <v>0</v>
      </c>
      <c r="N1833" t="s">
        <v>17</v>
      </c>
      <c r="O1833">
        <v>2016</v>
      </c>
      <c r="P1833" t="s">
        <v>18</v>
      </c>
    </row>
    <row r="1834" spans="1:16" x14ac:dyDescent="0.3">
      <c r="A1834">
        <v>192</v>
      </c>
      <c r="B1834" t="s">
        <v>1556</v>
      </c>
      <c r="C1834" t="s">
        <v>4606</v>
      </c>
      <c r="D1834" t="str">
        <f>VLOOKUP(YouTube_University_Data_Final[[#This Row],[Title]],[1]!YouTube_University_Data_Final[[Title]:[Title_language]],2,FALSE)</f>
        <v>English</v>
      </c>
      <c r="E1834" t="s">
        <v>2944</v>
      </c>
      <c r="F1834">
        <v>27</v>
      </c>
      <c r="G1834" s="1">
        <v>42655</v>
      </c>
      <c r="H1834">
        <v>82</v>
      </c>
      <c r="I1834" t="s">
        <v>2944</v>
      </c>
      <c r="J1834">
        <v>142</v>
      </c>
      <c r="K1834">
        <v>0</v>
      </c>
      <c r="L1834">
        <v>0</v>
      </c>
      <c r="M1834">
        <v>0</v>
      </c>
      <c r="N1834" t="s">
        <v>17</v>
      </c>
      <c r="O1834">
        <v>2016</v>
      </c>
      <c r="P1834" t="s">
        <v>18</v>
      </c>
    </row>
    <row r="1835" spans="1:16" x14ac:dyDescent="0.3">
      <c r="A1835">
        <v>193</v>
      </c>
      <c r="B1835" t="s">
        <v>1556</v>
      </c>
      <c r="C1835" t="s">
        <v>1627</v>
      </c>
      <c r="D1835" t="str">
        <f>VLOOKUP(YouTube_University_Data_Final[[#This Row],[Title]],[1]!YouTube_University_Data_Final[[Title]:[Title_language]],2,FALSE)</f>
        <v>English</v>
      </c>
      <c r="E1835" t="s">
        <v>2944</v>
      </c>
      <c r="F1835">
        <v>27</v>
      </c>
      <c r="G1835" s="1">
        <v>42654</v>
      </c>
      <c r="H1835">
        <v>93</v>
      </c>
      <c r="I1835" t="s">
        <v>2944</v>
      </c>
      <c r="J1835">
        <v>392</v>
      </c>
      <c r="K1835">
        <v>0</v>
      </c>
      <c r="L1835">
        <v>0</v>
      </c>
      <c r="M1835">
        <v>0</v>
      </c>
      <c r="N1835" t="s">
        <v>17</v>
      </c>
      <c r="O1835">
        <v>2016</v>
      </c>
      <c r="P1835" t="s">
        <v>18</v>
      </c>
    </row>
    <row r="1836" spans="1:16" x14ac:dyDescent="0.3">
      <c r="A1836">
        <v>194</v>
      </c>
      <c r="B1836" t="s">
        <v>1556</v>
      </c>
      <c r="C1836" t="s">
        <v>1628</v>
      </c>
      <c r="D1836" t="str">
        <f>VLOOKUP(YouTube_University_Data_Final[[#This Row],[Title]],[1]!YouTube_University_Data_Final[[Title]:[Title_language]],2,FALSE)</f>
        <v>English</v>
      </c>
      <c r="E1836" t="s">
        <v>2944</v>
      </c>
      <c r="F1836">
        <v>27</v>
      </c>
      <c r="G1836" s="1">
        <v>42654</v>
      </c>
      <c r="H1836">
        <v>112</v>
      </c>
      <c r="I1836" t="s">
        <v>2944</v>
      </c>
      <c r="J1836">
        <v>100</v>
      </c>
      <c r="K1836">
        <v>0</v>
      </c>
      <c r="L1836">
        <v>0</v>
      </c>
      <c r="M1836">
        <v>0</v>
      </c>
      <c r="N1836" t="s">
        <v>17</v>
      </c>
      <c r="O1836">
        <v>2016</v>
      </c>
      <c r="P1836" t="s">
        <v>18</v>
      </c>
    </row>
    <row r="1837" spans="1:16" x14ac:dyDescent="0.3">
      <c r="A1837">
        <v>195</v>
      </c>
      <c r="B1837" t="s">
        <v>1556</v>
      </c>
      <c r="C1837" t="s">
        <v>1629</v>
      </c>
      <c r="D1837" t="str">
        <f>VLOOKUP(YouTube_University_Data_Final[[#This Row],[Title]],[1]!YouTube_University_Data_Final[[Title]:[Title_language]],2,FALSE)</f>
        <v>English</v>
      </c>
      <c r="E1837" t="s">
        <v>2944</v>
      </c>
      <c r="F1837">
        <v>27</v>
      </c>
      <c r="G1837" s="1">
        <v>42654</v>
      </c>
      <c r="H1837">
        <v>113</v>
      </c>
      <c r="I1837" t="s">
        <v>2944</v>
      </c>
      <c r="J1837">
        <v>168</v>
      </c>
      <c r="K1837">
        <v>1</v>
      </c>
      <c r="L1837">
        <v>0</v>
      </c>
      <c r="M1837">
        <v>0</v>
      </c>
      <c r="N1837" t="s">
        <v>17</v>
      </c>
      <c r="O1837">
        <v>2016</v>
      </c>
      <c r="P1837" t="s">
        <v>18</v>
      </c>
    </row>
    <row r="1838" spans="1:16" x14ac:dyDescent="0.3">
      <c r="A1838">
        <v>196</v>
      </c>
      <c r="B1838" t="s">
        <v>1556</v>
      </c>
      <c r="C1838" t="s">
        <v>1630</v>
      </c>
      <c r="D1838" t="str">
        <f>VLOOKUP(YouTube_University_Data_Final[[#This Row],[Title]],[1]!YouTube_University_Data_Final[[Title]:[Title_language]],2,FALSE)</f>
        <v>English</v>
      </c>
      <c r="E1838" t="s">
        <v>2944</v>
      </c>
      <c r="F1838">
        <v>27</v>
      </c>
      <c r="G1838" s="1">
        <v>42654</v>
      </c>
      <c r="H1838">
        <v>76</v>
      </c>
      <c r="I1838" t="s">
        <v>2944</v>
      </c>
      <c r="J1838">
        <v>96</v>
      </c>
      <c r="K1838">
        <v>0</v>
      </c>
      <c r="L1838">
        <v>0</v>
      </c>
      <c r="M1838">
        <v>0</v>
      </c>
      <c r="N1838" t="s">
        <v>17</v>
      </c>
      <c r="O1838">
        <v>2016</v>
      </c>
      <c r="P1838" t="s">
        <v>18</v>
      </c>
    </row>
    <row r="1839" spans="1:16" x14ac:dyDescent="0.3">
      <c r="A1839">
        <v>197</v>
      </c>
      <c r="B1839" t="s">
        <v>1556</v>
      </c>
      <c r="C1839" t="s">
        <v>1631</v>
      </c>
      <c r="D1839" t="str">
        <f>VLOOKUP(YouTube_University_Data_Final[[#This Row],[Title]],[1]!YouTube_University_Data_Final[[Title]:[Title_language]],2,FALSE)</f>
        <v>English</v>
      </c>
      <c r="E1839" t="s">
        <v>2944</v>
      </c>
      <c r="F1839">
        <v>27</v>
      </c>
      <c r="G1839" s="1">
        <v>42654</v>
      </c>
      <c r="H1839">
        <v>84</v>
      </c>
      <c r="I1839" t="s">
        <v>2944</v>
      </c>
      <c r="J1839">
        <v>98</v>
      </c>
      <c r="K1839">
        <v>0</v>
      </c>
      <c r="L1839">
        <v>0</v>
      </c>
      <c r="M1839">
        <v>0</v>
      </c>
      <c r="N1839" t="s">
        <v>17</v>
      </c>
      <c r="O1839">
        <v>2016</v>
      </c>
      <c r="P1839" t="s">
        <v>18</v>
      </c>
    </row>
    <row r="1840" spans="1:16" x14ac:dyDescent="0.3">
      <c r="A1840">
        <v>198</v>
      </c>
      <c r="B1840" t="s">
        <v>1556</v>
      </c>
      <c r="C1840" t="s">
        <v>1632</v>
      </c>
      <c r="D1840" t="str">
        <f>VLOOKUP(YouTube_University_Data_Final[[#This Row],[Title]],[1]!YouTube_University_Data_Final[[Title]:[Title_language]],2,FALSE)</f>
        <v>English</v>
      </c>
      <c r="E1840" t="s">
        <v>2944</v>
      </c>
      <c r="F1840">
        <v>27</v>
      </c>
      <c r="G1840" s="1">
        <v>42654</v>
      </c>
      <c r="H1840">
        <v>103</v>
      </c>
      <c r="I1840" t="s">
        <v>2944</v>
      </c>
      <c r="J1840">
        <v>182</v>
      </c>
      <c r="K1840">
        <v>0</v>
      </c>
      <c r="L1840">
        <v>0</v>
      </c>
      <c r="M1840">
        <v>0</v>
      </c>
      <c r="N1840" t="s">
        <v>17</v>
      </c>
      <c r="O1840">
        <v>2016</v>
      </c>
      <c r="P1840" t="s">
        <v>18</v>
      </c>
    </row>
    <row r="1841" spans="1:16" x14ac:dyDescent="0.3">
      <c r="A1841">
        <v>199</v>
      </c>
      <c r="B1841" t="s">
        <v>1556</v>
      </c>
      <c r="C1841" t="s">
        <v>1633</v>
      </c>
      <c r="D1841" t="str">
        <f>VLOOKUP(YouTube_University_Data_Final[[#This Row],[Title]],[1]!YouTube_University_Data_Final[[Title]:[Title_language]],2,FALSE)</f>
        <v>English</v>
      </c>
      <c r="E1841" t="s">
        <v>2944</v>
      </c>
      <c r="F1841">
        <v>27</v>
      </c>
      <c r="G1841" s="1">
        <v>42650</v>
      </c>
      <c r="H1841">
        <v>144</v>
      </c>
      <c r="I1841" t="s">
        <v>2944</v>
      </c>
      <c r="J1841">
        <v>218</v>
      </c>
      <c r="K1841">
        <v>0</v>
      </c>
      <c r="L1841">
        <v>0</v>
      </c>
      <c r="M1841">
        <v>0</v>
      </c>
      <c r="N1841" t="s">
        <v>17</v>
      </c>
      <c r="O1841">
        <v>2016</v>
      </c>
      <c r="P1841" t="s">
        <v>18</v>
      </c>
    </row>
    <row r="1842" spans="1:16" x14ac:dyDescent="0.3">
      <c r="A1842">
        <v>200</v>
      </c>
      <c r="B1842" t="s">
        <v>1556</v>
      </c>
      <c r="C1842" t="s">
        <v>1634</v>
      </c>
      <c r="D1842" t="str">
        <f>VLOOKUP(YouTube_University_Data_Final[[#This Row],[Title]],[1]!YouTube_University_Data_Final[[Title]:[Title_language]],2,FALSE)</f>
        <v>English</v>
      </c>
      <c r="E1842" t="s">
        <v>2944</v>
      </c>
      <c r="F1842">
        <v>27</v>
      </c>
      <c r="G1842" s="1">
        <v>42650</v>
      </c>
      <c r="H1842">
        <v>66</v>
      </c>
      <c r="I1842" t="s">
        <v>2944</v>
      </c>
      <c r="J1842">
        <v>154</v>
      </c>
      <c r="K1842">
        <v>0</v>
      </c>
      <c r="L1842">
        <v>0</v>
      </c>
      <c r="M1842">
        <v>0</v>
      </c>
      <c r="N1842" t="s">
        <v>17</v>
      </c>
      <c r="O1842">
        <v>2016</v>
      </c>
      <c r="P1842" t="s">
        <v>18</v>
      </c>
    </row>
    <row r="1843" spans="1:16" x14ac:dyDescent="0.3">
      <c r="A1843">
        <v>201</v>
      </c>
      <c r="B1843" t="s">
        <v>1556</v>
      </c>
      <c r="C1843" t="s">
        <v>4607</v>
      </c>
      <c r="D1843" t="str">
        <f>VLOOKUP(YouTube_University_Data_Final[[#This Row],[Title]],[1]!YouTube_University_Data_Final[[Title]:[Title_language]],2,FALSE)</f>
        <v>English</v>
      </c>
      <c r="E1843" t="s">
        <v>2944</v>
      </c>
      <c r="F1843">
        <v>27</v>
      </c>
      <c r="G1843" s="1">
        <v>42559</v>
      </c>
      <c r="H1843">
        <v>157</v>
      </c>
      <c r="I1843" t="s">
        <v>2944</v>
      </c>
      <c r="J1843">
        <v>1180</v>
      </c>
      <c r="K1843">
        <v>5</v>
      </c>
      <c r="L1843">
        <v>0</v>
      </c>
      <c r="M1843">
        <v>0</v>
      </c>
      <c r="N1843" t="s">
        <v>56</v>
      </c>
      <c r="O1843">
        <v>2016</v>
      </c>
      <c r="P1843" t="s">
        <v>18</v>
      </c>
    </row>
    <row r="1844" spans="1:16" x14ac:dyDescent="0.3">
      <c r="A1844">
        <v>202</v>
      </c>
      <c r="B1844" t="s">
        <v>1556</v>
      </c>
      <c r="C1844" t="s">
        <v>4608</v>
      </c>
      <c r="D1844" t="str">
        <f>VLOOKUP(YouTube_University_Data_Final[[#This Row],[Title]],[1]!YouTube_University_Data_Final[[Title]:[Title_language]],2,FALSE)</f>
        <v>English</v>
      </c>
      <c r="E1844" t="s">
        <v>2944</v>
      </c>
      <c r="F1844">
        <v>27</v>
      </c>
      <c r="G1844" s="1">
        <v>42559</v>
      </c>
      <c r="H1844">
        <v>159</v>
      </c>
      <c r="I1844" t="s">
        <v>2944</v>
      </c>
      <c r="J1844">
        <v>329</v>
      </c>
      <c r="K1844">
        <v>0</v>
      </c>
      <c r="L1844">
        <v>0</v>
      </c>
      <c r="M1844">
        <v>0</v>
      </c>
      <c r="N1844" t="s">
        <v>56</v>
      </c>
      <c r="O1844">
        <v>2016</v>
      </c>
      <c r="P1844" t="s">
        <v>18</v>
      </c>
    </row>
    <row r="1845" spans="1:16" x14ac:dyDescent="0.3">
      <c r="A1845">
        <v>203</v>
      </c>
      <c r="B1845" t="s">
        <v>1556</v>
      </c>
      <c r="C1845" t="s">
        <v>1635</v>
      </c>
      <c r="D1845" t="str">
        <f>VLOOKUP(YouTube_University_Data_Final[[#This Row],[Title]],[1]!YouTube_University_Data_Final[[Title]:[Title_language]],2,FALSE)</f>
        <v>English</v>
      </c>
      <c r="E1845" t="s">
        <v>4609</v>
      </c>
      <c r="F1845">
        <v>27</v>
      </c>
      <c r="G1845" s="1">
        <v>42559</v>
      </c>
      <c r="H1845">
        <v>223</v>
      </c>
      <c r="I1845" t="s">
        <v>2944</v>
      </c>
      <c r="J1845">
        <v>1551</v>
      </c>
      <c r="K1845">
        <v>10</v>
      </c>
      <c r="L1845">
        <v>0</v>
      </c>
      <c r="M1845">
        <v>0</v>
      </c>
      <c r="N1845" t="s">
        <v>56</v>
      </c>
      <c r="O1845">
        <v>2016</v>
      </c>
      <c r="P1845" t="s">
        <v>18</v>
      </c>
    </row>
    <row r="1846" spans="1:16" x14ac:dyDescent="0.3">
      <c r="A1846">
        <v>204</v>
      </c>
      <c r="B1846" t="s">
        <v>1556</v>
      </c>
      <c r="C1846" t="s">
        <v>1636</v>
      </c>
      <c r="D1846" t="str">
        <f>VLOOKUP(YouTube_University_Data_Final[[#This Row],[Title]],[1]!YouTube_University_Data_Final[[Title]:[Title_language]],2,FALSE)</f>
        <v>English</v>
      </c>
      <c r="E1846" t="s">
        <v>4610</v>
      </c>
      <c r="F1846">
        <v>27</v>
      </c>
      <c r="G1846" s="1">
        <v>42496</v>
      </c>
      <c r="H1846">
        <v>151</v>
      </c>
      <c r="I1846" t="s">
        <v>2944</v>
      </c>
      <c r="J1846">
        <v>2512</v>
      </c>
      <c r="K1846">
        <v>4</v>
      </c>
      <c r="L1846">
        <v>0</v>
      </c>
      <c r="M1846">
        <v>0</v>
      </c>
      <c r="N1846" t="s">
        <v>81</v>
      </c>
      <c r="O1846">
        <v>2016</v>
      </c>
      <c r="P1846" t="s">
        <v>18</v>
      </c>
    </row>
    <row r="1847" spans="1:16" x14ac:dyDescent="0.3">
      <c r="A1847">
        <v>205</v>
      </c>
      <c r="B1847" t="s">
        <v>1556</v>
      </c>
      <c r="C1847" t="s">
        <v>1637</v>
      </c>
      <c r="D1847" t="str">
        <f>VLOOKUP(YouTube_University_Data_Final[[#This Row],[Title]],[1]!YouTube_University_Data_Final[[Title]:[Title_language]],2,FALSE)</f>
        <v>English</v>
      </c>
      <c r="E1847" t="s">
        <v>4611</v>
      </c>
      <c r="F1847">
        <v>27</v>
      </c>
      <c r="G1847" s="1">
        <v>42487</v>
      </c>
      <c r="H1847">
        <v>222</v>
      </c>
      <c r="I1847" t="s">
        <v>2944</v>
      </c>
      <c r="J1847">
        <v>2026</v>
      </c>
      <c r="K1847">
        <v>9</v>
      </c>
      <c r="L1847">
        <v>0</v>
      </c>
      <c r="M1847">
        <v>0</v>
      </c>
      <c r="N1847" t="s">
        <v>87</v>
      </c>
      <c r="O1847">
        <v>2016</v>
      </c>
      <c r="P1847" t="s">
        <v>18</v>
      </c>
    </row>
    <row r="1848" spans="1:16" x14ac:dyDescent="0.3">
      <c r="A1848">
        <v>206</v>
      </c>
      <c r="B1848" t="s">
        <v>1556</v>
      </c>
      <c r="C1848" t="s">
        <v>1638</v>
      </c>
      <c r="D1848" t="str">
        <f>VLOOKUP(YouTube_University_Data_Final[[#This Row],[Title]],[1]!YouTube_University_Data_Final[[Title]:[Title_language]],2,FALSE)</f>
        <v>English</v>
      </c>
      <c r="E1848" t="s">
        <v>2</v>
      </c>
      <c r="F1848">
        <v>27</v>
      </c>
      <c r="G1848" s="1">
        <v>42437</v>
      </c>
      <c r="H1848">
        <v>181</v>
      </c>
      <c r="I1848" t="s">
        <v>2944</v>
      </c>
      <c r="J1848">
        <v>544</v>
      </c>
      <c r="K1848">
        <v>4</v>
      </c>
      <c r="L1848">
        <v>0</v>
      </c>
      <c r="M1848">
        <v>0</v>
      </c>
      <c r="N1848" t="s">
        <v>90</v>
      </c>
      <c r="O1848">
        <v>2016</v>
      </c>
      <c r="P1848" t="s">
        <v>18</v>
      </c>
    </row>
    <row r="1849" spans="1:16" x14ac:dyDescent="0.3">
      <c r="A1849">
        <v>207</v>
      </c>
      <c r="B1849" t="s">
        <v>1556</v>
      </c>
      <c r="C1849" t="s">
        <v>1639</v>
      </c>
      <c r="D1849" t="str">
        <f>VLOOKUP(YouTube_University_Data_Final[[#This Row],[Title]],[1]!YouTube_University_Data_Final[[Title]:[Title_language]],2,FALSE)</f>
        <v>English</v>
      </c>
      <c r="E1849" t="s">
        <v>2</v>
      </c>
      <c r="F1849">
        <v>27</v>
      </c>
      <c r="G1849" s="1">
        <v>42437</v>
      </c>
      <c r="H1849">
        <v>84</v>
      </c>
      <c r="I1849" t="s">
        <v>2944</v>
      </c>
      <c r="J1849">
        <v>208</v>
      </c>
      <c r="K1849">
        <v>0</v>
      </c>
      <c r="L1849">
        <v>0</v>
      </c>
      <c r="M1849">
        <v>0</v>
      </c>
      <c r="N1849" t="s">
        <v>90</v>
      </c>
      <c r="O1849">
        <v>2016</v>
      </c>
      <c r="P1849" t="s">
        <v>18</v>
      </c>
    </row>
    <row r="1850" spans="1:16" x14ac:dyDescent="0.3">
      <c r="A1850">
        <v>208</v>
      </c>
      <c r="B1850" t="s">
        <v>1556</v>
      </c>
      <c r="C1850" t="s">
        <v>1640</v>
      </c>
      <c r="D1850" t="str">
        <f>VLOOKUP(YouTube_University_Data_Final[[#This Row],[Title]],[1]!YouTube_University_Data_Final[[Title]:[Title_language]],2,FALSE)</f>
        <v>English</v>
      </c>
      <c r="E1850" t="s">
        <v>3053</v>
      </c>
      <c r="F1850">
        <v>27</v>
      </c>
      <c r="G1850" s="1">
        <v>42389</v>
      </c>
      <c r="H1850">
        <v>437</v>
      </c>
      <c r="I1850" t="s">
        <v>2944</v>
      </c>
      <c r="J1850">
        <v>1658</v>
      </c>
      <c r="K1850">
        <v>15</v>
      </c>
      <c r="L1850">
        <v>0</v>
      </c>
      <c r="M1850">
        <v>0</v>
      </c>
      <c r="N1850" t="s">
        <v>93</v>
      </c>
      <c r="O1850">
        <v>2016</v>
      </c>
      <c r="P1850" t="s">
        <v>18</v>
      </c>
    </row>
    <row r="1851" spans="1:16" x14ac:dyDescent="0.3">
      <c r="A1851">
        <v>209</v>
      </c>
      <c r="B1851" t="s">
        <v>1556</v>
      </c>
      <c r="C1851" t="s">
        <v>1641</v>
      </c>
      <c r="D1851" t="str">
        <f>VLOOKUP(YouTube_University_Data_Final[[#This Row],[Title]],[1]!YouTube_University_Data_Final[[Title]:[Title_language]],2,FALSE)</f>
        <v>English</v>
      </c>
      <c r="E1851" t="s">
        <v>4612</v>
      </c>
      <c r="F1851">
        <v>27</v>
      </c>
      <c r="G1851" s="1">
        <v>42382</v>
      </c>
      <c r="H1851">
        <v>555</v>
      </c>
      <c r="I1851" t="s">
        <v>2944</v>
      </c>
      <c r="J1851">
        <v>766</v>
      </c>
      <c r="K1851">
        <v>4</v>
      </c>
      <c r="L1851">
        <v>0</v>
      </c>
      <c r="M1851">
        <v>0</v>
      </c>
      <c r="N1851" t="s">
        <v>93</v>
      </c>
      <c r="O1851">
        <v>2016</v>
      </c>
      <c r="P1851" t="s">
        <v>18</v>
      </c>
    </row>
    <row r="1852" spans="1:16" x14ac:dyDescent="0.3">
      <c r="A1852">
        <v>210</v>
      </c>
      <c r="B1852" t="s">
        <v>1556</v>
      </c>
      <c r="C1852" t="s">
        <v>1642</v>
      </c>
      <c r="D1852" t="str">
        <f>VLOOKUP(YouTube_University_Data_Final[[#This Row],[Title]],[1]!YouTube_University_Data_Final[[Title]:[Title_language]],2,FALSE)</f>
        <v>English</v>
      </c>
      <c r="E1852" t="s">
        <v>2</v>
      </c>
      <c r="F1852">
        <v>27</v>
      </c>
      <c r="G1852" s="1">
        <v>42382</v>
      </c>
      <c r="H1852">
        <v>130</v>
      </c>
      <c r="I1852" t="s">
        <v>2944</v>
      </c>
      <c r="J1852">
        <v>628</v>
      </c>
      <c r="K1852">
        <v>1</v>
      </c>
      <c r="L1852">
        <v>0</v>
      </c>
      <c r="M1852">
        <v>0</v>
      </c>
      <c r="N1852" t="s">
        <v>93</v>
      </c>
      <c r="O1852">
        <v>2016</v>
      </c>
      <c r="P1852" t="s">
        <v>18</v>
      </c>
    </row>
    <row r="1853" spans="1:16" x14ac:dyDescent="0.3">
      <c r="A1853">
        <v>211</v>
      </c>
      <c r="B1853" t="s">
        <v>1556</v>
      </c>
      <c r="C1853" t="s">
        <v>1643</v>
      </c>
      <c r="D1853" t="str">
        <f>VLOOKUP(YouTube_University_Data_Final[[#This Row],[Title]],[1]!YouTube_University_Data_Final[[Title]:[Title_language]],2,FALSE)</f>
        <v>English</v>
      </c>
      <c r="E1853" t="s">
        <v>2944</v>
      </c>
      <c r="F1853">
        <v>27</v>
      </c>
      <c r="G1853" s="1">
        <v>42342</v>
      </c>
      <c r="H1853">
        <v>180</v>
      </c>
      <c r="I1853" t="s">
        <v>2944</v>
      </c>
      <c r="J1853">
        <v>625</v>
      </c>
      <c r="K1853">
        <v>1</v>
      </c>
      <c r="L1853">
        <v>0</v>
      </c>
      <c r="M1853">
        <v>0</v>
      </c>
      <c r="N1853" t="s">
        <v>98</v>
      </c>
      <c r="O1853">
        <v>2015</v>
      </c>
      <c r="P1853" t="s">
        <v>18</v>
      </c>
    </row>
    <row r="1854" spans="1:16" x14ac:dyDescent="0.3">
      <c r="A1854">
        <v>212</v>
      </c>
      <c r="B1854" t="s">
        <v>1556</v>
      </c>
      <c r="C1854" t="s">
        <v>1644</v>
      </c>
      <c r="D1854" t="str">
        <f>VLOOKUP(YouTube_University_Data_Final[[#This Row],[Title]],[1]!YouTube_University_Data_Final[[Title]:[Title_language]],2,FALSE)</f>
        <v>English</v>
      </c>
      <c r="E1854" t="s">
        <v>2</v>
      </c>
      <c r="F1854">
        <v>27</v>
      </c>
      <c r="G1854" s="1">
        <v>42300</v>
      </c>
      <c r="H1854">
        <v>256</v>
      </c>
      <c r="I1854" t="s">
        <v>2944</v>
      </c>
      <c r="J1854">
        <v>513</v>
      </c>
      <c r="K1854">
        <v>0</v>
      </c>
      <c r="L1854">
        <v>0</v>
      </c>
      <c r="M1854">
        <v>0</v>
      </c>
      <c r="N1854" t="s">
        <v>17</v>
      </c>
      <c r="O1854">
        <v>2015</v>
      </c>
      <c r="P1854" t="s">
        <v>18</v>
      </c>
    </row>
    <row r="1855" spans="1:16" x14ac:dyDescent="0.3">
      <c r="A1855">
        <v>213</v>
      </c>
      <c r="B1855" t="s">
        <v>1556</v>
      </c>
      <c r="C1855" t="s">
        <v>1645</v>
      </c>
      <c r="D1855" t="str">
        <f>VLOOKUP(YouTube_University_Data_Final[[#This Row],[Title]],[1]!YouTube_University_Data_Final[[Title]:[Title_language]],2,FALSE)</f>
        <v>English</v>
      </c>
      <c r="E1855" t="s">
        <v>2944</v>
      </c>
      <c r="F1855">
        <v>27</v>
      </c>
      <c r="G1855" s="1">
        <v>42299</v>
      </c>
      <c r="H1855">
        <v>154</v>
      </c>
      <c r="I1855" t="s">
        <v>2944</v>
      </c>
      <c r="J1855">
        <v>310</v>
      </c>
      <c r="K1855">
        <v>0</v>
      </c>
      <c r="L1855">
        <v>0</v>
      </c>
      <c r="M1855">
        <v>0</v>
      </c>
      <c r="N1855" t="s">
        <v>17</v>
      </c>
      <c r="O1855">
        <v>2015</v>
      </c>
      <c r="P1855" t="s">
        <v>18</v>
      </c>
    </row>
    <row r="1856" spans="1:16" x14ac:dyDescent="0.3">
      <c r="A1856">
        <v>214</v>
      </c>
      <c r="B1856" t="s">
        <v>1556</v>
      </c>
      <c r="C1856" t="s">
        <v>1646</v>
      </c>
      <c r="D1856" t="str">
        <f>VLOOKUP(YouTube_University_Data_Final[[#This Row],[Title]],[1]!YouTube_University_Data_Final[[Title]:[Title_language]],2,FALSE)</f>
        <v>English</v>
      </c>
      <c r="E1856" t="s">
        <v>2944</v>
      </c>
      <c r="F1856">
        <v>27</v>
      </c>
      <c r="G1856" s="1">
        <v>42299</v>
      </c>
      <c r="H1856">
        <v>165</v>
      </c>
      <c r="I1856" t="s">
        <v>2944</v>
      </c>
      <c r="J1856">
        <v>413</v>
      </c>
      <c r="K1856">
        <v>0</v>
      </c>
      <c r="L1856">
        <v>0</v>
      </c>
      <c r="M1856">
        <v>0</v>
      </c>
      <c r="N1856" t="s">
        <v>17</v>
      </c>
      <c r="O1856">
        <v>2015</v>
      </c>
      <c r="P1856" t="s">
        <v>18</v>
      </c>
    </row>
    <row r="1857" spans="1:16" x14ac:dyDescent="0.3">
      <c r="A1857">
        <v>215</v>
      </c>
      <c r="B1857" t="s">
        <v>1556</v>
      </c>
      <c r="C1857" t="s">
        <v>1647</v>
      </c>
      <c r="D1857" t="str">
        <f>VLOOKUP(YouTube_University_Data_Final[[#This Row],[Title]],[1]!YouTube_University_Data_Final[[Title]:[Title_language]],2,FALSE)</f>
        <v>English</v>
      </c>
      <c r="E1857" t="s">
        <v>4613</v>
      </c>
      <c r="F1857">
        <v>27</v>
      </c>
      <c r="G1857" s="1">
        <v>42220</v>
      </c>
      <c r="H1857">
        <v>2</v>
      </c>
      <c r="I1857" t="s">
        <v>2944</v>
      </c>
      <c r="J1857">
        <v>16360</v>
      </c>
      <c r="K1857">
        <v>0</v>
      </c>
      <c r="L1857">
        <v>0</v>
      </c>
      <c r="M1857">
        <v>0</v>
      </c>
      <c r="N1857" t="s">
        <v>48</v>
      </c>
      <c r="O1857">
        <v>2015</v>
      </c>
      <c r="P1857" t="s">
        <v>18</v>
      </c>
    </row>
    <row r="1858" spans="1:16" x14ac:dyDescent="0.3">
      <c r="A1858">
        <v>216</v>
      </c>
      <c r="B1858" t="s">
        <v>1556</v>
      </c>
      <c r="C1858" t="s">
        <v>1648</v>
      </c>
      <c r="D1858" t="str">
        <f>VLOOKUP(YouTube_University_Data_Final[[#This Row],[Title]],[1]!YouTube_University_Data_Final[[Title]:[Title_language]],2,FALSE)</f>
        <v>English</v>
      </c>
      <c r="E1858" t="s">
        <v>2</v>
      </c>
      <c r="F1858">
        <v>27</v>
      </c>
      <c r="G1858" s="1">
        <v>42207</v>
      </c>
      <c r="H1858">
        <v>220</v>
      </c>
      <c r="I1858" t="s">
        <v>2944</v>
      </c>
      <c r="J1858">
        <v>1856</v>
      </c>
      <c r="K1858">
        <v>6</v>
      </c>
      <c r="L1858">
        <v>0</v>
      </c>
      <c r="M1858">
        <v>0</v>
      </c>
      <c r="N1858" t="s">
        <v>56</v>
      </c>
      <c r="O1858">
        <v>2015</v>
      </c>
      <c r="P1858" t="s">
        <v>18</v>
      </c>
    </row>
    <row r="1859" spans="1:16" x14ac:dyDescent="0.3">
      <c r="A1859">
        <v>217</v>
      </c>
      <c r="B1859" t="s">
        <v>1556</v>
      </c>
      <c r="C1859" t="s">
        <v>1649</v>
      </c>
      <c r="D1859" t="str">
        <f>VLOOKUP(YouTube_University_Data_Final[[#This Row],[Title]],[1]!YouTube_University_Data_Final[[Title]:[Title_language]],2,FALSE)</f>
        <v>English</v>
      </c>
      <c r="E1859" t="s">
        <v>2</v>
      </c>
      <c r="F1859">
        <v>27</v>
      </c>
      <c r="G1859" s="1">
        <v>42193</v>
      </c>
      <c r="H1859">
        <v>358</v>
      </c>
      <c r="I1859" t="s">
        <v>2944</v>
      </c>
      <c r="J1859">
        <v>764</v>
      </c>
      <c r="K1859">
        <v>2</v>
      </c>
      <c r="L1859">
        <v>0</v>
      </c>
      <c r="M1859">
        <v>0</v>
      </c>
      <c r="N1859" t="s">
        <v>56</v>
      </c>
      <c r="O1859">
        <v>2015</v>
      </c>
      <c r="P1859" t="s">
        <v>18</v>
      </c>
    </row>
    <row r="1860" spans="1:16" x14ac:dyDescent="0.3">
      <c r="A1860">
        <v>218</v>
      </c>
      <c r="B1860" t="s">
        <v>1556</v>
      </c>
      <c r="C1860" t="s">
        <v>1650</v>
      </c>
      <c r="D1860" t="str">
        <f>VLOOKUP(YouTube_University_Data_Final[[#This Row],[Title]],[1]!YouTube_University_Data_Final[[Title]:[Title_language]],2,FALSE)</f>
        <v>English</v>
      </c>
      <c r="E1860" t="s">
        <v>2944</v>
      </c>
      <c r="F1860">
        <v>27</v>
      </c>
      <c r="G1860" s="1">
        <v>42137</v>
      </c>
      <c r="H1860">
        <v>190</v>
      </c>
      <c r="I1860" t="s">
        <v>2944</v>
      </c>
      <c r="J1860">
        <v>811</v>
      </c>
      <c r="K1860">
        <v>1</v>
      </c>
      <c r="L1860">
        <v>0</v>
      </c>
      <c r="M1860">
        <v>0</v>
      </c>
      <c r="N1860" t="s">
        <v>81</v>
      </c>
      <c r="O1860">
        <v>2015</v>
      </c>
      <c r="P1860" t="s">
        <v>18</v>
      </c>
    </row>
    <row r="1861" spans="1:16" x14ac:dyDescent="0.3">
      <c r="A1861">
        <v>219</v>
      </c>
      <c r="B1861" t="s">
        <v>1556</v>
      </c>
      <c r="C1861" t="s">
        <v>1651</v>
      </c>
      <c r="D1861" t="str">
        <f>VLOOKUP(YouTube_University_Data_Final[[#This Row],[Title]],[1]!YouTube_University_Data_Final[[Title]:[Title_language]],2,FALSE)</f>
        <v>English</v>
      </c>
      <c r="E1861" t="s">
        <v>2944</v>
      </c>
      <c r="F1861">
        <v>27</v>
      </c>
      <c r="G1861" s="1">
        <v>42137</v>
      </c>
      <c r="H1861">
        <v>100</v>
      </c>
      <c r="I1861" t="s">
        <v>1652</v>
      </c>
      <c r="J1861">
        <v>497</v>
      </c>
      <c r="K1861">
        <v>2</v>
      </c>
      <c r="L1861">
        <v>0</v>
      </c>
      <c r="M1861">
        <v>0</v>
      </c>
      <c r="N1861" t="s">
        <v>81</v>
      </c>
      <c r="O1861">
        <v>2015</v>
      </c>
      <c r="P1861" t="s">
        <v>18</v>
      </c>
    </row>
    <row r="1862" spans="1:16" x14ac:dyDescent="0.3">
      <c r="A1862">
        <v>220</v>
      </c>
      <c r="B1862" t="s">
        <v>1556</v>
      </c>
      <c r="C1862" t="s">
        <v>4614</v>
      </c>
      <c r="D1862" t="str">
        <f>VLOOKUP(YouTube_University_Data_Final[[#This Row],[Title]],[1]!YouTube_University_Data_Final[[Title]:[Title_language]],2,FALSE)</f>
        <v>English</v>
      </c>
      <c r="E1862" t="s">
        <v>2</v>
      </c>
      <c r="F1862">
        <v>27</v>
      </c>
      <c r="G1862" s="1">
        <v>42123</v>
      </c>
      <c r="H1862">
        <v>95</v>
      </c>
      <c r="I1862" t="s">
        <v>2944</v>
      </c>
      <c r="J1862">
        <v>397</v>
      </c>
      <c r="K1862">
        <v>1</v>
      </c>
      <c r="L1862">
        <v>0</v>
      </c>
      <c r="M1862">
        <v>0</v>
      </c>
      <c r="N1862" t="s">
        <v>87</v>
      </c>
      <c r="O1862">
        <v>2015</v>
      </c>
      <c r="P1862" t="s">
        <v>18</v>
      </c>
    </row>
    <row r="1863" spans="1:16" x14ac:dyDescent="0.3">
      <c r="A1863">
        <v>221</v>
      </c>
      <c r="B1863" t="s">
        <v>1556</v>
      </c>
      <c r="C1863" t="s">
        <v>1653</v>
      </c>
      <c r="D1863" t="str">
        <f>VLOOKUP(YouTube_University_Data_Final[[#This Row],[Title]],[1]!YouTube_University_Data_Final[[Title]:[Title_language]],2,FALSE)</f>
        <v>English</v>
      </c>
      <c r="E1863" t="s">
        <v>2</v>
      </c>
      <c r="F1863">
        <v>27</v>
      </c>
      <c r="G1863" s="1">
        <v>42094</v>
      </c>
      <c r="H1863">
        <v>131</v>
      </c>
      <c r="I1863" t="s">
        <v>2944</v>
      </c>
      <c r="J1863">
        <v>458</v>
      </c>
      <c r="K1863">
        <v>2</v>
      </c>
      <c r="L1863">
        <v>0</v>
      </c>
      <c r="M1863">
        <v>0</v>
      </c>
      <c r="N1863" t="s">
        <v>90</v>
      </c>
      <c r="O1863">
        <v>2015</v>
      </c>
      <c r="P1863" t="s">
        <v>18</v>
      </c>
    </row>
    <row r="1864" spans="1:16" x14ac:dyDescent="0.3">
      <c r="A1864">
        <v>222</v>
      </c>
      <c r="B1864" t="s">
        <v>1556</v>
      </c>
      <c r="C1864" t="s">
        <v>1654</v>
      </c>
      <c r="D1864" t="str">
        <f>VLOOKUP(YouTube_University_Data_Final[[#This Row],[Title]],[1]!YouTube_University_Data_Final[[Title]:[Title_language]],2,FALSE)</f>
        <v>English</v>
      </c>
      <c r="E1864" t="s">
        <v>2</v>
      </c>
      <c r="F1864">
        <v>27</v>
      </c>
      <c r="G1864" s="1">
        <v>42094</v>
      </c>
      <c r="H1864">
        <v>93</v>
      </c>
      <c r="I1864" t="s">
        <v>2944</v>
      </c>
      <c r="J1864">
        <v>306</v>
      </c>
      <c r="K1864">
        <v>0</v>
      </c>
      <c r="L1864">
        <v>0</v>
      </c>
      <c r="M1864">
        <v>0</v>
      </c>
      <c r="N1864" t="s">
        <v>90</v>
      </c>
      <c r="O1864">
        <v>2015</v>
      </c>
      <c r="P1864" t="s">
        <v>18</v>
      </c>
    </row>
    <row r="1865" spans="1:16" x14ac:dyDescent="0.3">
      <c r="A1865">
        <v>223</v>
      </c>
      <c r="B1865" t="s">
        <v>1556</v>
      </c>
      <c r="C1865" t="s">
        <v>1655</v>
      </c>
      <c r="D1865" t="str">
        <f>VLOOKUP(YouTube_University_Data_Final[[#This Row],[Title]],[1]!YouTube_University_Data_Final[[Title]:[Title_language]],2,FALSE)</f>
        <v>English</v>
      </c>
      <c r="E1865" t="s">
        <v>2</v>
      </c>
      <c r="F1865">
        <v>27</v>
      </c>
      <c r="G1865" s="1">
        <v>42075</v>
      </c>
      <c r="H1865">
        <v>230</v>
      </c>
      <c r="I1865" t="s">
        <v>2944</v>
      </c>
      <c r="J1865">
        <v>662</v>
      </c>
      <c r="K1865">
        <v>4</v>
      </c>
      <c r="L1865">
        <v>0</v>
      </c>
      <c r="M1865">
        <v>0</v>
      </c>
      <c r="N1865" t="s">
        <v>90</v>
      </c>
      <c r="O1865">
        <v>2015</v>
      </c>
      <c r="P1865" t="s">
        <v>18</v>
      </c>
    </row>
    <row r="1866" spans="1:16" x14ac:dyDescent="0.3">
      <c r="A1866">
        <v>224</v>
      </c>
      <c r="B1866" t="s">
        <v>1556</v>
      </c>
      <c r="C1866" t="s">
        <v>1656</v>
      </c>
      <c r="D1866" t="str">
        <f>VLOOKUP(YouTube_University_Data_Final[[#This Row],[Title]],[1]!YouTube_University_Data_Final[[Title]:[Title_language]],2,FALSE)</f>
        <v>English</v>
      </c>
      <c r="E1866" t="s">
        <v>2944</v>
      </c>
      <c r="F1866">
        <v>27</v>
      </c>
      <c r="G1866" s="1">
        <v>42073</v>
      </c>
      <c r="H1866">
        <v>172</v>
      </c>
      <c r="I1866" t="s">
        <v>2944</v>
      </c>
      <c r="J1866">
        <v>3531</v>
      </c>
      <c r="K1866">
        <v>8</v>
      </c>
      <c r="L1866">
        <v>0</v>
      </c>
      <c r="M1866">
        <v>0</v>
      </c>
      <c r="N1866" t="s">
        <v>90</v>
      </c>
      <c r="O1866">
        <v>2015</v>
      </c>
      <c r="P1866" t="s">
        <v>18</v>
      </c>
    </row>
    <row r="1867" spans="1:16" x14ac:dyDescent="0.3">
      <c r="A1867">
        <v>225</v>
      </c>
      <c r="B1867" t="s">
        <v>1556</v>
      </c>
      <c r="C1867" t="s">
        <v>1657</v>
      </c>
      <c r="D1867" t="str">
        <f>VLOOKUP(YouTube_University_Data_Final[[#This Row],[Title]],[1]!YouTube_University_Data_Final[[Title]:[Title_language]],2,FALSE)</f>
        <v>English</v>
      </c>
      <c r="E1867" t="s">
        <v>2944</v>
      </c>
      <c r="F1867">
        <v>27</v>
      </c>
      <c r="G1867" s="1">
        <v>42046</v>
      </c>
      <c r="H1867">
        <v>995</v>
      </c>
      <c r="I1867" t="s">
        <v>1658</v>
      </c>
      <c r="J1867">
        <v>488</v>
      </c>
      <c r="K1867">
        <v>2</v>
      </c>
      <c r="L1867">
        <v>0</v>
      </c>
      <c r="M1867">
        <v>0</v>
      </c>
      <c r="N1867" t="s">
        <v>162</v>
      </c>
      <c r="O1867">
        <v>2015</v>
      </c>
      <c r="P1867" t="s">
        <v>18</v>
      </c>
    </row>
    <row r="1868" spans="1:16" x14ac:dyDescent="0.3">
      <c r="A1868">
        <v>226</v>
      </c>
      <c r="B1868" t="s">
        <v>1556</v>
      </c>
      <c r="C1868" t="s">
        <v>4615</v>
      </c>
      <c r="D1868" t="str">
        <f>VLOOKUP(YouTube_University_Data_Final[[#This Row],[Title]],[1]!YouTube_University_Data_Final[[Title]:[Title_language]],2,FALSE)</f>
        <v>English</v>
      </c>
      <c r="E1868" t="s">
        <v>2944</v>
      </c>
      <c r="F1868">
        <v>27</v>
      </c>
      <c r="G1868" s="1">
        <v>42039</v>
      </c>
      <c r="H1868">
        <v>90</v>
      </c>
      <c r="I1868" t="s">
        <v>1659</v>
      </c>
      <c r="J1868">
        <v>377</v>
      </c>
      <c r="K1868">
        <v>1</v>
      </c>
      <c r="L1868">
        <v>0</v>
      </c>
      <c r="M1868">
        <v>0</v>
      </c>
      <c r="N1868" t="s">
        <v>162</v>
      </c>
      <c r="O1868">
        <v>2015</v>
      </c>
      <c r="P1868" t="s">
        <v>18</v>
      </c>
    </row>
    <row r="1869" spans="1:16" x14ac:dyDescent="0.3">
      <c r="A1869">
        <v>227</v>
      </c>
      <c r="B1869" t="s">
        <v>1556</v>
      </c>
      <c r="C1869" t="s">
        <v>1660</v>
      </c>
      <c r="D1869" t="str">
        <f>VLOOKUP(YouTube_University_Data_Final[[#This Row],[Title]],[1]!YouTube_University_Data_Final[[Title]:[Title_language]],2,FALSE)</f>
        <v>English</v>
      </c>
      <c r="E1869" t="s">
        <v>2944</v>
      </c>
      <c r="F1869">
        <v>27</v>
      </c>
      <c r="G1869" s="1">
        <v>42032</v>
      </c>
      <c r="H1869">
        <v>57</v>
      </c>
      <c r="I1869" t="s">
        <v>2944</v>
      </c>
      <c r="J1869">
        <v>114</v>
      </c>
      <c r="K1869">
        <v>0</v>
      </c>
      <c r="L1869">
        <v>0</v>
      </c>
      <c r="M1869">
        <v>0</v>
      </c>
      <c r="N1869" t="s">
        <v>93</v>
      </c>
      <c r="O1869">
        <v>2015</v>
      </c>
      <c r="P1869" t="s">
        <v>18</v>
      </c>
    </row>
    <row r="1870" spans="1:16" x14ac:dyDescent="0.3">
      <c r="A1870">
        <v>228</v>
      </c>
      <c r="B1870" t="s">
        <v>1556</v>
      </c>
      <c r="C1870" t="s">
        <v>1661</v>
      </c>
      <c r="D1870" t="str">
        <f>VLOOKUP(YouTube_University_Data_Final[[#This Row],[Title]],[1]!YouTube_University_Data_Final[[Title]:[Title_language]],2,FALSE)</f>
        <v>English</v>
      </c>
      <c r="E1870" t="s">
        <v>2944</v>
      </c>
      <c r="F1870">
        <v>27</v>
      </c>
      <c r="G1870" s="1">
        <v>42024</v>
      </c>
      <c r="H1870">
        <v>684</v>
      </c>
      <c r="I1870" t="s">
        <v>2944</v>
      </c>
      <c r="J1870">
        <v>437</v>
      </c>
      <c r="K1870">
        <v>1</v>
      </c>
      <c r="L1870">
        <v>0</v>
      </c>
      <c r="M1870">
        <v>0</v>
      </c>
      <c r="N1870" t="s">
        <v>93</v>
      </c>
      <c r="O1870">
        <v>2015</v>
      </c>
      <c r="P1870" t="s">
        <v>18</v>
      </c>
    </row>
    <row r="1871" spans="1:16" x14ac:dyDescent="0.3">
      <c r="A1871">
        <v>229</v>
      </c>
      <c r="B1871" t="s">
        <v>1556</v>
      </c>
      <c r="C1871" t="s">
        <v>1662</v>
      </c>
      <c r="D1871" t="str">
        <f>VLOOKUP(YouTube_University_Data_Final[[#This Row],[Title]],[1]!YouTube_University_Data_Final[[Title]:[Title_language]],2,FALSE)</f>
        <v>English</v>
      </c>
      <c r="E1871" t="s">
        <v>2944</v>
      </c>
      <c r="F1871">
        <v>27</v>
      </c>
      <c r="G1871" s="1">
        <v>42009</v>
      </c>
      <c r="H1871">
        <v>369</v>
      </c>
      <c r="I1871" t="s">
        <v>2944</v>
      </c>
      <c r="J1871">
        <v>339</v>
      </c>
      <c r="K1871">
        <v>0</v>
      </c>
      <c r="L1871">
        <v>0</v>
      </c>
      <c r="M1871">
        <v>0</v>
      </c>
      <c r="N1871" t="s">
        <v>93</v>
      </c>
      <c r="O1871">
        <v>2015</v>
      </c>
      <c r="P1871" t="s">
        <v>18</v>
      </c>
    </row>
    <row r="1872" spans="1:16" x14ac:dyDescent="0.3">
      <c r="A1872">
        <v>230</v>
      </c>
      <c r="B1872" t="s">
        <v>1556</v>
      </c>
      <c r="C1872" t="s">
        <v>1663</v>
      </c>
      <c r="D1872" t="str">
        <f>VLOOKUP(YouTube_University_Data_Final[[#This Row],[Title]],[1]!YouTube_University_Data_Final[[Title]:[Title_language]],2,FALSE)</f>
        <v>English</v>
      </c>
      <c r="E1872" t="s">
        <v>2944</v>
      </c>
      <c r="F1872">
        <v>27</v>
      </c>
      <c r="G1872" s="1">
        <v>41997</v>
      </c>
      <c r="H1872">
        <v>95</v>
      </c>
      <c r="I1872" t="s">
        <v>2944</v>
      </c>
      <c r="J1872">
        <v>186</v>
      </c>
      <c r="K1872">
        <v>1</v>
      </c>
      <c r="L1872">
        <v>0</v>
      </c>
      <c r="M1872">
        <v>0</v>
      </c>
      <c r="N1872" t="s">
        <v>98</v>
      </c>
      <c r="O1872">
        <v>2014</v>
      </c>
      <c r="P1872" t="s">
        <v>18</v>
      </c>
    </row>
    <row r="1873" spans="1:16" x14ac:dyDescent="0.3">
      <c r="A1873">
        <v>231</v>
      </c>
      <c r="B1873" t="s">
        <v>1556</v>
      </c>
      <c r="C1873" t="s">
        <v>1664</v>
      </c>
      <c r="D1873" t="str">
        <f>VLOOKUP(YouTube_University_Data_Final[[#This Row],[Title]],[1]!YouTube_University_Data_Final[[Title]:[Title_language]],2,FALSE)</f>
        <v>English</v>
      </c>
      <c r="E1873" t="s">
        <v>2944</v>
      </c>
      <c r="F1873">
        <v>27</v>
      </c>
      <c r="G1873" s="1">
        <v>41981</v>
      </c>
      <c r="H1873">
        <v>316</v>
      </c>
      <c r="I1873" t="s">
        <v>2944</v>
      </c>
      <c r="J1873">
        <v>1800</v>
      </c>
      <c r="K1873">
        <v>1</v>
      </c>
      <c r="L1873">
        <v>0</v>
      </c>
      <c r="M1873">
        <v>0</v>
      </c>
      <c r="N1873" t="s">
        <v>98</v>
      </c>
      <c r="O1873">
        <v>2014</v>
      </c>
      <c r="P1873" t="s">
        <v>18</v>
      </c>
    </row>
    <row r="1874" spans="1:16" x14ac:dyDescent="0.3">
      <c r="A1874">
        <v>232</v>
      </c>
      <c r="B1874" t="s">
        <v>1556</v>
      </c>
      <c r="C1874" t="s">
        <v>1665</v>
      </c>
      <c r="D1874" t="str">
        <f>VLOOKUP(YouTube_University_Data_Final[[#This Row],[Title]],[1]!YouTube_University_Data_Final[[Title]:[Title_language]],2,FALSE)</f>
        <v>English</v>
      </c>
      <c r="E1874" t="s">
        <v>1666</v>
      </c>
      <c r="F1874">
        <v>27</v>
      </c>
      <c r="G1874" s="1">
        <v>41978</v>
      </c>
      <c r="H1874">
        <v>271</v>
      </c>
      <c r="I1874" t="s">
        <v>2944</v>
      </c>
      <c r="J1874">
        <v>326</v>
      </c>
      <c r="K1874">
        <v>0</v>
      </c>
      <c r="L1874">
        <v>0</v>
      </c>
      <c r="M1874">
        <v>0</v>
      </c>
      <c r="N1874" t="s">
        <v>98</v>
      </c>
      <c r="O1874">
        <v>2014</v>
      </c>
      <c r="P1874" t="s">
        <v>18</v>
      </c>
    </row>
    <row r="1875" spans="1:16" x14ac:dyDescent="0.3">
      <c r="A1875">
        <v>233</v>
      </c>
      <c r="B1875" t="s">
        <v>1556</v>
      </c>
      <c r="C1875" t="s">
        <v>1667</v>
      </c>
      <c r="D1875" t="str">
        <f>VLOOKUP(YouTube_University_Data_Final[[#This Row],[Title]],[1]!YouTube_University_Data_Final[[Title]:[Title_language]],2,FALSE)</f>
        <v>English</v>
      </c>
      <c r="E1875" t="s">
        <v>2944</v>
      </c>
      <c r="F1875">
        <v>27</v>
      </c>
      <c r="G1875" s="1">
        <v>41977</v>
      </c>
      <c r="H1875">
        <v>187</v>
      </c>
      <c r="I1875" t="s">
        <v>2944</v>
      </c>
      <c r="J1875">
        <v>507</v>
      </c>
      <c r="K1875">
        <v>0</v>
      </c>
      <c r="L1875">
        <v>0</v>
      </c>
      <c r="M1875">
        <v>0</v>
      </c>
      <c r="N1875" t="s">
        <v>98</v>
      </c>
      <c r="O1875">
        <v>2014</v>
      </c>
      <c r="P1875" t="s">
        <v>18</v>
      </c>
    </row>
    <row r="1876" spans="1:16" x14ac:dyDescent="0.3">
      <c r="A1876">
        <v>234</v>
      </c>
      <c r="B1876" t="s">
        <v>1556</v>
      </c>
      <c r="C1876" t="s">
        <v>1668</v>
      </c>
      <c r="D1876" t="str">
        <f>VLOOKUP(YouTube_University_Data_Final[[#This Row],[Title]],[1]!YouTube_University_Data_Final[[Title]:[Title_language]],2,FALSE)</f>
        <v>English</v>
      </c>
      <c r="E1876" t="s">
        <v>2944</v>
      </c>
      <c r="F1876">
        <v>27</v>
      </c>
      <c r="G1876" s="1">
        <v>41946</v>
      </c>
      <c r="H1876">
        <v>181</v>
      </c>
      <c r="I1876" t="s">
        <v>1652</v>
      </c>
      <c r="J1876">
        <v>572</v>
      </c>
      <c r="K1876">
        <v>2</v>
      </c>
      <c r="L1876">
        <v>0</v>
      </c>
      <c r="M1876">
        <v>0</v>
      </c>
      <c r="N1876" t="s">
        <v>101</v>
      </c>
      <c r="O1876">
        <v>2014</v>
      </c>
      <c r="P1876" t="s">
        <v>18</v>
      </c>
    </row>
    <row r="1877" spans="1:16" x14ac:dyDescent="0.3">
      <c r="A1877">
        <v>235</v>
      </c>
      <c r="B1877" t="s">
        <v>1556</v>
      </c>
      <c r="C1877" t="s">
        <v>1669</v>
      </c>
      <c r="D1877" t="str">
        <f>VLOOKUP(YouTube_University_Data_Final[[#This Row],[Title]],[1]!YouTube_University_Data_Final[[Title]:[Title_language]],2,FALSE)</f>
        <v>English</v>
      </c>
      <c r="E1877" t="s">
        <v>2944</v>
      </c>
      <c r="F1877">
        <v>27</v>
      </c>
      <c r="G1877" s="1">
        <v>41915</v>
      </c>
      <c r="H1877">
        <v>177</v>
      </c>
      <c r="I1877" t="s">
        <v>2944</v>
      </c>
      <c r="J1877">
        <v>308</v>
      </c>
      <c r="K1877">
        <v>0</v>
      </c>
      <c r="L1877">
        <v>0</v>
      </c>
      <c r="M1877">
        <v>0</v>
      </c>
      <c r="N1877" t="s">
        <v>17</v>
      </c>
      <c r="O1877">
        <v>2014</v>
      </c>
      <c r="P1877" t="s">
        <v>18</v>
      </c>
    </row>
    <row r="1878" spans="1:16" x14ac:dyDescent="0.3">
      <c r="A1878">
        <v>236</v>
      </c>
      <c r="B1878" t="s">
        <v>1556</v>
      </c>
      <c r="C1878" t="s">
        <v>1670</v>
      </c>
      <c r="D1878" t="str">
        <f>VLOOKUP(YouTube_University_Data_Final[[#This Row],[Title]],[1]!YouTube_University_Data_Final[[Title]:[Title_language]],2,FALSE)</f>
        <v>English</v>
      </c>
      <c r="E1878" t="s">
        <v>2944</v>
      </c>
      <c r="F1878">
        <v>27</v>
      </c>
      <c r="G1878" s="1">
        <v>41915</v>
      </c>
      <c r="H1878">
        <v>75</v>
      </c>
      <c r="I1878" t="s">
        <v>2944</v>
      </c>
      <c r="J1878">
        <v>203</v>
      </c>
      <c r="K1878">
        <v>1</v>
      </c>
      <c r="L1878">
        <v>0</v>
      </c>
      <c r="M1878">
        <v>0</v>
      </c>
      <c r="N1878" t="s">
        <v>17</v>
      </c>
      <c r="O1878">
        <v>2014</v>
      </c>
      <c r="P1878" t="s">
        <v>18</v>
      </c>
    </row>
    <row r="1879" spans="1:16" x14ac:dyDescent="0.3">
      <c r="A1879">
        <v>237</v>
      </c>
      <c r="B1879" t="s">
        <v>1556</v>
      </c>
      <c r="C1879" t="s">
        <v>1671</v>
      </c>
      <c r="D1879" t="str">
        <f>VLOOKUP(YouTube_University_Data_Final[[#This Row],[Title]],[1]!YouTube_University_Data_Final[[Title]:[Title_language]],2,FALSE)</f>
        <v>English</v>
      </c>
      <c r="E1879" t="s">
        <v>2944</v>
      </c>
      <c r="F1879">
        <v>27</v>
      </c>
      <c r="G1879" s="1">
        <v>41912</v>
      </c>
      <c r="H1879">
        <v>99</v>
      </c>
      <c r="I1879" t="s">
        <v>2944</v>
      </c>
      <c r="J1879">
        <v>265</v>
      </c>
      <c r="K1879">
        <v>2</v>
      </c>
      <c r="L1879">
        <v>0</v>
      </c>
      <c r="M1879">
        <v>0</v>
      </c>
      <c r="N1879" t="s">
        <v>21</v>
      </c>
      <c r="O1879">
        <v>2014</v>
      </c>
      <c r="P1879" t="s">
        <v>18</v>
      </c>
    </row>
    <row r="1880" spans="1:16" x14ac:dyDescent="0.3">
      <c r="A1880">
        <v>238</v>
      </c>
      <c r="B1880" t="s">
        <v>1556</v>
      </c>
      <c r="C1880" t="s">
        <v>1672</v>
      </c>
      <c r="D1880" t="str">
        <f>VLOOKUP(YouTube_University_Data_Final[[#This Row],[Title]],[1]!YouTube_University_Data_Final[[Title]:[Title_language]],2,FALSE)</f>
        <v>English</v>
      </c>
      <c r="E1880" t="s">
        <v>2944</v>
      </c>
      <c r="F1880">
        <v>27</v>
      </c>
      <c r="G1880" s="1">
        <v>41817</v>
      </c>
      <c r="H1880">
        <v>254</v>
      </c>
      <c r="I1880" t="s">
        <v>2944</v>
      </c>
      <c r="J1880">
        <v>654</v>
      </c>
      <c r="K1880">
        <v>0</v>
      </c>
      <c r="L1880">
        <v>0</v>
      </c>
      <c r="M1880">
        <v>0</v>
      </c>
      <c r="N1880" t="s">
        <v>78</v>
      </c>
      <c r="O1880">
        <v>2014</v>
      </c>
      <c r="P1880" t="s">
        <v>18</v>
      </c>
    </row>
    <row r="1881" spans="1:16" x14ac:dyDescent="0.3">
      <c r="A1881">
        <v>239</v>
      </c>
      <c r="B1881" t="s">
        <v>1556</v>
      </c>
      <c r="C1881" t="s">
        <v>1673</v>
      </c>
      <c r="D1881" t="str">
        <f>VLOOKUP(YouTube_University_Data_Final[[#This Row],[Title]],[1]!YouTube_University_Data_Final[[Title]:[Title_language]],2,FALSE)</f>
        <v>English</v>
      </c>
      <c r="E1881" t="s">
        <v>2944</v>
      </c>
      <c r="F1881">
        <v>27</v>
      </c>
      <c r="G1881" s="1">
        <v>41813</v>
      </c>
      <c r="H1881">
        <v>8</v>
      </c>
      <c r="I1881" t="s">
        <v>2944</v>
      </c>
      <c r="J1881">
        <v>588</v>
      </c>
      <c r="K1881">
        <v>2</v>
      </c>
      <c r="L1881">
        <v>0</v>
      </c>
      <c r="M1881">
        <v>0</v>
      </c>
      <c r="N1881" t="s">
        <v>78</v>
      </c>
      <c r="O1881">
        <v>2014</v>
      </c>
      <c r="P1881" t="s">
        <v>18</v>
      </c>
    </row>
    <row r="1882" spans="1:16" x14ac:dyDescent="0.3">
      <c r="A1882">
        <v>240</v>
      </c>
      <c r="B1882" t="s">
        <v>1556</v>
      </c>
      <c r="C1882" t="s">
        <v>1674</v>
      </c>
      <c r="D1882" t="str">
        <f>VLOOKUP(YouTube_University_Data_Final[[#This Row],[Title]],[1]!YouTube_University_Data_Final[[Title]:[Title_language]],2,FALSE)</f>
        <v>English</v>
      </c>
      <c r="E1882" t="s">
        <v>2944</v>
      </c>
      <c r="F1882">
        <v>27</v>
      </c>
      <c r="G1882" s="1">
        <v>41810</v>
      </c>
      <c r="H1882">
        <v>32</v>
      </c>
      <c r="I1882" t="s">
        <v>2944</v>
      </c>
      <c r="J1882">
        <v>207</v>
      </c>
      <c r="K1882">
        <v>0</v>
      </c>
      <c r="L1882">
        <v>0</v>
      </c>
      <c r="M1882">
        <v>0</v>
      </c>
      <c r="N1882" t="s">
        <v>78</v>
      </c>
      <c r="O1882">
        <v>2014</v>
      </c>
      <c r="P1882" t="s">
        <v>18</v>
      </c>
    </row>
    <row r="1883" spans="1:16" x14ac:dyDescent="0.3">
      <c r="A1883">
        <v>241</v>
      </c>
      <c r="B1883" t="s">
        <v>1556</v>
      </c>
      <c r="C1883" t="s">
        <v>1675</v>
      </c>
      <c r="D1883" t="str">
        <f>VLOOKUP(YouTube_University_Data_Final[[#This Row],[Title]],[1]!YouTube_University_Data_Final[[Title]:[Title_language]],2,FALSE)</f>
        <v>English</v>
      </c>
      <c r="E1883" t="s">
        <v>2944</v>
      </c>
      <c r="F1883">
        <v>27</v>
      </c>
      <c r="G1883" s="1">
        <v>41807</v>
      </c>
      <c r="H1883">
        <v>146</v>
      </c>
      <c r="I1883" t="s">
        <v>2944</v>
      </c>
      <c r="J1883">
        <v>362</v>
      </c>
      <c r="K1883">
        <v>1</v>
      </c>
      <c r="L1883">
        <v>0</v>
      </c>
      <c r="M1883">
        <v>0</v>
      </c>
      <c r="N1883" t="s">
        <v>78</v>
      </c>
      <c r="O1883">
        <v>2014</v>
      </c>
      <c r="P1883" t="s">
        <v>18</v>
      </c>
    </row>
    <row r="1884" spans="1:16" x14ac:dyDescent="0.3">
      <c r="A1884">
        <v>242</v>
      </c>
      <c r="B1884" t="s">
        <v>1556</v>
      </c>
      <c r="C1884" t="s">
        <v>1676</v>
      </c>
      <c r="D1884" t="str">
        <f>VLOOKUP(YouTube_University_Data_Final[[#This Row],[Title]],[1]!YouTube_University_Data_Final[[Title]:[Title_language]],2,FALSE)</f>
        <v>English</v>
      </c>
      <c r="E1884" t="s">
        <v>2944</v>
      </c>
      <c r="F1884">
        <v>27</v>
      </c>
      <c r="G1884" s="1">
        <v>41806</v>
      </c>
      <c r="H1884">
        <v>175</v>
      </c>
      <c r="I1884" t="s">
        <v>2944</v>
      </c>
      <c r="J1884">
        <v>285</v>
      </c>
      <c r="K1884">
        <v>0</v>
      </c>
      <c r="L1884">
        <v>0</v>
      </c>
      <c r="M1884">
        <v>0</v>
      </c>
      <c r="N1884" t="s">
        <v>78</v>
      </c>
      <c r="O1884">
        <v>2014</v>
      </c>
      <c r="P1884" t="s">
        <v>18</v>
      </c>
    </row>
    <row r="1885" spans="1:16" x14ac:dyDescent="0.3">
      <c r="A1885">
        <v>243</v>
      </c>
      <c r="B1885" t="s">
        <v>1556</v>
      </c>
      <c r="C1885" t="s">
        <v>1677</v>
      </c>
      <c r="D1885" t="str">
        <f>VLOOKUP(YouTube_University_Data_Final[[#This Row],[Title]],[1]!YouTube_University_Data_Final[[Title]:[Title_language]],2,FALSE)</f>
        <v>English</v>
      </c>
      <c r="E1885" t="s">
        <v>1678</v>
      </c>
      <c r="F1885">
        <v>27</v>
      </c>
      <c r="G1885" s="1">
        <v>41773</v>
      </c>
      <c r="H1885">
        <v>157</v>
      </c>
      <c r="I1885" t="s">
        <v>2944</v>
      </c>
      <c r="J1885">
        <v>1415</v>
      </c>
      <c r="K1885">
        <v>4</v>
      </c>
      <c r="L1885">
        <v>0</v>
      </c>
      <c r="M1885">
        <v>0</v>
      </c>
      <c r="N1885" t="s">
        <v>81</v>
      </c>
      <c r="O1885">
        <v>2014</v>
      </c>
      <c r="P1885" t="s">
        <v>18</v>
      </c>
    </row>
    <row r="1886" spans="1:16" x14ac:dyDescent="0.3">
      <c r="A1886">
        <v>244</v>
      </c>
      <c r="B1886" t="s">
        <v>1556</v>
      </c>
      <c r="C1886" t="s">
        <v>1679</v>
      </c>
      <c r="D1886" t="str">
        <f>VLOOKUP(YouTube_University_Data_Final[[#This Row],[Title]],[1]!YouTube_University_Data_Final[[Title]:[Title_language]],2,FALSE)</f>
        <v>English</v>
      </c>
      <c r="E1886" t="s">
        <v>2944</v>
      </c>
      <c r="F1886">
        <v>27</v>
      </c>
      <c r="G1886" s="1">
        <v>41746</v>
      </c>
      <c r="H1886">
        <v>241</v>
      </c>
      <c r="I1886" t="s">
        <v>2944</v>
      </c>
      <c r="J1886">
        <v>2782</v>
      </c>
      <c r="K1886">
        <v>10</v>
      </c>
      <c r="L1886">
        <v>0</v>
      </c>
      <c r="M1886">
        <v>0</v>
      </c>
      <c r="N1886" t="s">
        <v>87</v>
      </c>
      <c r="O1886">
        <v>2014</v>
      </c>
      <c r="P1886" t="s">
        <v>18</v>
      </c>
    </row>
    <row r="1887" spans="1:16" x14ac:dyDescent="0.3">
      <c r="A1887">
        <v>245</v>
      </c>
      <c r="B1887" t="s">
        <v>1556</v>
      </c>
      <c r="C1887" t="s">
        <v>1680</v>
      </c>
      <c r="D1887" t="str">
        <f>VLOOKUP(YouTube_University_Data_Final[[#This Row],[Title]],[1]!YouTube_University_Data_Final[[Title]:[Title_language]],2,FALSE)</f>
        <v>English</v>
      </c>
      <c r="E1887" t="s">
        <v>2944</v>
      </c>
      <c r="F1887">
        <v>27</v>
      </c>
      <c r="G1887" s="1">
        <v>41730</v>
      </c>
      <c r="H1887">
        <v>116</v>
      </c>
      <c r="I1887" t="s">
        <v>2944</v>
      </c>
      <c r="J1887">
        <v>5201</v>
      </c>
      <c r="K1887">
        <v>1</v>
      </c>
      <c r="L1887">
        <v>0</v>
      </c>
      <c r="M1887">
        <v>0</v>
      </c>
      <c r="N1887" t="s">
        <v>87</v>
      </c>
      <c r="O1887">
        <v>2014</v>
      </c>
      <c r="P1887" t="s">
        <v>18</v>
      </c>
    </row>
    <row r="1888" spans="1:16" x14ac:dyDescent="0.3">
      <c r="A1888">
        <v>246</v>
      </c>
      <c r="B1888" t="s">
        <v>1556</v>
      </c>
      <c r="C1888" t="s">
        <v>1681</v>
      </c>
      <c r="D1888" t="str">
        <f>VLOOKUP(YouTube_University_Data_Final[[#This Row],[Title]],[1]!YouTube_University_Data_Final[[Title]:[Title_language]],2,FALSE)</f>
        <v>English</v>
      </c>
      <c r="E1888" t="s">
        <v>2944</v>
      </c>
      <c r="F1888">
        <v>27</v>
      </c>
      <c r="G1888" s="1">
        <v>41723</v>
      </c>
      <c r="H1888">
        <v>88</v>
      </c>
      <c r="I1888" t="s">
        <v>2944</v>
      </c>
      <c r="J1888">
        <v>166</v>
      </c>
      <c r="K1888">
        <v>0</v>
      </c>
      <c r="L1888">
        <v>0</v>
      </c>
      <c r="M1888">
        <v>0</v>
      </c>
      <c r="N1888" t="s">
        <v>90</v>
      </c>
      <c r="O1888">
        <v>2014</v>
      </c>
      <c r="P1888" t="s">
        <v>18</v>
      </c>
    </row>
    <row r="1889" spans="1:16" x14ac:dyDescent="0.3">
      <c r="A1889">
        <v>247</v>
      </c>
      <c r="B1889" t="s">
        <v>1556</v>
      </c>
      <c r="C1889" t="s">
        <v>1682</v>
      </c>
      <c r="D1889" t="str">
        <f>VLOOKUP(YouTube_University_Data_Final[[#This Row],[Title]],[1]!YouTube_University_Data_Final[[Title]:[Title_language]],2,FALSE)</f>
        <v>English</v>
      </c>
      <c r="E1889" t="s">
        <v>2944</v>
      </c>
      <c r="F1889">
        <v>27</v>
      </c>
      <c r="G1889" s="1">
        <v>41722</v>
      </c>
      <c r="H1889">
        <v>128</v>
      </c>
      <c r="I1889" t="s">
        <v>2944</v>
      </c>
      <c r="J1889">
        <v>439</v>
      </c>
      <c r="K1889">
        <v>0</v>
      </c>
      <c r="L1889">
        <v>0</v>
      </c>
      <c r="M1889">
        <v>0</v>
      </c>
      <c r="N1889" t="s">
        <v>90</v>
      </c>
      <c r="O1889">
        <v>2014</v>
      </c>
      <c r="P1889" t="s">
        <v>18</v>
      </c>
    </row>
    <row r="1890" spans="1:16" x14ac:dyDescent="0.3">
      <c r="A1890">
        <v>248</v>
      </c>
      <c r="B1890" t="s">
        <v>1556</v>
      </c>
      <c r="C1890" t="s">
        <v>1683</v>
      </c>
      <c r="D1890" t="str">
        <f>VLOOKUP(YouTube_University_Data_Final[[#This Row],[Title]],[1]!YouTube_University_Data_Final[[Title]:[Title_language]],2,FALSE)</f>
        <v>English</v>
      </c>
      <c r="E1890" t="s">
        <v>2944</v>
      </c>
      <c r="F1890">
        <v>27</v>
      </c>
      <c r="G1890" s="1">
        <v>41719</v>
      </c>
      <c r="H1890">
        <v>56</v>
      </c>
      <c r="I1890" t="s">
        <v>2944</v>
      </c>
      <c r="J1890">
        <v>285</v>
      </c>
      <c r="K1890">
        <v>1</v>
      </c>
      <c r="L1890">
        <v>0</v>
      </c>
      <c r="M1890">
        <v>0</v>
      </c>
      <c r="N1890" t="s">
        <v>90</v>
      </c>
      <c r="O1890">
        <v>2014</v>
      </c>
      <c r="P1890" t="s">
        <v>18</v>
      </c>
    </row>
    <row r="1891" spans="1:16" x14ac:dyDescent="0.3">
      <c r="A1891">
        <v>249</v>
      </c>
      <c r="B1891" t="s">
        <v>1556</v>
      </c>
      <c r="C1891" t="s">
        <v>1684</v>
      </c>
      <c r="D1891" t="str">
        <f>VLOOKUP(YouTube_University_Data_Final[[#This Row],[Title]],[1]!YouTube_University_Data_Final[[Title]:[Title_language]],2,FALSE)</f>
        <v>English</v>
      </c>
      <c r="E1891" t="s">
        <v>2944</v>
      </c>
      <c r="F1891">
        <v>27</v>
      </c>
      <c r="G1891" s="1">
        <v>41703</v>
      </c>
      <c r="H1891">
        <v>72</v>
      </c>
      <c r="I1891" t="s">
        <v>2944</v>
      </c>
      <c r="J1891">
        <v>583</v>
      </c>
      <c r="K1891">
        <v>3</v>
      </c>
      <c r="L1891">
        <v>0</v>
      </c>
      <c r="M1891">
        <v>0</v>
      </c>
      <c r="N1891" t="s">
        <v>90</v>
      </c>
      <c r="O1891">
        <v>2014</v>
      </c>
      <c r="P1891" t="s">
        <v>18</v>
      </c>
    </row>
    <row r="1892" spans="1:16" x14ac:dyDescent="0.3">
      <c r="A1892">
        <v>250</v>
      </c>
      <c r="B1892" t="s">
        <v>1556</v>
      </c>
      <c r="C1892" t="s">
        <v>1685</v>
      </c>
      <c r="D1892" t="str">
        <f>VLOOKUP(YouTube_University_Data_Final[[#This Row],[Title]],[1]!YouTube_University_Data_Final[[Title]:[Title_language]],2,FALSE)</f>
        <v>English</v>
      </c>
      <c r="E1892" t="s">
        <v>2944</v>
      </c>
      <c r="F1892">
        <v>27</v>
      </c>
      <c r="G1892" s="1">
        <v>41696</v>
      </c>
      <c r="H1892">
        <v>90</v>
      </c>
      <c r="I1892" t="s">
        <v>2944</v>
      </c>
      <c r="J1892">
        <v>505</v>
      </c>
      <c r="K1892">
        <v>1</v>
      </c>
      <c r="L1892">
        <v>0</v>
      </c>
      <c r="M1892">
        <v>0</v>
      </c>
      <c r="N1892" t="s">
        <v>162</v>
      </c>
      <c r="O1892">
        <v>2014</v>
      </c>
      <c r="P1892" t="s">
        <v>18</v>
      </c>
    </row>
    <row r="1893" spans="1:16" x14ac:dyDescent="0.3">
      <c r="A1893">
        <v>251</v>
      </c>
      <c r="B1893" t="s">
        <v>1556</v>
      </c>
      <c r="C1893" t="s">
        <v>1686</v>
      </c>
      <c r="D1893" t="str">
        <f>VLOOKUP(YouTube_University_Data_Final[[#This Row],[Title]],[1]!YouTube_University_Data_Final[[Title]:[Title_language]],2,FALSE)</f>
        <v>English</v>
      </c>
      <c r="E1893" t="s">
        <v>2944</v>
      </c>
      <c r="F1893">
        <v>27</v>
      </c>
      <c r="G1893" s="1">
        <v>41694</v>
      </c>
      <c r="H1893">
        <v>139</v>
      </c>
      <c r="I1893" t="s">
        <v>2944</v>
      </c>
      <c r="J1893">
        <v>593</v>
      </c>
      <c r="K1893">
        <v>2</v>
      </c>
      <c r="L1893">
        <v>0</v>
      </c>
      <c r="M1893">
        <v>0</v>
      </c>
      <c r="N1893" t="s">
        <v>162</v>
      </c>
      <c r="O1893">
        <v>2014</v>
      </c>
      <c r="P1893" t="s">
        <v>18</v>
      </c>
    </row>
    <row r="1894" spans="1:16" x14ac:dyDescent="0.3">
      <c r="A1894">
        <v>252</v>
      </c>
      <c r="B1894" t="s">
        <v>1556</v>
      </c>
      <c r="C1894" t="s">
        <v>1687</v>
      </c>
      <c r="D1894" t="str">
        <f>VLOOKUP(YouTube_University_Data_Final[[#This Row],[Title]],[1]!YouTube_University_Data_Final[[Title]:[Title_language]],2,FALSE)</f>
        <v>English</v>
      </c>
      <c r="E1894" t="s">
        <v>4616</v>
      </c>
      <c r="F1894">
        <v>27</v>
      </c>
      <c r="G1894" s="1">
        <v>41675</v>
      </c>
      <c r="H1894">
        <v>197</v>
      </c>
      <c r="I1894" t="s">
        <v>2944</v>
      </c>
      <c r="J1894">
        <v>10117</v>
      </c>
      <c r="K1894">
        <v>9</v>
      </c>
      <c r="L1894">
        <v>0</v>
      </c>
      <c r="M1894">
        <v>0</v>
      </c>
      <c r="N1894" t="s">
        <v>162</v>
      </c>
      <c r="O1894">
        <v>2014</v>
      </c>
      <c r="P1894" t="s">
        <v>18</v>
      </c>
    </row>
    <row r="1895" spans="1:16" x14ac:dyDescent="0.3">
      <c r="A1895">
        <v>253</v>
      </c>
      <c r="B1895" t="s">
        <v>1556</v>
      </c>
      <c r="C1895" t="s">
        <v>1688</v>
      </c>
      <c r="D1895" t="str">
        <f>VLOOKUP(YouTube_University_Data_Final[[#This Row],[Title]],[1]!YouTube_University_Data_Final[[Title]:[Title_language]],2,FALSE)</f>
        <v>English</v>
      </c>
      <c r="E1895" t="s">
        <v>2944</v>
      </c>
      <c r="F1895">
        <v>27</v>
      </c>
      <c r="G1895" s="1">
        <v>41654</v>
      </c>
      <c r="H1895">
        <v>67</v>
      </c>
      <c r="I1895" t="s">
        <v>2944</v>
      </c>
      <c r="J1895">
        <v>221</v>
      </c>
      <c r="K1895">
        <v>0</v>
      </c>
      <c r="L1895">
        <v>0</v>
      </c>
      <c r="M1895">
        <v>0</v>
      </c>
      <c r="N1895" t="s">
        <v>93</v>
      </c>
      <c r="O1895">
        <v>2014</v>
      </c>
      <c r="P1895" t="s">
        <v>18</v>
      </c>
    </row>
    <row r="1896" spans="1:16" x14ac:dyDescent="0.3">
      <c r="A1896">
        <v>254</v>
      </c>
      <c r="B1896" t="s">
        <v>1556</v>
      </c>
      <c r="C1896" t="s">
        <v>1673</v>
      </c>
      <c r="D1896" t="str">
        <f>VLOOKUP(YouTube_University_Data_Final[[#This Row],[Title]],[1]!YouTube_University_Data_Final[[Title]:[Title_language]],2,FALSE)</f>
        <v>English</v>
      </c>
      <c r="E1896" t="s">
        <v>4617</v>
      </c>
      <c r="F1896">
        <v>27</v>
      </c>
      <c r="G1896" s="1">
        <v>41647</v>
      </c>
      <c r="H1896">
        <v>100</v>
      </c>
      <c r="I1896" t="s">
        <v>2944</v>
      </c>
      <c r="J1896">
        <v>363</v>
      </c>
      <c r="K1896">
        <v>1</v>
      </c>
      <c r="L1896">
        <v>0</v>
      </c>
      <c r="M1896">
        <v>0</v>
      </c>
      <c r="N1896" t="s">
        <v>93</v>
      </c>
      <c r="O1896">
        <v>2014</v>
      </c>
      <c r="P1896" t="s">
        <v>18</v>
      </c>
    </row>
    <row r="1897" spans="1:16" x14ac:dyDescent="0.3">
      <c r="A1897">
        <v>255</v>
      </c>
      <c r="B1897" t="s">
        <v>1556</v>
      </c>
      <c r="C1897" t="s">
        <v>1689</v>
      </c>
      <c r="D1897" t="str">
        <f>VLOOKUP(YouTube_University_Data_Final[[#This Row],[Title]],[1]!YouTube_University_Data_Final[[Title]:[Title_language]],2,FALSE)</f>
        <v>English</v>
      </c>
      <c r="E1897" t="s">
        <v>2944</v>
      </c>
      <c r="F1897">
        <v>27</v>
      </c>
      <c r="G1897" s="1">
        <v>41618</v>
      </c>
      <c r="H1897">
        <v>4</v>
      </c>
      <c r="I1897" t="s">
        <v>2944</v>
      </c>
      <c r="J1897">
        <v>436</v>
      </c>
      <c r="K1897">
        <v>1</v>
      </c>
      <c r="L1897">
        <v>0</v>
      </c>
      <c r="M1897">
        <v>0</v>
      </c>
      <c r="N1897" t="s">
        <v>98</v>
      </c>
      <c r="O1897">
        <v>2013</v>
      </c>
      <c r="P1897" t="s">
        <v>18</v>
      </c>
    </row>
    <row r="1898" spans="1:16" x14ac:dyDescent="0.3">
      <c r="A1898">
        <v>256</v>
      </c>
      <c r="B1898" t="s">
        <v>1556</v>
      </c>
      <c r="C1898" t="s">
        <v>1690</v>
      </c>
      <c r="D1898" t="str">
        <f>VLOOKUP(YouTube_University_Data_Final[[#This Row],[Title]],[1]!YouTube_University_Data_Final[[Title]:[Title_language]],2,FALSE)</f>
        <v>English</v>
      </c>
      <c r="E1898" t="s">
        <v>2944</v>
      </c>
      <c r="F1898">
        <v>27</v>
      </c>
      <c r="G1898" s="1">
        <v>41611</v>
      </c>
      <c r="H1898">
        <v>156</v>
      </c>
      <c r="I1898" t="s">
        <v>2944</v>
      </c>
      <c r="J1898">
        <v>351</v>
      </c>
      <c r="K1898">
        <v>0</v>
      </c>
      <c r="L1898">
        <v>0</v>
      </c>
      <c r="M1898">
        <v>0</v>
      </c>
      <c r="N1898" t="s">
        <v>98</v>
      </c>
      <c r="O1898">
        <v>2013</v>
      </c>
      <c r="P1898" t="s">
        <v>18</v>
      </c>
    </row>
    <row r="1899" spans="1:16" x14ac:dyDescent="0.3">
      <c r="A1899">
        <v>257</v>
      </c>
      <c r="B1899" t="s">
        <v>1556</v>
      </c>
      <c r="C1899" t="s">
        <v>1691</v>
      </c>
      <c r="D1899" t="str">
        <f>VLOOKUP(YouTube_University_Data_Final[[#This Row],[Title]],[1]!YouTube_University_Data_Final[[Title]:[Title_language]],2,FALSE)</f>
        <v>English</v>
      </c>
      <c r="E1899" t="s">
        <v>2944</v>
      </c>
      <c r="F1899">
        <v>27</v>
      </c>
      <c r="G1899" s="1">
        <v>41611</v>
      </c>
      <c r="H1899">
        <v>132</v>
      </c>
      <c r="I1899" t="s">
        <v>2944</v>
      </c>
      <c r="J1899">
        <v>388</v>
      </c>
      <c r="K1899">
        <v>0</v>
      </c>
      <c r="L1899">
        <v>0</v>
      </c>
      <c r="M1899">
        <v>0</v>
      </c>
      <c r="N1899" t="s">
        <v>98</v>
      </c>
      <c r="O1899">
        <v>2013</v>
      </c>
      <c r="P1899" t="s">
        <v>18</v>
      </c>
    </row>
    <row r="1900" spans="1:16" x14ac:dyDescent="0.3">
      <c r="A1900">
        <v>258</v>
      </c>
      <c r="B1900" t="s">
        <v>1556</v>
      </c>
      <c r="C1900" t="s">
        <v>1692</v>
      </c>
      <c r="D1900" t="str">
        <f>VLOOKUP(YouTube_University_Data_Final[[#This Row],[Title]],[1]!YouTube_University_Data_Final[[Title]:[Title_language]],2,FALSE)</f>
        <v>English</v>
      </c>
      <c r="E1900" t="s">
        <v>1693</v>
      </c>
      <c r="F1900">
        <v>27</v>
      </c>
      <c r="G1900" s="1">
        <v>41598</v>
      </c>
      <c r="H1900">
        <v>46</v>
      </c>
      <c r="I1900" t="s">
        <v>2944</v>
      </c>
      <c r="J1900">
        <v>2616</v>
      </c>
      <c r="K1900">
        <v>13</v>
      </c>
      <c r="L1900">
        <v>0</v>
      </c>
      <c r="M1900">
        <v>0</v>
      </c>
      <c r="N1900" t="s">
        <v>101</v>
      </c>
      <c r="O1900">
        <v>2013</v>
      </c>
      <c r="P1900" t="s">
        <v>18</v>
      </c>
    </row>
    <row r="1901" spans="1:16" x14ac:dyDescent="0.3">
      <c r="A1901">
        <v>259</v>
      </c>
      <c r="B1901" t="s">
        <v>1556</v>
      </c>
      <c r="C1901" t="s">
        <v>1694</v>
      </c>
      <c r="D1901" t="str">
        <f>VLOOKUP(YouTube_University_Data_Final[[#This Row],[Title]],[1]!YouTube_University_Data_Final[[Title]:[Title_language]],2,FALSE)</f>
        <v>English</v>
      </c>
      <c r="E1901" t="s">
        <v>2944</v>
      </c>
      <c r="F1901">
        <v>27</v>
      </c>
      <c r="G1901" s="1">
        <v>41575</v>
      </c>
      <c r="H1901">
        <v>218</v>
      </c>
      <c r="I1901" t="s">
        <v>2944</v>
      </c>
      <c r="J1901">
        <v>348</v>
      </c>
      <c r="K1901">
        <v>1</v>
      </c>
      <c r="L1901">
        <v>0</v>
      </c>
      <c r="M1901">
        <v>0</v>
      </c>
      <c r="N1901" t="s">
        <v>17</v>
      </c>
      <c r="O1901">
        <v>2013</v>
      </c>
      <c r="P1901" t="s">
        <v>18</v>
      </c>
    </row>
    <row r="1902" spans="1:16" x14ac:dyDescent="0.3">
      <c r="A1902">
        <v>260</v>
      </c>
      <c r="B1902" t="s">
        <v>1556</v>
      </c>
      <c r="C1902" t="s">
        <v>1695</v>
      </c>
      <c r="D1902" t="str">
        <f>VLOOKUP(YouTube_University_Data_Final[[#This Row],[Title]],[1]!YouTube_University_Data_Final[[Title]:[Title_language]],2,FALSE)</f>
        <v>English</v>
      </c>
      <c r="E1902" t="s">
        <v>2944</v>
      </c>
      <c r="F1902">
        <v>27</v>
      </c>
      <c r="G1902" s="1">
        <v>41569</v>
      </c>
      <c r="H1902">
        <v>83</v>
      </c>
      <c r="I1902" t="s">
        <v>1696</v>
      </c>
      <c r="J1902">
        <v>603</v>
      </c>
      <c r="K1902">
        <v>1</v>
      </c>
      <c r="L1902">
        <v>0</v>
      </c>
      <c r="M1902">
        <v>0</v>
      </c>
      <c r="N1902" t="s">
        <v>17</v>
      </c>
      <c r="O1902">
        <v>2013</v>
      </c>
      <c r="P1902" t="s">
        <v>18</v>
      </c>
    </row>
    <row r="1903" spans="1:16" x14ac:dyDescent="0.3">
      <c r="A1903">
        <v>261</v>
      </c>
      <c r="B1903" t="s">
        <v>1556</v>
      </c>
      <c r="C1903" t="s">
        <v>1697</v>
      </c>
      <c r="D1903" t="str">
        <f>VLOOKUP(YouTube_University_Data_Final[[#This Row],[Title]],[1]!YouTube_University_Data_Final[[Title]:[Title_language]],2,FALSE)</f>
        <v>English</v>
      </c>
      <c r="E1903" t="s">
        <v>4618</v>
      </c>
      <c r="F1903">
        <v>27</v>
      </c>
      <c r="G1903" s="1">
        <v>41522</v>
      </c>
      <c r="H1903">
        <v>127</v>
      </c>
      <c r="I1903" t="s">
        <v>2944</v>
      </c>
      <c r="J1903">
        <v>68</v>
      </c>
      <c r="K1903">
        <v>0</v>
      </c>
      <c r="L1903">
        <v>0</v>
      </c>
      <c r="M1903">
        <v>0</v>
      </c>
      <c r="N1903" t="s">
        <v>21</v>
      </c>
      <c r="O1903">
        <v>2013</v>
      </c>
      <c r="P1903" t="s">
        <v>18</v>
      </c>
    </row>
    <row r="1904" spans="1:16" x14ac:dyDescent="0.3">
      <c r="A1904">
        <v>262</v>
      </c>
      <c r="B1904" t="s">
        <v>1556</v>
      </c>
      <c r="C1904" t="s">
        <v>1698</v>
      </c>
      <c r="D1904" t="str">
        <f>VLOOKUP(YouTube_University_Data_Final[[#This Row],[Title]],[1]!YouTube_University_Data_Final[[Title]:[Title_language]],2,FALSE)</f>
        <v>English</v>
      </c>
      <c r="E1904" t="s">
        <v>4619</v>
      </c>
      <c r="F1904">
        <v>27</v>
      </c>
      <c r="G1904" s="1">
        <v>41522</v>
      </c>
      <c r="H1904">
        <v>138</v>
      </c>
      <c r="I1904" t="s">
        <v>2944</v>
      </c>
      <c r="J1904">
        <v>179</v>
      </c>
      <c r="K1904">
        <v>0</v>
      </c>
      <c r="L1904">
        <v>0</v>
      </c>
      <c r="M1904">
        <v>0</v>
      </c>
      <c r="N1904" t="s">
        <v>21</v>
      </c>
      <c r="O1904">
        <v>2013</v>
      </c>
      <c r="P1904" t="s">
        <v>18</v>
      </c>
    </row>
    <row r="1905" spans="1:16" x14ac:dyDescent="0.3">
      <c r="A1905">
        <v>263</v>
      </c>
      <c r="B1905" t="s">
        <v>1556</v>
      </c>
      <c r="C1905" t="s">
        <v>1699</v>
      </c>
      <c r="D1905" t="str">
        <f>VLOOKUP(YouTube_University_Data_Final[[#This Row],[Title]],[1]!YouTube_University_Data_Final[[Title]:[Title_language]],2,FALSE)</f>
        <v>English</v>
      </c>
      <c r="E1905" t="s">
        <v>2944</v>
      </c>
      <c r="F1905">
        <v>27</v>
      </c>
      <c r="G1905" s="1">
        <v>41487</v>
      </c>
      <c r="H1905">
        <v>37</v>
      </c>
      <c r="I1905" t="s">
        <v>2944</v>
      </c>
      <c r="J1905">
        <v>400</v>
      </c>
      <c r="K1905">
        <v>1</v>
      </c>
      <c r="L1905">
        <v>0</v>
      </c>
      <c r="M1905">
        <v>0</v>
      </c>
      <c r="N1905" t="s">
        <v>48</v>
      </c>
      <c r="O1905">
        <v>2013</v>
      </c>
      <c r="P1905" t="s">
        <v>18</v>
      </c>
    </row>
    <row r="1906" spans="1:16" x14ac:dyDescent="0.3">
      <c r="A1906">
        <v>264</v>
      </c>
      <c r="B1906" t="s">
        <v>1556</v>
      </c>
      <c r="C1906" t="s">
        <v>1700</v>
      </c>
      <c r="D1906" t="str">
        <f>VLOOKUP(YouTube_University_Data_Final[[#This Row],[Title]],[1]!YouTube_University_Data_Final[[Title]:[Title_language]],2,FALSE)</f>
        <v>English</v>
      </c>
      <c r="E1906" t="s">
        <v>4620</v>
      </c>
      <c r="F1906">
        <v>27</v>
      </c>
      <c r="G1906" s="1">
        <v>41465</v>
      </c>
      <c r="H1906">
        <v>263</v>
      </c>
      <c r="I1906" t="s">
        <v>4621</v>
      </c>
      <c r="J1906">
        <v>7700</v>
      </c>
      <c r="K1906">
        <v>42</v>
      </c>
      <c r="L1906">
        <v>0</v>
      </c>
      <c r="M1906">
        <v>0</v>
      </c>
      <c r="N1906" t="s">
        <v>56</v>
      </c>
      <c r="O1906">
        <v>2013</v>
      </c>
      <c r="P1906" t="s">
        <v>18</v>
      </c>
    </row>
    <row r="1907" spans="1:16" x14ac:dyDescent="0.3">
      <c r="A1907">
        <v>265</v>
      </c>
      <c r="B1907" t="s">
        <v>1556</v>
      </c>
      <c r="C1907" t="s">
        <v>1701</v>
      </c>
      <c r="D1907" t="str">
        <f>VLOOKUP(YouTube_University_Data_Final[[#This Row],[Title]],[1]!YouTube_University_Data_Final[[Title]:[Title_language]],2,FALSE)</f>
        <v>English</v>
      </c>
      <c r="E1907" t="s">
        <v>2944</v>
      </c>
      <c r="F1907">
        <v>27</v>
      </c>
      <c r="G1907" s="1">
        <v>41457</v>
      </c>
      <c r="H1907">
        <v>2</v>
      </c>
      <c r="I1907" t="s">
        <v>2944</v>
      </c>
      <c r="J1907">
        <v>313</v>
      </c>
      <c r="K1907">
        <v>0</v>
      </c>
      <c r="L1907">
        <v>0</v>
      </c>
      <c r="M1907">
        <v>0</v>
      </c>
      <c r="N1907" t="s">
        <v>56</v>
      </c>
      <c r="O1907">
        <v>2013</v>
      </c>
      <c r="P1907" t="s">
        <v>18</v>
      </c>
    </row>
    <row r="1908" spans="1:16" x14ac:dyDescent="0.3">
      <c r="A1908">
        <v>266</v>
      </c>
      <c r="B1908" t="s">
        <v>1556</v>
      </c>
      <c r="C1908" t="s">
        <v>1702</v>
      </c>
      <c r="D1908" t="str">
        <f>VLOOKUP(YouTube_University_Data_Final[[#This Row],[Title]],[1]!YouTube_University_Data_Final[[Title]:[Title_language]],2,FALSE)</f>
        <v>English</v>
      </c>
      <c r="E1908" t="s">
        <v>4622</v>
      </c>
      <c r="F1908">
        <v>27</v>
      </c>
      <c r="G1908" s="1">
        <v>41451</v>
      </c>
      <c r="H1908">
        <v>119</v>
      </c>
      <c r="I1908" t="s">
        <v>2944</v>
      </c>
      <c r="J1908">
        <v>1683</v>
      </c>
      <c r="K1908">
        <v>3</v>
      </c>
      <c r="L1908">
        <v>0</v>
      </c>
      <c r="M1908">
        <v>0</v>
      </c>
      <c r="N1908" t="s">
        <v>78</v>
      </c>
      <c r="O1908">
        <v>2013</v>
      </c>
      <c r="P1908" t="s">
        <v>18</v>
      </c>
    </row>
    <row r="1909" spans="1:16" x14ac:dyDescent="0.3">
      <c r="A1909">
        <v>267</v>
      </c>
      <c r="B1909" t="s">
        <v>1556</v>
      </c>
      <c r="C1909" t="s">
        <v>1703</v>
      </c>
      <c r="D1909" t="str">
        <f>VLOOKUP(YouTube_University_Data_Final[[#This Row],[Title]],[1]!YouTube_University_Data_Final[[Title]:[Title_language]],2,FALSE)</f>
        <v>English</v>
      </c>
      <c r="E1909" t="s">
        <v>2944</v>
      </c>
      <c r="F1909">
        <v>27</v>
      </c>
      <c r="G1909" s="1">
        <v>41443</v>
      </c>
      <c r="H1909">
        <v>62</v>
      </c>
      <c r="I1909" t="s">
        <v>2944</v>
      </c>
      <c r="J1909">
        <v>218</v>
      </c>
      <c r="K1909">
        <v>0</v>
      </c>
      <c r="L1909">
        <v>0</v>
      </c>
      <c r="M1909">
        <v>0</v>
      </c>
      <c r="N1909" t="s">
        <v>78</v>
      </c>
      <c r="O1909">
        <v>2013</v>
      </c>
      <c r="P1909" t="s">
        <v>18</v>
      </c>
    </row>
    <row r="1910" spans="1:16" x14ac:dyDescent="0.3">
      <c r="A1910">
        <v>268</v>
      </c>
      <c r="B1910" t="s">
        <v>1556</v>
      </c>
      <c r="C1910" t="s">
        <v>1704</v>
      </c>
      <c r="D1910" t="str">
        <f>VLOOKUP(YouTube_University_Data_Final[[#This Row],[Title]],[1]!YouTube_University_Data_Final[[Title]:[Title_language]],2,FALSE)</f>
        <v>English</v>
      </c>
      <c r="E1910" t="s">
        <v>2944</v>
      </c>
      <c r="F1910">
        <v>27</v>
      </c>
      <c r="G1910" s="1">
        <v>41443</v>
      </c>
      <c r="H1910">
        <v>57</v>
      </c>
      <c r="I1910" t="s">
        <v>2944</v>
      </c>
      <c r="J1910">
        <v>413</v>
      </c>
      <c r="K1910">
        <v>0</v>
      </c>
      <c r="L1910">
        <v>0</v>
      </c>
      <c r="M1910">
        <v>0</v>
      </c>
      <c r="N1910" t="s">
        <v>78</v>
      </c>
      <c r="O1910">
        <v>2013</v>
      </c>
      <c r="P1910" t="s">
        <v>18</v>
      </c>
    </row>
    <row r="1911" spans="1:16" x14ac:dyDescent="0.3">
      <c r="A1911">
        <v>269</v>
      </c>
      <c r="B1911" t="s">
        <v>1556</v>
      </c>
      <c r="C1911" t="s">
        <v>1705</v>
      </c>
      <c r="D1911" t="str">
        <f>VLOOKUP(YouTube_University_Data_Final[[#This Row],[Title]],[1]!YouTube_University_Data_Final[[Title]:[Title_language]],2,FALSE)</f>
        <v>English</v>
      </c>
      <c r="E1911" t="s">
        <v>2944</v>
      </c>
      <c r="F1911">
        <v>27</v>
      </c>
      <c r="G1911" s="1">
        <v>41443</v>
      </c>
      <c r="H1911">
        <v>2</v>
      </c>
      <c r="I1911" t="s">
        <v>2944</v>
      </c>
      <c r="J1911">
        <v>200</v>
      </c>
      <c r="K1911">
        <v>0</v>
      </c>
      <c r="L1911">
        <v>0</v>
      </c>
      <c r="M1911">
        <v>0</v>
      </c>
      <c r="N1911" t="s">
        <v>78</v>
      </c>
      <c r="O1911">
        <v>2013</v>
      </c>
      <c r="P1911" t="s">
        <v>18</v>
      </c>
    </row>
    <row r="1912" spans="1:16" x14ac:dyDescent="0.3">
      <c r="A1912">
        <v>270</v>
      </c>
      <c r="B1912" t="s">
        <v>1556</v>
      </c>
      <c r="C1912" t="s">
        <v>1706</v>
      </c>
      <c r="D1912" t="str">
        <f>VLOOKUP(YouTube_University_Data_Final[[#This Row],[Title]],[1]!YouTube_University_Data_Final[[Title]:[Title_language]],2,FALSE)</f>
        <v>English</v>
      </c>
      <c r="E1912" t="s">
        <v>2944</v>
      </c>
      <c r="F1912">
        <v>27</v>
      </c>
      <c r="G1912" s="1">
        <v>41443</v>
      </c>
      <c r="H1912">
        <v>50</v>
      </c>
      <c r="I1912" t="s">
        <v>2944</v>
      </c>
      <c r="J1912">
        <v>295</v>
      </c>
      <c r="K1912">
        <v>1</v>
      </c>
      <c r="L1912">
        <v>0</v>
      </c>
      <c r="M1912">
        <v>0</v>
      </c>
      <c r="N1912" t="s">
        <v>78</v>
      </c>
      <c r="O1912">
        <v>2013</v>
      </c>
      <c r="P1912" t="s">
        <v>18</v>
      </c>
    </row>
    <row r="1913" spans="1:16" x14ac:dyDescent="0.3">
      <c r="A1913">
        <v>271</v>
      </c>
      <c r="B1913" t="s">
        <v>1556</v>
      </c>
      <c r="C1913" t="s">
        <v>1707</v>
      </c>
      <c r="D1913" t="str">
        <f>VLOOKUP(YouTube_University_Data_Final[[#This Row],[Title]],[1]!YouTube_University_Data_Final[[Title]:[Title_language]],2,FALSE)</f>
        <v>English</v>
      </c>
      <c r="E1913" t="s">
        <v>2944</v>
      </c>
      <c r="F1913">
        <v>27</v>
      </c>
      <c r="G1913" s="1">
        <v>41443</v>
      </c>
      <c r="H1913">
        <v>58</v>
      </c>
      <c r="I1913" t="s">
        <v>2944</v>
      </c>
      <c r="J1913">
        <v>346</v>
      </c>
      <c r="K1913">
        <v>1</v>
      </c>
      <c r="L1913">
        <v>0</v>
      </c>
      <c r="M1913">
        <v>0</v>
      </c>
      <c r="N1913" t="s">
        <v>78</v>
      </c>
      <c r="O1913">
        <v>2013</v>
      </c>
      <c r="P1913" t="s">
        <v>18</v>
      </c>
    </row>
    <row r="1914" spans="1:16" x14ac:dyDescent="0.3">
      <c r="A1914">
        <v>272</v>
      </c>
      <c r="B1914" t="s">
        <v>1556</v>
      </c>
      <c r="C1914" t="s">
        <v>1708</v>
      </c>
      <c r="D1914" t="str">
        <f>VLOOKUP(YouTube_University_Data_Final[[#This Row],[Title]],[1]!YouTube_University_Data_Final[[Title]:[Title_language]],2,FALSE)</f>
        <v>English</v>
      </c>
      <c r="E1914" t="s">
        <v>2944</v>
      </c>
      <c r="F1914">
        <v>27</v>
      </c>
      <c r="G1914" s="1">
        <v>41443</v>
      </c>
      <c r="H1914">
        <v>57</v>
      </c>
      <c r="I1914" t="s">
        <v>2944</v>
      </c>
      <c r="J1914">
        <v>1175</v>
      </c>
      <c r="K1914">
        <v>2</v>
      </c>
      <c r="L1914">
        <v>0</v>
      </c>
      <c r="M1914">
        <v>0</v>
      </c>
      <c r="N1914" t="s">
        <v>78</v>
      </c>
      <c r="O1914">
        <v>2013</v>
      </c>
      <c r="P1914" t="s">
        <v>18</v>
      </c>
    </row>
    <row r="1915" spans="1:16" x14ac:dyDescent="0.3">
      <c r="A1915">
        <v>273</v>
      </c>
      <c r="B1915" t="s">
        <v>1556</v>
      </c>
      <c r="C1915" t="s">
        <v>1701</v>
      </c>
      <c r="D1915" t="str">
        <f>VLOOKUP(YouTube_University_Data_Final[[#This Row],[Title]],[1]!YouTube_University_Data_Final[[Title]:[Title_language]],2,FALSE)</f>
        <v>English</v>
      </c>
      <c r="E1915" t="s">
        <v>2944</v>
      </c>
      <c r="F1915">
        <v>27</v>
      </c>
      <c r="G1915" s="1">
        <v>41443</v>
      </c>
      <c r="H1915">
        <v>2</v>
      </c>
      <c r="I1915" t="s">
        <v>2944</v>
      </c>
      <c r="J1915">
        <v>165</v>
      </c>
      <c r="K1915">
        <v>1</v>
      </c>
      <c r="L1915">
        <v>0</v>
      </c>
      <c r="M1915">
        <v>0</v>
      </c>
      <c r="N1915" t="s">
        <v>78</v>
      </c>
      <c r="O1915">
        <v>2013</v>
      </c>
      <c r="P1915" t="s">
        <v>18</v>
      </c>
    </row>
    <row r="1916" spans="1:16" x14ac:dyDescent="0.3">
      <c r="A1916">
        <v>274</v>
      </c>
      <c r="B1916" t="s">
        <v>1556</v>
      </c>
      <c r="C1916" t="s">
        <v>1709</v>
      </c>
      <c r="D1916" t="str">
        <f>VLOOKUP(YouTube_University_Data_Final[[#This Row],[Title]],[1]!YouTube_University_Data_Final[[Title]:[Title_language]],2,FALSE)</f>
        <v>English</v>
      </c>
      <c r="E1916" t="s">
        <v>2944</v>
      </c>
      <c r="F1916">
        <v>27</v>
      </c>
      <c r="G1916" s="1">
        <v>41443</v>
      </c>
      <c r="H1916">
        <v>57</v>
      </c>
      <c r="I1916" t="s">
        <v>2944</v>
      </c>
      <c r="J1916">
        <v>342</v>
      </c>
      <c r="K1916">
        <v>1</v>
      </c>
      <c r="L1916">
        <v>0</v>
      </c>
      <c r="M1916">
        <v>0</v>
      </c>
      <c r="N1916" t="s">
        <v>78</v>
      </c>
      <c r="O1916">
        <v>2013</v>
      </c>
      <c r="P1916" t="s">
        <v>18</v>
      </c>
    </row>
    <row r="1917" spans="1:16" x14ac:dyDescent="0.3">
      <c r="A1917">
        <v>275</v>
      </c>
      <c r="B1917" t="s">
        <v>1556</v>
      </c>
      <c r="C1917" t="s">
        <v>1710</v>
      </c>
      <c r="D1917" t="str">
        <f>VLOOKUP(YouTube_University_Data_Final[[#This Row],[Title]],[1]!YouTube_University_Data_Final[[Title]:[Title_language]],2,FALSE)</f>
        <v>English</v>
      </c>
      <c r="E1917" t="s">
        <v>2944</v>
      </c>
      <c r="F1917">
        <v>27</v>
      </c>
      <c r="G1917" s="1">
        <v>41443</v>
      </c>
      <c r="H1917">
        <v>60</v>
      </c>
      <c r="I1917" t="s">
        <v>2944</v>
      </c>
      <c r="J1917">
        <v>360</v>
      </c>
      <c r="K1917">
        <v>0</v>
      </c>
      <c r="L1917">
        <v>0</v>
      </c>
      <c r="M1917">
        <v>0</v>
      </c>
      <c r="N1917" t="s">
        <v>78</v>
      </c>
      <c r="O1917">
        <v>2013</v>
      </c>
      <c r="P1917" t="s">
        <v>18</v>
      </c>
    </row>
    <row r="1918" spans="1:16" x14ac:dyDescent="0.3">
      <c r="A1918">
        <v>276</v>
      </c>
      <c r="B1918" t="s">
        <v>1556</v>
      </c>
      <c r="C1918" t="s">
        <v>1711</v>
      </c>
      <c r="D1918" t="str">
        <f>VLOOKUP(YouTube_University_Data_Final[[#This Row],[Title]],[1]!YouTube_University_Data_Final[[Title]:[Title_language]],2,FALSE)</f>
        <v>English</v>
      </c>
      <c r="E1918" t="s">
        <v>2944</v>
      </c>
      <c r="F1918">
        <v>27</v>
      </c>
      <c r="G1918" s="1">
        <v>41443</v>
      </c>
      <c r="H1918">
        <v>48</v>
      </c>
      <c r="I1918" t="s">
        <v>2944</v>
      </c>
      <c r="J1918">
        <v>391</v>
      </c>
      <c r="K1918">
        <v>1</v>
      </c>
      <c r="L1918">
        <v>0</v>
      </c>
      <c r="M1918">
        <v>0</v>
      </c>
      <c r="N1918" t="s">
        <v>78</v>
      </c>
      <c r="O1918">
        <v>2013</v>
      </c>
      <c r="P1918" t="s">
        <v>18</v>
      </c>
    </row>
    <row r="1919" spans="1:16" x14ac:dyDescent="0.3">
      <c r="A1919">
        <v>277</v>
      </c>
      <c r="B1919" t="s">
        <v>1556</v>
      </c>
      <c r="C1919" t="s">
        <v>1712</v>
      </c>
      <c r="D1919" t="str">
        <f>VLOOKUP(YouTube_University_Data_Final[[#This Row],[Title]],[1]!YouTube_University_Data_Final[[Title]:[Title_language]],2,FALSE)</f>
        <v>English</v>
      </c>
      <c r="E1919" t="s">
        <v>2944</v>
      </c>
      <c r="F1919">
        <v>27</v>
      </c>
      <c r="G1919" s="1">
        <v>41443</v>
      </c>
      <c r="H1919">
        <v>54</v>
      </c>
      <c r="I1919" t="s">
        <v>2944</v>
      </c>
      <c r="J1919">
        <v>334</v>
      </c>
      <c r="K1919">
        <v>0</v>
      </c>
      <c r="L1919">
        <v>0</v>
      </c>
      <c r="M1919">
        <v>0</v>
      </c>
      <c r="N1919" t="s">
        <v>78</v>
      </c>
      <c r="O1919">
        <v>2013</v>
      </c>
      <c r="P1919" t="s">
        <v>18</v>
      </c>
    </row>
    <row r="1920" spans="1:16" x14ac:dyDescent="0.3">
      <c r="A1920">
        <v>278</v>
      </c>
      <c r="B1920" t="s">
        <v>1556</v>
      </c>
      <c r="C1920" t="s">
        <v>1713</v>
      </c>
      <c r="D1920" t="str">
        <f>VLOOKUP(YouTube_University_Data_Final[[#This Row],[Title]],[1]!YouTube_University_Data_Final[[Title]:[Title_language]],2,FALSE)</f>
        <v>English</v>
      </c>
      <c r="E1920" t="s">
        <v>2944</v>
      </c>
      <c r="F1920">
        <v>27</v>
      </c>
      <c r="G1920" s="1">
        <v>41443</v>
      </c>
      <c r="H1920">
        <v>59</v>
      </c>
      <c r="I1920" t="s">
        <v>2944</v>
      </c>
      <c r="J1920">
        <v>277</v>
      </c>
      <c r="K1920">
        <v>0</v>
      </c>
      <c r="L1920">
        <v>0</v>
      </c>
      <c r="M1920">
        <v>0</v>
      </c>
      <c r="N1920" t="s">
        <v>78</v>
      </c>
      <c r="O1920">
        <v>2013</v>
      </c>
      <c r="P1920" t="s">
        <v>18</v>
      </c>
    </row>
    <row r="1921" spans="1:16" x14ac:dyDescent="0.3">
      <c r="A1921">
        <v>279</v>
      </c>
      <c r="B1921" t="s">
        <v>1556</v>
      </c>
      <c r="C1921" t="s">
        <v>1714</v>
      </c>
      <c r="D1921" t="str">
        <f>VLOOKUP(YouTube_University_Data_Final[[#This Row],[Title]],[1]!YouTube_University_Data_Final[[Title]:[Title_language]],2,FALSE)</f>
        <v>English</v>
      </c>
      <c r="E1921" t="s">
        <v>4623</v>
      </c>
      <c r="F1921">
        <v>27</v>
      </c>
      <c r="G1921" s="1">
        <v>41421</v>
      </c>
      <c r="H1921">
        <v>49</v>
      </c>
      <c r="I1921" t="s">
        <v>2944</v>
      </c>
      <c r="J1921">
        <v>1173</v>
      </c>
      <c r="K1921">
        <v>2</v>
      </c>
      <c r="L1921">
        <v>0</v>
      </c>
      <c r="M1921">
        <v>0</v>
      </c>
      <c r="N1921" t="s">
        <v>81</v>
      </c>
      <c r="O1921">
        <v>2013</v>
      </c>
      <c r="P1921" t="s">
        <v>18</v>
      </c>
    </row>
    <row r="1922" spans="1:16" x14ac:dyDescent="0.3">
      <c r="A1922">
        <v>280</v>
      </c>
      <c r="B1922" t="s">
        <v>1556</v>
      </c>
      <c r="C1922" t="s">
        <v>1715</v>
      </c>
      <c r="D1922" t="str">
        <f>VLOOKUP(YouTube_University_Data_Final[[#This Row],[Title]],[1]!YouTube_University_Data_Final[[Title]:[Title_language]],2,FALSE)</f>
        <v>English</v>
      </c>
      <c r="E1922" t="s">
        <v>4624</v>
      </c>
      <c r="F1922">
        <v>27</v>
      </c>
      <c r="G1922" s="1">
        <v>41404</v>
      </c>
      <c r="H1922">
        <v>62</v>
      </c>
      <c r="I1922" t="s">
        <v>2944</v>
      </c>
      <c r="J1922">
        <v>2492</v>
      </c>
      <c r="K1922">
        <v>13</v>
      </c>
      <c r="L1922">
        <v>0</v>
      </c>
      <c r="M1922">
        <v>0</v>
      </c>
      <c r="N1922" t="s">
        <v>81</v>
      </c>
      <c r="O1922">
        <v>2013</v>
      </c>
      <c r="P1922" t="s">
        <v>18</v>
      </c>
    </row>
    <row r="1923" spans="1:16" x14ac:dyDescent="0.3">
      <c r="A1923">
        <v>281</v>
      </c>
      <c r="B1923" t="s">
        <v>1556</v>
      </c>
      <c r="C1923" t="s">
        <v>1716</v>
      </c>
      <c r="D1923" t="str">
        <f>VLOOKUP(YouTube_University_Data_Final[[#This Row],[Title]],[1]!YouTube_University_Data_Final[[Title]:[Title_language]],2,FALSE)</f>
        <v>English</v>
      </c>
      <c r="E1923" t="s">
        <v>4625</v>
      </c>
      <c r="F1923">
        <v>27</v>
      </c>
      <c r="G1923" s="1">
        <v>41402</v>
      </c>
      <c r="H1923">
        <v>177</v>
      </c>
      <c r="I1923" t="s">
        <v>2944</v>
      </c>
      <c r="J1923">
        <v>232</v>
      </c>
      <c r="K1923">
        <v>1</v>
      </c>
      <c r="L1923">
        <v>0</v>
      </c>
      <c r="M1923">
        <v>0</v>
      </c>
      <c r="N1923" t="s">
        <v>81</v>
      </c>
      <c r="O1923">
        <v>2013</v>
      </c>
      <c r="P1923" t="s">
        <v>18</v>
      </c>
    </row>
    <row r="1924" spans="1:16" x14ac:dyDescent="0.3">
      <c r="A1924">
        <v>282</v>
      </c>
      <c r="B1924" t="s">
        <v>1556</v>
      </c>
      <c r="C1924" t="s">
        <v>1717</v>
      </c>
      <c r="D1924" t="str">
        <f>VLOOKUP(YouTube_University_Data_Final[[#This Row],[Title]],[1]!YouTube_University_Data_Final[[Title]:[Title_language]],2,FALSE)</f>
        <v>English</v>
      </c>
      <c r="E1924" t="s">
        <v>1718</v>
      </c>
      <c r="F1924">
        <v>27</v>
      </c>
      <c r="G1924" s="1">
        <v>41374</v>
      </c>
      <c r="H1924">
        <v>195</v>
      </c>
      <c r="I1924" t="s">
        <v>2944</v>
      </c>
      <c r="J1924">
        <v>363</v>
      </c>
      <c r="K1924">
        <v>0</v>
      </c>
      <c r="L1924">
        <v>0</v>
      </c>
      <c r="M1924">
        <v>0</v>
      </c>
      <c r="N1924" t="s">
        <v>87</v>
      </c>
      <c r="O1924">
        <v>2013</v>
      </c>
      <c r="P1924" t="s">
        <v>18</v>
      </c>
    </row>
    <row r="1925" spans="1:16" x14ac:dyDescent="0.3">
      <c r="A1925">
        <v>283</v>
      </c>
      <c r="B1925" t="s">
        <v>1556</v>
      </c>
      <c r="C1925" t="s">
        <v>1719</v>
      </c>
      <c r="D1925" t="str">
        <f>VLOOKUP(YouTube_University_Data_Final[[#This Row],[Title]],[1]!YouTube_University_Data_Final[[Title]:[Title_language]],2,FALSE)</f>
        <v>English</v>
      </c>
      <c r="E1925" t="s">
        <v>4626</v>
      </c>
      <c r="F1925">
        <v>27</v>
      </c>
      <c r="G1925" s="1">
        <v>41361</v>
      </c>
      <c r="H1925">
        <v>116</v>
      </c>
      <c r="I1925" t="s">
        <v>2944</v>
      </c>
      <c r="J1925">
        <v>469</v>
      </c>
      <c r="K1925">
        <v>3</v>
      </c>
      <c r="L1925">
        <v>0</v>
      </c>
      <c r="M1925">
        <v>1</v>
      </c>
      <c r="N1925" t="s">
        <v>90</v>
      </c>
      <c r="O1925">
        <v>2013</v>
      </c>
      <c r="P1925" t="s">
        <v>18</v>
      </c>
    </row>
    <row r="1926" spans="1:16" x14ac:dyDescent="0.3">
      <c r="A1926">
        <v>284</v>
      </c>
      <c r="B1926" t="s">
        <v>1556</v>
      </c>
      <c r="C1926" t="s">
        <v>1720</v>
      </c>
      <c r="D1926" t="str">
        <f>VLOOKUP(YouTube_University_Data_Final[[#This Row],[Title]],[1]!YouTube_University_Data_Final[[Title]:[Title_language]],2,FALSE)</f>
        <v>English</v>
      </c>
      <c r="E1926" t="s">
        <v>470</v>
      </c>
      <c r="F1926">
        <v>27</v>
      </c>
      <c r="G1926" s="1">
        <v>41344</v>
      </c>
      <c r="H1926">
        <v>207</v>
      </c>
      <c r="I1926" t="s">
        <v>2944</v>
      </c>
      <c r="J1926">
        <v>1281</v>
      </c>
      <c r="K1926">
        <v>4</v>
      </c>
      <c r="L1926">
        <v>0</v>
      </c>
      <c r="M1926">
        <v>0</v>
      </c>
      <c r="N1926" t="s">
        <v>90</v>
      </c>
      <c r="O1926">
        <v>2013</v>
      </c>
      <c r="P1926" t="s">
        <v>18</v>
      </c>
    </row>
    <row r="1927" spans="1:16" x14ac:dyDescent="0.3">
      <c r="A1927">
        <v>285</v>
      </c>
      <c r="B1927" t="s">
        <v>1556</v>
      </c>
      <c r="C1927" t="s">
        <v>1721</v>
      </c>
      <c r="D1927" t="str">
        <f>VLOOKUP(YouTube_University_Data_Final[[#This Row],[Title]],[1]!YouTube_University_Data_Final[[Title]:[Title_language]],2,FALSE)</f>
        <v>English</v>
      </c>
      <c r="E1927" t="s">
        <v>4627</v>
      </c>
      <c r="F1927">
        <v>27</v>
      </c>
      <c r="G1927" s="1">
        <v>41344</v>
      </c>
      <c r="H1927">
        <v>89</v>
      </c>
      <c r="I1927" t="s">
        <v>2944</v>
      </c>
      <c r="J1927">
        <v>723</v>
      </c>
      <c r="K1927">
        <v>0</v>
      </c>
      <c r="L1927">
        <v>0</v>
      </c>
      <c r="M1927">
        <v>0</v>
      </c>
      <c r="N1927" t="s">
        <v>90</v>
      </c>
      <c r="O1927">
        <v>2013</v>
      </c>
      <c r="P1927" t="s">
        <v>18</v>
      </c>
    </row>
    <row r="1928" spans="1:16" x14ac:dyDescent="0.3">
      <c r="A1928">
        <v>286</v>
      </c>
      <c r="B1928" t="s">
        <v>1556</v>
      </c>
      <c r="C1928" t="s">
        <v>1722</v>
      </c>
      <c r="D1928" t="str">
        <f>VLOOKUP(YouTube_University_Data_Final[[#This Row],[Title]],[1]!YouTube_University_Data_Final[[Title]:[Title_language]],2,FALSE)</f>
        <v>English</v>
      </c>
      <c r="E1928" t="s">
        <v>4628</v>
      </c>
      <c r="F1928">
        <v>27</v>
      </c>
      <c r="G1928" s="1">
        <v>41325</v>
      </c>
      <c r="H1928">
        <v>113</v>
      </c>
      <c r="I1928" t="s">
        <v>1723</v>
      </c>
      <c r="J1928">
        <v>959</v>
      </c>
      <c r="K1928">
        <v>2</v>
      </c>
      <c r="L1928">
        <v>0</v>
      </c>
      <c r="M1928">
        <v>0</v>
      </c>
      <c r="N1928" t="s">
        <v>162</v>
      </c>
      <c r="O1928">
        <v>2013</v>
      </c>
      <c r="P1928" t="s">
        <v>18</v>
      </c>
    </row>
    <row r="1929" spans="1:16" x14ac:dyDescent="0.3">
      <c r="A1929">
        <v>287</v>
      </c>
      <c r="B1929" t="s">
        <v>1556</v>
      </c>
      <c r="C1929" t="s">
        <v>1724</v>
      </c>
      <c r="D1929" t="str">
        <f>VLOOKUP(YouTube_University_Data_Final[[#This Row],[Title]],[1]!YouTube_University_Data_Final[[Title]:[Title_language]],2,FALSE)</f>
        <v>English</v>
      </c>
      <c r="E1929" t="s">
        <v>4629</v>
      </c>
      <c r="F1929">
        <v>27</v>
      </c>
      <c r="G1929" s="1">
        <v>41311</v>
      </c>
      <c r="H1929">
        <v>413</v>
      </c>
      <c r="I1929" t="s">
        <v>1725</v>
      </c>
      <c r="J1929">
        <v>352</v>
      </c>
      <c r="K1929">
        <v>0</v>
      </c>
      <c r="L1929">
        <v>0</v>
      </c>
      <c r="M1929">
        <v>0</v>
      </c>
      <c r="N1929" t="s">
        <v>162</v>
      </c>
      <c r="O1929">
        <v>2013</v>
      </c>
      <c r="P1929" t="s">
        <v>18</v>
      </c>
    </row>
    <row r="1930" spans="1:16" x14ac:dyDescent="0.3">
      <c r="A1930">
        <v>288</v>
      </c>
      <c r="B1930" t="s">
        <v>1556</v>
      </c>
      <c r="C1930" t="s">
        <v>1726</v>
      </c>
      <c r="D1930" t="str">
        <f>VLOOKUP(YouTube_University_Data_Final[[#This Row],[Title]],[1]!YouTube_University_Data_Final[[Title]:[Title_language]],2,FALSE)</f>
        <v>English</v>
      </c>
      <c r="E1930" t="s">
        <v>4630</v>
      </c>
      <c r="F1930">
        <v>27</v>
      </c>
      <c r="G1930" s="1">
        <v>41304</v>
      </c>
      <c r="H1930">
        <v>66</v>
      </c>
      <c r="I1930" t="s">
        <v>1727</v>
      </c>
      <c r="J1930">
        <v>780</v>
      </c>
      <c r="K1930">
        <v>3</v>
      </c>
      <c r="L1930">
        <v>0</v>
      </c>
      <c r="M1930">
        <v>0</v>
      </c>
      <c r="N1930" t="s">
        <v>93</v>
      </c>
      <c r="O1930">
        <v>2013</v>
      </c>
      <c r="P1930" t="s">
        <v>18</v>
      </c>
    </row>
    <row r="1931" spans="1:16" x14ac:dyDescent="0.3">
      <c r="A1931">
        <v>289</v>
      </c>
      <c r="B1931" t="s">
        <v>1556</v>
      </c>
      <c r="C1931" t="s">
        <v>1728</v>
      </c>
      <c r="D1931" t="str">
        <f>VLOOKUP(YouTube_University_Data_Final[[#This Row],[Title]],[1]!YouTube_University_Data_Final[[Title]:[Title_language]],2,FALSE)</f>
        <v>English</v>
      </c>
      <c r="E1931" t="s">
        <v>4631</v>
      </c>
      <c r="F1931">
        <v>27</v>
      </c>
      <c r="G1931" s="1">
        <v>41290</v>
      </c>
      <c r="H1931">
        <v>1007</v>
      </c>
      <c r="I1931" t="s">
        <v>4632</v>
      </c>
      <c r="J1931">
        <v>594</v>
      </c>
      <c r="K1931">
        <v>0</v>
      </c>
      <c r="L1931">
        <v>0</v>
      </c>
      <c r="M1931">
        <v>0</v>
      </c>
      <c r="N1931" t="s">
        <v>93</v>
      </c>
      <c r="O1931">
        <v>2013</v>
      </c>
      <c r="P1931" t="s">
        <v>18</v>
      </c>
    </row>
    <row r="1932" spans="1:16" x14ac:dyDescent="0.3">
      <c r="A1932">
        <v>290</v>
      </c>
      <c r="B1932" t="s">
        <v>1556</v>
      </c>
      <c r="C1932" t="s">
        <v>1729</v>
      </c>
      <c r="D1932" t="str">
        <f>VLOOKUP(YouTube_University_Data_Final[[#This Row],[Title]],[1]!YouTube_University_Data_Final[[Title]:[Title_language]],2,FALSE)</f>
        <v>English</v>
      </c>
      <c r="E1932" t="s">
        <v>4633</v>
      </c>
      <c r="F1932">
        <v>27</v>
      </c>
      <c r="G1932" s="1">
        <v>41285</v>
      </c>
      <c r="H1932">
        <v>83</v>
      </c>
      <c r="I1932" t="s">
        <v>1730</v>
      </c>
      <c r="J1932">
        <v>4249</v>
      </c>
      <c r="K1932">
        <v>4</v>
      </c>
      <c r="L1932">
        <v>0</v>
      </c>
      <c r="M1932">
        <v>0</v>
      </c>
      <c r="N1932" t="s">
        <v>93</v>
      </c>
      <c r="O1932">
        <v>2013</v>
      </c>
      <c r="P1932" t="s">
        <v>18</v>
      </c>
    </row>
    <row r="1933" spans="1:16" x14ac:dyDescent="0.3">
      <c r="A1933">
        <v>291</v>
      </c>
      <c r="B1933" t="s">
        <v>1556</v>
      </c>
      <c r="C1933" t="s">
        <v>1731</v>
      </c>
      <c r="D1933" t="str">
        <f>VLOOKUP(YouTube_University_Data_Final[[#This Row],[Title]],[1]!YouTube_University_Data_Final[[Title]:[Title_language]],2,FALSE)</f>
        <v>English</v>
      </c>
      <c r="E1933" t="s">
        <v>4634</v>
      </c>
      <c r="F1933">
        <v>27</v>
      </c>
      <c r="G1933" s="1">
        <v>41271</v>
      </c>
      <c r="H1933">
        <v>71</v>
      </c>
      <c r="I1933" t="s">
        <v>1732</v>
      </c>
      <c r="J1933">
        <v>249</v>
      </c>
      <c r="K1933">
        <v>1</v>
      </c>
      <c r="L1933">
        <v>0</v>
      </c>
      <c r="M1933">
        <v>0</v>
      </c>
      <c r="N1933" t="s">
        <v>98</v>
      </c>
      <c r="O1933">
        <v>2012</v>
      </c>
      <c r="P1933" t="s">
        <v>18</v>
      </c>
    </row>
    <row r="1934" spans="1:16" x14ac:dyDescent="0.3">
      <c r="A1934">
        <v>292</v>
      </c>
      <c r="B1934" t="s">
        <v>1556</v>
      </c>
      <c r="C1934" t="s">
        <v>1733</v>
      </c>
      <c r="D1934" t="str">
        <f>VLOOKUP(YouTube_University_Data_Final[[#This Row],[Title]],[1]!YouTube_University_Data_Final[[Title]:[Title_language]],2,FALSE)</f>
        <v>English</v>
      </c>
      <c r="E1934" t="s">
        <v>4635</v>
      </c>
      <c r="F1934">
        <v>27</v>
      </c>
      <c r="G1934" s="1">
        <v>41247</v>
      </c>
      <c r="H1934">
        <v>372</v>
      </c>
      <c r="I1934" t="s">
        <v>1734</v>
      </c>
      <c r="J1934">
        <v>269</v>
      </c>
      <c r="K1934">
        <v>1</v>
      </c>
      <c r="L1934">
        <v>0</v>
      </c>
      <c r="M1934">
        <v>0</v>
      </c>
      <c r="N1934" t="s">
        <v>98</v>
      </c>
      <c r="O1934">
        <v>2012</v>
      </c>
      <c r="P1934" t="s">
        <v>18</v>
      </c>
    </row>
    <row r="1935" spans="1:16" x14ac:dyDescent="0.3">
      <c r="A1935">
        <v>293</v>
      </c>
      <c r="B1935" t="s">
        <v>1556</v>
      </c>
      <c r="C1935" t="s">
        <v>1735</v>
      </c>
      <c r="D1935" t="str">
        <f>VLOOKUP(YouTube_University_Data_Final[[#This Row],[Title]],[1]!YouTube_University_Data_Final[[Title]:[Title_language]],2,FALSE)</f>
        <v>English</v>
      </c>
      <c r="E1935" t="s">
        <v>470</v>
      </c>
      <c r="F1935">
        <v>27</v>
      </c>
      <c r="G1935" s="1">
        <v>41247</v>
      </c>
      <c r="H1935">
        <v>105</v>
      </c>
      <c r="I1935" t="s">
        <v>1736</v>
      </c>
      <c r="J1935">
        <v>145</v>
      </c>
      <c r="K1935">
        <v>1</v>
      </c>
      <c r="L1935">
        <v>0</v>
      </c>
      <c r="M1935">
        <v>0</v>
      </c>
      <c r="N1935" t="s">
        <v>98</v>
      </c>
      <c r="O1935">
        <v>2012</v>
      </c>
      <c r="P1935" t="s">
        <v>18</v>
      </c>
    </row>
    <row r="1936" spans="1:16" x14ac:dyDescent="0.3">
      <c r="A1936">
        <v>294</v>
      </c>
      <c r="B1936" t="s">
        <v>1556</v>
      </c>
      <c r="C1936" t="s">
        <v>1737</v>
      </c>
      <c r="D1936" t="str">
        <f>VLOOKUP(YouTube_University_Data_Final[[#This Row],[Title]],[1]!YouTube_University_Data_Final[[Title]:[Title_language]],2,FALSE)</f>
        <v>English</v>
      </c>
      <c r="E1936" t="s">
        <v>4636</v>
      </c>
      <c r="F1936">
        <v>27</v>
      </c>
      <c r="G1936" s="1">
        <v>41234</v>
      </c>
      <c r="H1936">
        <v>276</v>
      </c>
      <c r="I1936" t="s">
        <v>1738</v>
      </c>
      <c r="J1936">
        <v>1848</v>
      </c>
      <c r="K1936">
        <v>9</v>
      </c>
      <c r="L1936">
        <v>0</v>
      </c>
      <c r="M1936">
        <v>0</v>
      </c>
      <c r="N1936" t="s">
        <v>101</v>
      </c>
      <c r="O1936">
        <v>2012</v>
      </c>
      <c r="P1936" t="s">
        <v>18</v>
      </c>
    </row>
    <row r="1937" spans="1:16" x14ac:dyDescent="0.3">
      <c r="A1937">
        <v>295</v>
      </c>
      <c r="B1937" t="s">
        <v>1556</v>
      </c>
      <c r="C1937" t="s">
        <v>1739</v>
      </c>
      <c r="D1937" t="str">
        <f>VLOOKUP(YouTube_University_Data_Final[[#This Row],[Title]],[1]!YouTube_University_Data_Final[[Title]:[Title_language]],2,FALSE)</f>
        <v>English</v>
      </c>
      <c r="E1937" t="s">
        <v>4637</v>
      </c>
      <c r="F1937">
        <v>27</v>
      </c>
      <c r="G1937" s="1">
        <v>41222</v>
      </c>
      <c r="H1937">
        <v>76</v>
      </c>
      <c r="I1937" t="s">
        <v>1740</v>
      </c>
      <c r="J1937">
        <v>359</v>
      </c>
      <c r="K1937">
        <v>2</v>
      </c>
      <c r="L1937">
        <v>0</v>
      </c>
      <c r="M1937">
        <v>0</v>
      </c>
      <c r="N1937" t="s">
        <v>101</v>
      </c>
      <c r="O1937">
        <v>2012</v>
      </c>
      <c r="P1937" t="s">
        <v>18</v>
      </c>
    </row>
    <row r="1938" spans="1:16" x14ac:dyDescent="0.3">
      <c r="A1938">
        <v>296</v>
      </c>
      <c r="B1938" t="s">
        <v>1556</v>
      </c>
      <c r="C1938" t="s">
        <v>1741</v>
      </c>
      <c r="D1938" t="str">
        <f>VLOOKUP(YouTube_University_Data_Final[[#This Row],[Title]],[1]!YouTube_University_Data_Final[[Title]:[Title_language]],2,FALSE)</f>
        <v>English</v>
      </c>
      <c r="E1938" t="s">
        <v>4638</v>
      </c>
      <c r="F1938">
        <v>27</v>
      </c>
      <c r="G1938" s="1">
        <v>41222</v>
      </c>
      <c r="H1938">
        <v>151</v>
      </c>
      <c r="I1938" t="s">
        <v>1742</v>
      </c>
      <c r="J1938">
        <v>500</v>
      </c>
      <c r="K1938">
        <v>0</v>
      </c>
      <c r="L1938">
        <v>0</v>
      </c>
      <c r="M1938">
        <v>0</v>
      </c>
      <c r="N1938" t="s">
        <v>101</v>
      </c>
      <c r="O1938">
        <v>2012</v>
      </c>
      <c r="P1938" t="s">
        <v>18</v>
      </c>
    </row>
    <row r="1939" spans="1:16" x14ac:dyDescent="0.3">
      <c r="A1939">
        <v>297</v>
      </c>
      <c r="B1939" t="s">
        <v>1556</v>
      </c>
      <c r="C1939" t="s">
        <v>1743</v>
      </c>
      <c r="D1939" t="str">
        <f>VLOOKUP(YouTube_University_Data_Final[[#This Row],[Title]],[1]!YouTube_University_Data_Final[[Title]:[Title_language]],2,FALSE)</f>
        <v>English</v>
      </c>
      <c r="E1939" t="s">
        <v>4639</v>
      </c>
      <c r="F1939">
        <v>27</v>
      </c>
      <c r="G1939" s="1">
        <v>41200</v>
      </c>
      <c r="H1939">
        <v>42</v>
      </c>
      <c r="I1939" t="s">
        <v>1744</v>
      </c>
      <c r="J1939">
        <v>376</v>
      </c>
      <c r="K1939">
        <v>0</v>
      </c>
      <c r="L1939">
        <v>0</v>
      </c>
      <c r="M1939">
        <v>0</v>
      </c>
      <c r="N1939" t="s">
        <v>17</v>
      </c>
      <c r="O1939">
        <v>2012</v>
      </c>
      <c r="P1939" t="s">
        <v>18</v>
      </c>
    </row>
    <row r="1940" spans="1:16" x14ac:dyDescent="0.3">
      <c r="A1940">
        <v>298</v>
      </c>
      <c r="B1940" t="s">
        <v>1556</v>
      </c>
      <c r="C1940" t="s">
        <v>1745</v>
      </c>
      <c r="D1940" t="str">
        <f>VLOOKUP(YouTube_University_Data_Final[[#This Row],[Title]],[1]!YouTube_University_Data_Final[[Title]:[Title_language]],2,FALSE)</f>
        <v>English</v>
      </c>
      <c r="E1940" t="s">
        <v>4640</v>
      </c>
      <c r="F1940">
        <v>27</v>
      </c>
      <c r="G1940" s="1">
        <v>41152</v>
      </c>
      <c r="H1940">
        <v>180</v>
      </c>
      <c r="I1940" t="s">
        <v>1746</v>
      </c>
      <c r="J1940">
        <v>1036</v>
      </c>
      <c r="K1940">
        <v>6</v>
      </c>
      <c r="L1940">
        <v>0</v>
      </c>
      <c r="M1940">
        <v>0</v>
      </c>
      <c r="N1940" t="s">
        <v>48</v>
      </c>
      <c r="O1940">
        <v>2012</v>
      </c>
      <c r="P1940" t="s">
        <v>18</v>
      </c>
    </row>
    <row r="1941" spans="1:16" x14ac:dyDescent="0.3">
      <c r="A1941">
        <v>299</v>
      </c>
      <c r="B1941" t="s">
        <v>1556</v>
      </c>
      <c r="C1941" t="s">
        <v>1747</v>
      </c>
      <c r="D1941" t="str">
        <f>VLOOKUP(YouTube_University_Data_Final[[#This Row],[Title]],[1]!YouTube_University_Data_Final[[Title]:[Title_language]],2,FALSE)</f>
        <v>English</v>
      </c>
      <c r="E1941" t="s">
        <v>470</v>
      </c>
      <c r="F1941">
        <v>27</v>
      </c>
      <c r="G1941" s="1">
        <v>41152</v>
      </c>
      <c r="H1941">
        <v>234</v>
      </c>
      <c r="I1941" t="s">
        <v>1748</v>
      </c>
      <c r="J1941">
        <v>419</v>
      </c>
      <c r="K1941">
        <v>0</v>
      </c>
      <c r="L1941">
        <v>0</v>
      </c>
      <c r="M1941">
        <v>0</v>
      </c>
      <c r="N1941" t="s">
        <v>48</v>
      </c>
      <c r="O1941">
        <v>2012</v>
      </c>
      <c r="P1941" t="s">
        <v>18</v>
      </c>
    </row>
    <row r="1942" spans="1:16" x14ac:dyDescent="0.3">
      <c r="A1942">
        <v>300</v>
      </c>
      <c r="B1942" t="s">
        <v>1556</v>
      </c>
      <c r="C1942" t="s">
        <v>1749</v>
      </c>
      <c r="D1942" t="str">
        <f>VLOOKUP(YouTube_University_Data_Final[[#This Row],[Title]],[1]!YouTube_University_Data_Final[[Title]:[Title_language]],2,FALSE)</f>
        <v>English</v>
      </c>
      <c r="E1942" t="s">
        <v>470</v>
      </c>
      <c r="F1942">
        <v>27</v>
      </c>
      <c r="G1942" s="1">
        <v>41106</v>
      </c>
      <c r="H1942">
        <v>128</v>
      </c>
      <c r="I1942" t="s">
        <v>1750</v>
      </c>
      <c r="J1942">
        <v>851</v>
      </c>
      <c r="K1942">
        <v>1</v>
      </c>
      <c r="L1942">
        <v>0</v>
      </c>
      <c r="M1942">
        <v>0</v>
      </c>
      <c r="N1942" t="s">
        <v>56</v>
      </c>
      <c r="O1942">
        <v>2012</v>
      </c>
      <c r="P1942" t="s">
        <v>18</v>
      </c>
    </row>
    <row r="1943" spans="1:16" x14ac:dyDescent="0.3">
      <c r="A1943">
        <v>301</v>
      </c>
      <c r="B1943" t="s">
        <v>1556</v>
      </c>
      <c r="C1943" t="s">
        <v>1751</v>
      </c>
      <c r="D1943" t="str">
        <f>VLOOKUP(YouTube_University_Data_Final[[#This Row],[Title]],[1]!YouTube_University_Data_Final[[Title]:[Title_language]],2,FALSE)</f>
        <v>English</v>
      </c>
      <c r="E1943" t="s">
        <v>470</v>
      </c>
      <c r="F1943">
        <v>27</v>
      </c>
      <c r="G1943" s="1">
        <v>41106</v>
      </c>
      <c r="H1943">
        <v>121</v>
      </c>
      <c r="I1943" t="s">
        <v>1752</v>
      </c>
      <c r="J1943">
        <v>455</v>
      </c>
      <c r="K1943">
        <v>0</v>
      </c>
      <c r="L1943">
        <v>0</v>
      </c>
      <c r="M1943">
        <v>0</v>
      </c>
      <c r="N1943" t="s">
        <v>56</v>
      </c>
      <c r="O1943">
        <v>2012</v>
      </c>
      <c r="P1943" t="s">
        <v>18</v>
      </c>
    </row>
    <row r="1944" spans="1:16" x14ac:dyDescent="0.3">
      <c r="A1944">
        <v>302</v>
      </c>
      <c r="B1944" t="s">
        <v>1556</v>
      </c>
      <c r="C1944" t="s">
        <v>1753</v>
      </c>
      <c r="D1944" t="str">
        <f>VLOOKUP(YouTube_University_Data_Final[[#This Row],[Title]],[1]!YouTube_University_Data_Final[[Title]:[Title_language]],2,FALSE)</f>
        <v>English</v>
      </c>
      <c r="E1944" t="s">
        <v>4641</v>
      </c>
      <c r="F1944">
        <v>27</v>
      </c>
      <c r="G1944" s="1">
        <v>41096</v>
      </c>
      <c r="H1944">
        <v>121</v>
      </c>
      <c r="I1944" t="s">
        <v>1754</v>
      </c>
      <c r="J1944">
        <v>370</v>
      </c>
      <c r="K1944">
        <v>1</v>
      </c>
      <c r="L1944">
        <v>0</v>
      </c>
      <c r="M1944">
        <v>0</v>
      </c>
      <c r="N1944" t="s">
        <v>56</v>
      </c>
      <c r="O1944">
        <v>2012</v>
      </c>
      <c r="P1944" t="s">
        <v>18</v>
      </c>
    </row>
    <row r="1945" spans="1:16" x14ac:dyDescent="0.3">
      <c r="A1945">
        <v>303</v>
      </c>
      <c r="B1945" t="s">
        <v>1556</v>
      </c>
      <c r="C1945" t="s">
        <v>1755</v>
      </c>
      <c r="D1945" t="str">
        <f>VLOOKUP(YouTube_University_Data_Final[[#This Row],[Title]],[1]!YouTube_University_Data_Final[[Title]:[Title_language]],2,FALSE)</f>
        <v>English</v>
      </c>
      <c r="E1945" t="s">
        <v>470</v>
      </c>
      <c r="F1945">
        <v>27</v>
      </c>
      <c r="G1945" s="1">
        <v>41093</v>
      </c>
      <c r="H1945">
        <v>89</v>
      </c>
      <c r="I1945" t="s">
        <v>1756</v>
      </c>
      <c r="J1945">
        <v>152</v>
      </c>
      <c r="K1945">
        <v>0</v>
      </c>
      <c r="L1945">
        <v>0</v>
      </c>
      <c r="M1945">
        <v>0</v>
      </c>
      <c r="N1945" t="s">
        <v>56</v>
      </c>
      <c r="O1945">
        <v>2012</v>
      </c>
      <c r="P1945" t="s">
        <v>18</v>
      </c>
    </row>
    <row r="1946" spans="1:16" x14ac:dyDescent="0.3">
      <c r="A1946">
        <v>304</v>
      </c>
      <c r="B1946" t="s">
        <v>1556</v>
      </c>
      <c r="C1946" t="s">
        <v>1757</v>
      </c>
      <c r="D1946" t="str">
        <f>VLOOKUP(YouTube_University_Data_Final[[#This Row],[Title]],[1]!YouTube_University_Data_Final[[Title]:[Title_language]],2,FALSE)</f>
        <v>English</v>
      </c>
      <c r="E1946" t="s">
        <v>470</v>
      </c>
      <c r="F1946">
        <v>27</v>
      </c>
      <c r="G1946" s="1">
        <v>41088</v>
      </c>
      <c r="H1946">
        <v>85</v>
      </c>
      <c r="I1946" t="s">
        <v>1758</v>
      </c>
      <c r="J1946">
        <v>1092</v>
      </c>
      <c r="K1946">
        <v>4</v>
      </c>
      <c r="L1946">
        <v>0</v>
      </c>
      <c r="M1946">
        <v>0</v>
      </c>
      <c r="N1946" t="s">
        <v>78</v>
      </c>
      <c r="O1946">
        <v>2012</v>
      </c>
      <c r="P1946" t="s">
        <v>18</v>
      </c>
    </row>
    <row r="1947" spans="1:16" x14ac:dyDescent="0.3">
      <c r="A1947">
        <v>305</v>
      </c>
      <c r="B1947" t="s">
        <v>1556</v>
      </c>
      <c r="C1947" t="s">
        <v>1759</v>
      </c>
      <c r="D1947" t="str">
        <f>VLOOKUP(YouTube_University_Data_Final[[#This Row],[Title]],[1]!YouTube_University_Data_Final[[Title]:[Title_language]],2,FALSE)</f>
        <v>English</v>
      </c>
      <c r="E1947" t="s">
        <v>4642</v>
      </c>
      <c r="F1947">
        <v>27</v>
      </c>
      <c r="G1947" s="1">
        <v>41081</v>
      </c>
      <c r="H1947">
        <v>3375</v>
      </c>
      <c r="I1947" t="s">
        <v>1760</v>
      </c>
      <c r="J1947">
        <v>311</v>
      </c>
      <c r="K1947">
        <v>1</v>
      </c>
      <c r="L1947">
        <v>0</v>
      </c>
      <c r="M1947">
        <v>0</v>
      </c>
      <c r="N1947" t="s">
        <v>78</v>
      </c>
      <c r="O1947">
        <v>2012</v>
      </c>
      <c r="P1947" t="s">
        <v>18</v>
      </c>
    </row>
    <row r="1948" spans="1:16" x14ac:dyDescent="0.3">
      <c r="A1948">
        <v>306</v>
      </c>
      <c r="B1948" t="s">
        <v>1556</v>
      </c>
      <c r="C1948" t="s">
        <v>1761</v>
      </c>
      <c r="D1948" t="str">
        <f>VLOOKUP(YouTube_University_Data_Final[[#This Row],[Title]],[1]!YouTube_University_Data_Final[[Title]:[Title_language]],2,FALSE)</f>
        <v>English</v>
      </c>
      <c r="E1948" t="s">
        <v>470</v>
      </c>
      <c r="F1948">
        <v>27</v>
      </c>
      <c r="G1948" s="1">
        <v>41072</v>
      </c>
      <c r="H1948">
        <v>33</v>
      </c>
      <c r="I1948" t="s">
        <v>1762</v>
      </c>
      <c r="J1948">
        <v>345</v>
      </c>
      <c r="K1948">
        <v>2</v>
      </c>
      <c r="L1948">
        <v>0</v>
      </c>
      <c r="M1948">
        <v>0</v>
      </c>
      <c r="N1948" t="s">
        <v>78</v>
      </c>
      <c r="O1948">
        <v>2012</v>
      </c>
      <c r="P1948" t="s">
        <v>18</v>
      </c>
    </row>
    <row r="1949" spans="1:16" x14ac:dyDescent="0.3">
      <c r="A1949">
        <v>307</v>
      </c>
      <c r="B1949" t="s">
        <v>1556</v>
      </c>
      <c r="C1949" t="s">
        <v>1763</v>
      </c>
      <c r="D1949" t="str">
        <f>VLOOKUP(YouTube_University_Data_Final[[#This Row],[Title]],[1]!YouTube_University_Data_Final[[Title]:[Title_language]],2,FALSE)</f>
        <v>English</v>
      </c>
      <c r="E1949" t="s">
        <v>470</v>
      </c>
      <c r="F1949">
        <v>27</v>
      </c>
      <c r="G1949" s="1">
        <v>41072</v>
      </c>
      <c r="H1949">
        <v>49</v>
      </c>
      <c r="I1949" t="s">
        <v>1764</v>
      </c>
      <c r="J1949">
        <v>315</v>
      </c>
      <c r="K1949">
        <v>1</v>
      </c>
      <c r="L1949">
        <v>0</v>
      </c>
      <c r="M1949">
        <v>0</v>
      </c>
      <c r="N1949" t="s">
        <v>78</v>
      </c>
      <c r="O1949">
        <v>2012</v>
      </c>
      <c r="P1949" t="s">
        <v>18</v>
      </c>
    </row>
    <row r="1950" spans="1:16" x14ac:dyDescent="0.3">
      <c r="A1950">
        <v>308</v>
      </c>
      <c r="B1950" t="s">
        <v>1556</v>
      </c>
      <c r="C1950" t="s">
        <v>1765</v>
      </c>
      <c r="D1950" t="str">
        <f>VLOOKUP(YouTube_University_Data_Final[[#This Row],[Title]],[1]!YouTube_University_Data_Final[[Title]:[Title_language]],2,FALSE)</f>
        <v>English</v>
      </c>
      <c r="E1950" t="s">
        <v>470</v>
      </c>
      <c r="F1950">
        <v>27</v>
      </c>
      <c r="G1950" s="1">
        <v>41072</v>
      </c>
      <c r="H1950">
        <v>73</v>
      </c>
      <c r="I1950" t="s">
        <v>1766</v>
      </c>
      <c r="J1950">
        <v>8308</v>
      </c>
      <c r="K1950">
        <v>9</v>
      </c>
      <c r="L1950">
        <v>0</v>
      </c>
      <c r="M1950">
        <v>0</v>
      </c>
      <c r="N1950" t="s">
        <v>78</v>
      </c>
      <c r="O1950">
        <v>2012</v>
      </c>
      <c r="P1950" t="s">
        <v>18</v>
      </c>
    </row>
    <row r="1951" spans="1:16" x14ac:dyDescent="0.3">
      <c r="A1951">
        <v>309</v>
      </c>
      <c r="B1951" t="s">
        <v>1556</v>
      </c>
      <c r="C1951" t="s">
        <v>1767</v>
      </c>
      <c r="D1951" t="str">
        <f>VLOOKUP(YouTube_University_Data_Final[[#This Row],[Title]],[1]!YouTube_University_Data_Final[[Title]:[Title_language]],2,FALSE)</f>
        <v>English</v>
      </c>
      <c r="E1951" t="s">
        <v>4643</v>
      </c>
      <c r="F1951">
        <v>27</v>
      </c>
      <c r="G1951" s="1">
        <v>41071</v>
      </c>
      <c r="H1951">
        <v>36</v>
      </c>
      <c r="I1951" t="s">
        <v>1768</v>
      </c>
      <c r="J1951">
        <v>344</v>
      </c>
      <c r="K1951">
        <v>1</v>
      </c>
      <c r="L1951">
        <v>0</v>
      </c>
      <c r="M1951">
        <v>0</v>
      </c>
      <c r="N1951" t="s">
        <v>78</v>
      </c>
      <c r="O1951">
        <v>2012</v>
      </c>
      <c r="P1951" t="s">
        <v>18</v>
      </c>
    </row>
    <row r="1952" spans="1:16" x14ac:dyDescent="0.3">
      <c r="A1952">
        <v>310</v>
      </c>
      <c r="B1952" t="s">
        <v>1556</v>
      </c>
      <c r="C1952" t="s">
        <v>1769</v>
      </c>
      <c r="D1952" t="str">
        <f>VLOOKUP(YouTube_University_Data_Final[[#This Row],[Title]],[1]!YouTube_University_Data_Final[[Title]:[Title_language]],2,FALSE)</f>
        <v>English</v>
      </c>
      <c r="E1952" t="s">
        <v>470</v>
      </c>
      <c r="F1952">
        <v>27</v>
      </c>
      <c r="G1952" s="1">
        <v>41064</v>
      </c>
      <c r="H1952">
        <v>242</v>
      </c>
      <c r="I1952" t="s">
        <v>1770</v>
      </c>
      <c r="J1952">
        <v>222</v>
      </c>
      <c r="K1952">
        <v>0</v>
      </c>
      <c r="L1952">
        <v>0</v>
      </c>
      <c r="M1952">
        <v>0</v>
      </c>
      <c r="N1952" t="s">
        <v>78</v>
      </c>
      <c r="O1952">
        <v>2012</v>
      </c>
      <c r="P1952" t="s">
        <v>18</v>
      </c>
    </row>
    <row r="1953" spans="1:16" x14ac:dyDescent="0.3">
      <c r="A1953">
        <v>311</v>
      </c>
      <c r="B1953" t="s">
        <v>1556</v>
      </c>
      <c r="C1953" t="s">
        <v>1771</v>
      </c>
      <c r="D1953" t="str">
        <f>VLOOKUP(YouTube_University_Data_Final[[#This Row],[Title]],[1]!YouTube_University_Data_Final[[Title]:[Title_language]],2,FALSE)</f>
        <v>English</v>
      </c>
      <c r="E1953" t="s">
        <v>4644</v>
      </c>
      <c r="F1953">
        <v>27</v>
      </c>
      <c r="G1953" s="1">
        <v>41060</v>
      </c>
      <c r="H1953">
        <v>523</v>
      </c>
      <c r="I1953" t="s">
        <v>1772</v>
      </c>
      <c r="J1953">
        <v>1040</v>
      </c>
      <c r="K1953">
        <v>3</v>
      </c>
      <c r="L1953">
        <v>0</v>
      </c>
      <c r="M1953">
        <v>0</v>
      </c>
      <c r="N1953" t="s">
        <v>81</v>
      </c>
      <c r="O1953">
        <v>2012</v>
      </c>
      <c r="P1953" t="s">
        <v>18</v>
      </c>
    </row>
    <row r="1954" spans="1:16" x14ac:dyDescent="0.3">
      <c r="A1954">
        <v>312</v>
      </c>
      <c r="B1954" t="s">
        <v>1556</v>
      </c>
      <c r="C1954" t="s">
        <v>1773</v>
      </c>
      <c r="D1954" t="str">
        <f>VLOOKUP(YouTube_University_Data_Final[[#This Row],[Title]],[1]!YouTube_University_Data_Final[[Title]:[Title_language]],2,FALSE)</f>
        <v>English</v>
      </c>
      <c r="E1954" t="s">
        <v>4645</v>
      </c>
      <c r="F1954">
        <v>27</v>
      </c>
      <c r="G1954" s="1">
        <v>41059</v>
      </c>
      <c r="H1954">
        <v>121</v>
      </c>
      <c r="I1954" t="s">
        <v>1774</v>
      </c>
      <c r="J1954">
        <v>1130</v>
      </c>
      <c r="K1954">
        <v>4</v>
      </c>
      <c r="L1954">
        <v>0</v>
      </c>
      <c r="M1954">
        <v>0</v>
      </c>
      <c r="N1954" t="s">
        <v>81</v>
      </c>
      <c r="O1954">
        <v>2012</v>
      </c>
      <c r="P1954" t="s">
        <v>18</v>
      </c>
    </row>
    <row r="1955" spans="1:16" x14ac:dyDescent="0.3">
      <c r="A1955">
        <v>313</v>
      </c>
      <c r="B1955" t="s">
        <v>1556</v>
      </c>
      <c r="C1955" t="s">
        <v>4646</v>
      </c>
      <c r="D1955" t="str">
        <f>VLOOKUP(YouTube_University_Data_Final[[#This Row],[Title]],[1]!YouTube_University_Data_Final[[Title]:[Title_language]],2,FALSE)</f>
        <v>English</v>
      </c>
      <c r="E1955" t="s">
        <v>2944</v>
      </c>
      <c r="F1955">
        <v>27</v>
      </c>
      <c r="G1955" s="1">
        <v>41010</v>
      </c>
      <c r="H1955">
        <v>207</v>
      </c>
      <c r="I1955" t="s">
        <v>1775</v>
      </c>
      <c r="J1955">
        <v>3042</v>
      </c>
      <c r="K1955">
        <v>27</v>
      </c>
      <c r="L1955">
        <v>0</v>
      </c>
      <c r="M1955">
        <v>0</v>
      </c>
      <c r="N1955" t="s">
        <v>87</v>
      </c>
      <c r="O1955">
        <v>2012</v>
      </c>
      <c r="P1955" t="s">
        <v>18</v>
      </c>
    </row>
    <row r="1956" spans="1:16" x14ac:dyDescent="0.3">
      <c r="A1956">
        <v>314</v>
      </c>
      <c r="B1956" t="s">
        <v>1556</v>
      </c>
      <c r="C1956" t="s">
        <v>4647</v>
      </c>
      <c r="D1956" t="str">
        <f>VLOOKUP(YouTube_University_Data_Final[[#This Row],[Title]],[1]!YouTube_University_Data_Final[[Title]:[Title_language]],2,FALSE)</f>
        <v>English</v>
      </c>
      <c r="E1956" t="s">
        <v>2944</v>
      </c>
      <c r="F1956">
        <v>27</v>
      </c>
      <c r="G1956" s="1">
        <v>41010</v>
      </c>
      <c r="H1956">
        <v>225</v>
      </c>
      <c r="I1956" t="s">
        <v>1776</v>
      </c>
      <c r="J1956">
        <v>2320</v>
      </c>
      <c r="K1956">
        <v>28</v>
      </c>
      <c r="L1956">
        <v>0</v>
      </c>
      <c r="M1956">
        <v>1</v>
      </c>
      <c r="N1956" t="s">
        <v>87</v>
      </c>
      <c r="O1956">
        <v>2012</v>
      </c>
      <c r="P1956" t="s">
        <v>18</v>
      </c>
    </row>
    <row r="1957" spans="1:16" x14ac:dyDescent="0.3">
      <c r="A1957">
        <v>315</v>
      </c>
      <c r="B1957" t="s">
        <v>1556</v>
      </c>
      <c r="C1957" t="s">
        <v>1777</v>
      </c>
      <c r="D1957" t="str">
        <f>VLOOKUP(YouTube_University_Data_Final[[#This Row],[Title]],[1]!YouTube_University_Data_Final[[Title]:[Title_language]],2,FALSE)</f>
        <v>English</v>
      </c>
      <c r="E1957" t="s">
        <v>2944</v>
      </c>
      <c r="F1957">
        <v>27</v>
      </c>
      <c r="G1957" s="1">
        <v>40984</v>
      </c>
      <c r="H1957">
        <v>120</v>
      </c>
      <c r="I1957" t="s">
        <v>1778</v>
      </c>
      <c r="J1957">
        <v>289</v>
      </c>
      <c r="K1957">
        <v>0</v>
      </c>
      <c r="L1957">
        <v>0</v>
      </c>
      <c r="M1957">
        <v>0</v>
      </c>
      <c r="N1957" t="s">
        <v>90</v>
      </c>
      <c r="O1957">
        <v>2012</v>
      </c>
      <c r="P1957" t="s">
        <v>18</v>
      </c>
    </row>
    <row r="1958" spans="1:16" x14ac:dyDescent="0.3">
      <c r="A1958">
        <v>316</v>
      </c>
      <c r="B1958" t="s">
        <v>1556</v>
      </c>
      <c r="C1958" t="s">
        <v>1779</v>
      </c>
      <c r="D1958" t="str">
        <f>VLOOKUP(YouTube_University_Data_Final[[#This Row],[Title]],[1]!YouTube_University_Data_Final[[Title]:[Title_language]],2,FALSE)</f>
        <v>English</v>
      </c>
      <c r="E1958" t="s">
        <v>2944</v>
      </c>
      <c r="F1958">
        <v>27</v>
      </c>
      <c r="G1958" s="1">
        <v>40980</v>
      </c>
      <c r="H1958">
        <v>373</v>
      </c>
      <c r="I1958" t="s">
        <v>1780</v>
      </c>
      <c r="J1958">
        <v>434</v>
      </c>
      <c r="K1958">
        <v>0</v>
      </c>
      <c r="L1958">
        <v>0</v>
      </c>
      <c r="M1958">
        <v>0</v>
      </c>
      <c r="N1958" t="s">
        <v>90</v>
      </c>
      <c r="O1958">
        <v>2012</v>
      </c>
      <c r="P1958" t="s">
        <v>18</v>
      </c>
    </row>
    <row r="1959" spans="1:16" x14ac:dyDescent="0.3">
      <c r="A1959">
        <v>317</v>
      </c>
      <c r="B1959" t="s">
        <v>1556</v>
      </c>
      <c r="C1959" t="s">
        <v>4648</v>
      </c>
      <c r="D1959" t="str">
        <f>VLOOKUP(YouTube_University_Data_Final[[#This Row],[Title]],[1]!YouTube_University_Data_Final[[Title]:[Title_language]],2,FALSE)</f>
        <v>English</v>
      </c>
      <c r="E1959" t="s">
        <v>2944</v>
      </c>
      <c r="F1959">
        <v>27</v>
      </c>
      <c r="G1959" s="1">
        <v>40966</v>
      </c>
      <c r="H1959">
        <v>426</v>
      </c>
      <c r="I1959" t="s">
        <v>1781</v>
      </c>
      <c r="J1959">
        <v>223</v>
      </c>
      <c r="K1959">
        <v>2</v>
      </c>
      <c r="L1959">
        <v>0</v>
      </c>
      <c r="M1959">
        <v>1</v>
      </c>
      <c r="N1959" t="s">
        <v>162</v>
      </c>
      <c r="O1959">
        <v>2012</v>
      </c>
      <c r="P1959" t="s">
        <v>18</v>
      </c>
    </row>
    <row r="1960" spans="1:16" x14ac:dyDescent="0.3">
      <c r="A1960">
        <v>318</v>
      </c>
      <c r="B1960" t="s">
        <v>1556</v>
      </c>
      <c r="C1960" t="s">
        <v>4649</v>
      </c>
      <c r="D1960" t="str">
        <f>VLOOKUP(YouTube_University_Data_Final[[#This Row],[Title]],[1]!YouTube_University_Data_Final[[Title]:[Title_language]],2,FALSE)</f>
        <v>English</v>
      </c>
      <c r="E1960" t="s">
        <v>2944</v>
      </c>
      <c r="F1960">
        <v>27</v>
      </c>
      <c r="G1960" s="1">
        <v>40966</v>
      </c>
      <c r="H1960">
        <v>327</v>
      </c>
      <c r="I1960" t="s">
        <v>1782</v>
      </c>
      <c r="J1960">
        <v>766</v>
      </c>
      <c r="K1960">
        <v>1</v>
      </c>
      <c r="L1960">
        <v>0</v>
      </c>
      <c r="M1960">
        <v>0</v>
      </c>
      <c r="N1960" t="s">
        <v>162</v>
      </c>
      <c r="O1960">
        <v>2012</v>
      </c>
      <c r="P1960" t="s">
        <v>18</v>
      </c>
    </row>
    <row r="1961" spans="1:16" x14ac:dyDescent="0.3">
      <c r="A1961">
        <v>319</v>
      </c>
      <c r="B1961" t="s">
        <v>1556</v>
      </c>
      <c r="C1961" t="s">
        <v>4650</v>
      </c>
      <c r="D1961" t="str">
        <f>VLOOKUP(YouTube_University_Data_Final[[#This Row],[Title]],[1]!YouTube_University_Data_Final[[Title]:[Title_language]],2,FALSE)</f>
        <v>English</v>
      </c>
      <c r="E1961" t="s">
        <v>2944</v>
      </c>
      <c r="F1961">
        <v>27</v>
      </c>
      <c r="G1961" s="1">
        <v>40966</v>
      </c>
      <c r="H1961">
        <v>533</v>
      </c>
      <c r="I1961" t="s">
        <v>1783</v>
      </c>
      <c r="J1961">
        <v>1000</v>
      </c>
      <c r="K1961">
        <v>11</v>
      </c>
      <c r="L1961">
        <v>0</v>
      </c>
      <c r="M1961">
        <v>0</v>
      </c>
      <c r="N1961" t="s">
        <v>162</v>
      </c>
      <c r="O1961">
        <v>2012</v>
      </c>
      <c r="P1961" t="s">
        <v>18</v>
      </c>
    </row>
    <row r="1962" spans="1:16" x14ac:dyDescent="0.3">
      <c r="A1962">
        <v>320</v>
      </c>
      <c r="B1962" t="s">
        <v>1556</v>
      </c>
      <c r="C1962" t="s">
        <v>1784</v>
      </c>
      <c r="D1962" t="str">
        <f>VLOOKUP(YouTube_University_Data_Final[[#This Row],[Title]],[1]!YouTube_University_Data_Final[[Title]:[Title_language]],2,FALSE)</f>
        <v>English</v>
      </c>
      <c r="E1962" t="s">
        <v>4651</v>
      </c>
      <c r="F1962">
        <v>27</v>
      </c>
      <c r="G1962" s="1">
        <v>40791</v>
      </c>
      <c r="H1962">
        <v>323</v>
      </c>
      <c r="I1962" t="s">
        <v>1785</v>
      </c>
      <c r="J1962">
        <v>14077</v>
      </c>
      <c r="K1962">
        <v>15</v>
      </c>
      <c r="L1962">
        <v>0</v>
      </c>
      <c r="M1962">
        <v>0</v>
      </c>
      <c r="N1962" t="s">
        <v>21</v>
      </c>
      <c r="O1962">
        <v>2011</v>
      </c>
      <c r="P1962" t="s">
        <v>18</v>
      </c>
    </row>
    <row r="1963" spans="1:16" x14ac:dyDescent="0.3">
      <c r="A1963">
        <v>321</v>
      </c>
      <c r="B1963" t="s">
        <v>1556</v>
      </c>
      <c r="C1963" t="s">
        <v>1786</v>
      </c>
      <c r="D1963" t="str">
        <f>VLOOKUP(YouTube_University_Data_Final[[#This Row],[Title]],[1]!YouTube_University_Data_Final[[Title]:[Title_language]],2,FALSE)</f>
        <v>English</v>
      </c>
      <c r="E1963" t="s">
        <v>4652</v>
      </c>
      <c r="F1963">
        <v>27</v>
      </c>
      <c r="G1963" s="1">
        <v>40765</v>
      </c>
      <c r="H1963">
        <v>254</v>
      </c>
      <c r="I1963" t="s">
        <v>1787</v>
      </c>
      <c r="J1963">
        <v>666</v>
      </c>
      <c r="K1963">
        <v>0</v>
      </c>
      <c r="L1963">
        <v>0</v>
      </c>
      <c r="M1963">
        <v>0</v>
      </c>
      <c r="N1963" t="s">
        <v>48</v>
      </c>
      <c r="O1963">
        <v>2011</v>
      </c>
      <c r="P1963" t="s">
        <v>18</v>
      </c>
    </row>
    <row r="1964" spans="1:16" x14ac:dyDescent="0.3">
      <c r="A1964">
        <v>322</v>
      </c>
      <c r="B1964" t="s">
        <v>1556</v>
      </c>
      <c r="C1964" t="s">
        <v>4653</v>
      </c>
      <c r="D1964" t="str">
        <f>VLOOKUP(YouTube_University_Data_Final[[#This Row],[Title]],[1]!YouTube_University_Data_Final[[Title]:[Title_language]],2,FALSE)</f>
        <v>Bilingual</v>
      </c>
      <c r="E1964" t="s">
        <v>4654</v>
      </c>
      <c r="F1964">
        <v>27</v>
      </c>
      <c r="G1964" s="1">
        <v>40729</v>
      </c>
      <c r="H1964">
        <v>198</v>
      </c>
      <c r="I1964" t="s">
        <v>1788</v>
      </c>
      <c r="J1964">
        <v>999</v>
      </c>
      <c r="K1964">
        <v>0</v>
      </c>
      <c r="L1964">
        <v>0</v>
      </c>
      <c r="M1964">
        <v>0</v>
      </c>
      <c r="N1964" t="s">
        <v>56</v>
      </c>
      <c r="O1964">
        <v>2011</v>
      </c>
      <c r="P1964" t="s">
        <v>18</v>
      </c>
    </row>
    <row r="1965" spans="1:16" x14ac:dyDescent="0.3">
      <c r="A1965">
        <v>323</v>
      </c>
      <c r="B1965" t="s">
        <v>1556</v>
      </c>
      <c r="C1965" t="s">
        <v>1789</v>
      </c>
      <c r="D1965" t="str">
        <f>VLOOKUP(YouTube_University_Data_Final[[#This Row],[Title]],[1]!YouTube_University_Data_Final[[Title]:[Title_language]],2,FALSE)</f>
        <v>English</v>
      </c>
      <c r="E1965" t="s">
        <v>4655</v>
      </c>
      <c r="F1965">
        <v>27</v>
      </c>
      <c r="G1965" s="1">
        <v>40690</v>
      </c>
      <c r="H1965">
        <v>164</v>
      </c>
      <c r="I1965" t="s">
        <v>1790</v>
      </c>
      <c r="J1965">
        <v>1076</v>
      </c>
      <c r="K1965">
        <v>0</v>
      </c>
      <c r="L1965">
        <v>0</v>
      </c>
      <c r="M1965">
        <v>0</v>
      </c>
      <c r="N1965" t="s">
        <v>81</v>
      </c>
      <c r="O1965">
        <v>2011</v>
      </c>
      <c r="P1965" t="s">
        <v>18</v>
      </c>
    </row>
    <row r="1966" spans="1:16" x14ac:dyDescent="0.3">
      <c r="A1966">
        <v>324</v>
      </c>
      <c r="B1966" t="s">
        <v>1556</v>
      </c>
      <c r="C1966" t="s">
        <v>1791</v>
      </c>
      <c r="D1966" t="str">
        <f>VLOOKUP(YouTube_University_Data_Final[[#This Row],[Title]],[1]!YouTube_University_Data_Final[[Title]:[Title_language]],2,FALSE)</f>
        <v>English</v>
      </c>
      <c r="E1966" t="s">
        <v>4656</v>
      </c>
      <c r="F1966">
        <v>27</v>
      </c>
      <c r="G1966" s="1">
        <v>40652</v>
      </c>
      <c r="H1966">
        <v>380</v>
      </c>
      <c r="I1966" t="s">
        <v>1792</v>
      </c>
      <c r="J1966">
        <v>2645</v>
      </c>
      <c r="K1966">
        <v>1</v>
      </c>
      <c r="L1966">
        <v>0</v>
      </c>
      <c r="M1966">
        <v>0</v>
      </c>
      <c r="N1966" t="s">
        <v>87</v>
      </c>
      <c r="O1966">
        <v>2011</v>
      </c>
      <c r="P1966" t="s">
        <v>18</v>
      </c>
    </row>
    <row r="1967" spans="1:16" x14ac:dyDescent="0.3">
      <c r="A1967">
        <v>325</v>
      </c>
      <c r="B1967" t="s">
        <v>1556</v>
      </c>
      <c r="C1967" t="s">
        <v>1793</v>
      </c>
      <c r="D1967" t="str">
        <f>VLOOKUP(YouTube_University_Data_Final[[#This Row],[Title]],[1]!YouTube_University_Data_Final[[Title]:[Title_language]],2,FALSE)</f>
        <v>English</v>
      </c>
      <c r="E1967" t="s">
        <v>4657</v>
      </c>
      <c r="F1967">
        <v>27</v>
      </c>
      <c r="G1967" s="1">
        <v>40641</v>
      </c>
      <c r="H1967">
        <v>245</v>
      </c>
      <c r="I1967" t="s">
        <v>1794</v>
      </c>
      <c r="J1967">
        <v>4155</v>
      </c>
      <c r="K1967">
        <v>2</v>
      </c>
      <c r="L1967">
        <v>0</v>
      </c>
      <c r="M1967">
        <v>0</v>
      </c>
      <c r="N1967" t="s">
        <v>87</v>
      </c>
      <c r="O1967">
        <v>2011</v>
      </c>
      <c r="P1967" t="s">
        <v>18</v>
      </c>
    </row>
    <row r="1968" spans="1:16" x14ac:dyDescent="0.3">
      <c r="A1968">
        <v>326</v>
      </c>
      <c r="B1968" t="s">
        <v>1556</v>
      </c>
      <c r="C1968" t="s">
        <v>1795</v>
      </c>
      <c r="D1968" t="str">
        <f>VLOOKUP(YouTube_University_Data_Final[[#This Row],[Title]],[1]!YouTube_University_Data_Final[[Title]:[Title_language]],2,FALSE)</f>
        <v>English</v>
      </c>
      <c r="E1968" t="s">
        <v>4658</v>
      </c>
      <c r="F1968">
        <v>27</v>
      </c>
      <c r="G1968" s="1">
        <v>40603</v>
      </c>
      <c r="H1968">
        <v>256</v>
      </c>
      <c r="I1968" t="s">
        <v>1796</v>
      </c>
      <c r="J1968">
        <v>1505</v>
      </c>
      <c r="K1968">
        <v>0</v>
      </c>
      <c r="L1968">
        <v>0</v>
      </c>
      <c r="M1968">
        <v>0</v>
      </c>
      <c r="N1968" t="s">
        <v>90</v>
      </c>
      <c r="O1968">
        <v>2011</v>
      </c>
      <c r="P1968" t="s">
        <v>18</v>
      </c>
    </row>
    <row r="1969" spans="1:16" x14ac:dyDescent="0.3">
      <c r="A1969">
        <v>327</v>
      </c>
      <c r="B1969" t="s">
        <v>1556</v>
      </c>
      <c r="C1969" t="s">
        <v>4659</v>
      </c>
      <c r="D1969" t="str">
        <f>VLOOKUP(YouTube_University_Data_Final[[#This Row],[Title]],[1]!YouTube_University_Data_Final[[Title]:[Title_language]],2,FALSE)</f>
        <v>English</v>
      </c>
      <c r="E1969" t="s">
        <v>4660</v>
      </c>
      <c r="F1969">
        <v>27</v>
      </c>
      <c r="G1969" s="1">
        <v>40582</v>
      </c>
      <c r="H1969">
        <v>321</v>
      </c>
      <c r="I1969" t="s">
        <v>1797</v>
      </c>
      <c r="J1969">
        <v>1818</v>
      </c>
      <c r="K1969">
        <v>8</v>
      </c>
      <c r="L1969">
        <v>0</v>
      </c>
      <c r="M1969">
        <v>0</v>
      </c>
      <c r="N1969" t="s">
        <v>162</v>
      </c>
      <c r="O1969">
        <v>2011</v>
      </c>
      <c r="P1969" t="s">
        <v>18</v>
      </c>
    </row>
    <row r="1970" spans="1:16" x14ac:dyDescent="0.3">
      <c r="A1970">
        <v>328</v>
      </c>
      <c r="B1970" t="s">
        <v>1556</v>
      </c>
      <c r="C1970" t="s">
        <v>1798</v>
      </c>
      <c r="D1970" t="str">
        <f>VLOOKUP(YouTube_University_Data_Final[[#This Row],[Title]],[1]!YouTube_University_Data_Final[[Title]:[Title_language]],2,FALSE)</f>
        <v>English</v>
      </c>
      <c r="E1970" t="s">
        <v>4661</v>
      </c>
      <c r="F1970">
        <v>27</v>
      </c>
      <c r="G1970" s="1">
        <v>40570</v>
      </c>
      <c r="H1970">
        <v>360</v>
      </c>
      <c r="I1970" t="s">
        <v>1799</v>
      </c>
      <c r="J1970">
        <v>1168</v>
      </c>
      <c r="K1970">
        <v>0</v>
      </c>
      <c r="L1970">
        <v>0</v>
      </c>
      <c r="M1970">
        <v>0</v>
      </c>
      <c r="N1970" t="s">
        <v>93</v>
      </c>
      <c r="O1970">
        <v>2011</v>
      </c>
      <c r="P1970" t="s">
        <v>18</v>
      </c>
    </row>
    <row r="1971" spans="1:16" x14ac:dyDescent="0.3">
      <c r="A1971">
        <v>329</v>
      </c>
      <c r="B1971" t="s">
        <v>1556</v>
      </c>
      <c r="C1971" t="s">
        <v>4662</v>
      </c>
      <c r="D1971" t="str">
        <f>VLOOKUP(YouTube_University_Data_Final[[#This Row],[Title]],[1]!YouTube_University_Data_Final[[Title]:[Title_language]],2,FALSE)</f>
        <v>English</v>
      </c>
      <c r="E1971" t="s">
        <v>4663</v>
      </c>
      <c r="F1971">
        <v>27</v>
      </c>
      <c r="G1971" s="1">
        <v>40561</v>
      </c>
      <c r="H1971">
        <v>265</v>
      </c>
      <c r="I1971" t="s">
        <v>1800</v>
      </c>
      <c r="J1971">
        <v>1293</v>
      </c>
      <c r="K1971">
        <v>5</v>
      </c>
      <c r="L1971">
        <v>0</v>
      </c>
      <c r="M1971">
        <v>0</v>
      </c>
      <c r="N1971" t="s">
        <v>93</v>
      </c>
      <c r="O1971">
        <v>2011</v>
      </c>
      <c r="P1971" t="s">
        <v>18</v>
      </c>
    </row>
    <row r="1972" spans="1:16" x14ac:dyDescent="0.3">
      <c r="A1972">
        <v>330</v>
      </c>
      <c r="B1972" t="s">
        <v>1556</v>
      </c>
      <c r="C1972" t="s">
        <v>1801</v>
      </c>
      <c r="D1972" t="str">
        <f>VLOOKUP(YouTube_University_Data_Final[[#This Row],[Title]],[1]!YouTube_University_Data_Final[[Title]:[Title_language]],2,FALSE)</f>
        <v>English</v>
      </c>
      <c r="E1972" t="s">
        <v>2944</v>
      </c>
      <c r="F1972">
        <v>27</v>
      </c>
      <c r="G1972" s="1">
        <v>40533</v>
      </c>
      <c r="H1972">
        <v>51</v>
      </c>
      <c r="I1972" t="s">
        <v>1802</v>
      </c>
      <c r="J1972">
        <v>1107</v>
      </c>
      <c r="K1972">
        <v>3</v>
      </c>
      <c r="L1972">
        <v>0</v>
      </c>
      <c r="M1972">
        <v>0</v>
      </c>
      <c r="N1972" t="s">
        <v>98</v>
      </c>
      <c r="O1972">
        <v>2010</v>
      </c>
      <c r="P1972" t="s">
        <v>18</v>
      </c>
    </row>
    <row r="1973" spans="1:16" x14ac:dyDescent="0.3">
      <c r="A1973">
        <v>331</v>
      </c>
      <c r="B1973" t="s">
        <v>1556</v>
      </c>
      <c r="C1973" t="s">
        <v>4664</v>
      </c>
      <c r="D1973" t="str">
        <f>VLOOKUP(YouTube_University_Data_Final[[#This Row],[Title]],[1]!YouTube_University_Data_Final[[Title]:[Title_language]],2,FALSE)</f>
        <v>English</v>
      </c>
      <c r="E1973" t="s">
        <v>2944</v>
      </c>
      <c r="F1973">
        <v>27</v>
      </c>
      <c r="G1973" s="1">
        <v>40519</v>
      </c>
      <c r="H1973">
        <v>118</v>
      </c>
      <c r="I1973" t="s">
        <v>1803</v>
      </c>
      <c r="J1973">
        <v>1864</v>
      </c>
      <c r="K1973">
        <v>2</v>
      </c>
      <c r="L1973">
        <v>0</v>
      </c>
      <c r="M1973">
        <v>0</v>
      </c>
      <c r="N1973" t="s">
        <v>98</v>
      </c>
      <c r="O1973">
        <v>2010</v>
      </c>
      <c r="P1973" t="s">
        <v>18</v>
      </c>
    </row>
    <row r="1974" spans="1:16" x14ac:dyDescent="0.3">
      <c r="A1974">
        <v>332</v>
      </c>
      <c r="B1974" t="s">
        <v>1556</v>
      </c>
      <c r="C1974" t="s">
        <v>1804</v>
      </c>
      <c r="D1974" t="str">
        <f>VLOOKUP(YouTube_University_Data_Final[[#This Row],[Title]],[1]!YouTube_University_Data_Final[[Title]:[Title_language]],2,FALSE)</f>
        <v>English</v>
      </c>
      <c r="E1974" t="s">
        <v>2944</v>
      </c>
      <c r="F1974">
        <v>27</v>
      </c>
      <c r="G1974" s="1">
        <v>40457</v>
      </c>
      <c r="H1974">
        <v>387</v>
      </c>
      <c r="I1974" t="s">
        <v>1805</v>
      </c>
      <c r="J1974">
        <v>2751</v>
      </c>
      <c r="K1974">
        <v>3</v>
      </c>
      <c r="L1974">
        <v>0</v>
      </c>
      <c r="M1974">
        <v>0</v>
      </c>
      <c r="N1974" t="s">
        <v>17</v>
      </c>
      <c r="O1974">
        <v>2010</v>
      </c>
      <c r="P1974" t="s">
        <v>18</v>
      </c>
    </row>
    <row r="1975" spans="1:16" x14ac:dyDescent="0.3">
      <c r="A1975">
        <v>333</v>
      </c>
      <c r="B1975" t="s">
        <v>1556</v>
      </c>
      <c r="C1975" t="s">
        <v>1806</v>
      </c>
      <c r="D1975" t="str">
        <f>VLOOKUP(YouTube_University_Data_Final[[#This Row],[Title]],[1]!YouTube_University_Data_Final[[Title]:[Title_language]],2,FALSE)</f>
        <v>English</v>
      </c>
      <c r="E1975" t="s">
        <v>2944</v>
      </c>
      <c r="F1975">
        <v>27</v>
      </c>
      <c r="G1975" s="1">
        <v>40421</v>
      </c>
      <c r="H1975">
        <v>158</v>
      </c>
      <c r="I1975" t="s">
        <v>1807</v>
      </c>
      <c r="J1975">
        <v>1037</v>
      </c>
      <c r="K1975">
        <v>1</v>
      </c>
      <c r="L1975">
        <v>0</v>
      </c>
      <c r="M1975">
        <v>0</v>
      </c>
      <c r="N1975" t="s">
        <v>48</v>
      </c>
      <c r="O1975">
        <v>2010</v>
      </c>
      <c r="P1975" t="s">
        <v>18</v>
      </c>
    </row>
    <row r="1976" spans="1:16" x14ac:dyDescent="0.3">
      <c r="A1976">
        <v>334</v>
      </c>
      <c r="B1976" t="s">
        <v>1556</v>
      </c>
      <c r="C1976" t="s">
        <v>1808</v>
      </c>
      <c r="D1976" t="str">
        <f>VLOOKUP(YouTube_University_Data_Final[[#This Row],[Title]],[1]!YouTube_University_Data_Final[[Title]:[Title_language]],2,FALSE)</f>
        <v>English</v>
      </c>
      <c r="E1976" t="s">
        <v>2944</v>
      </c>
      <c r="F1976">
        <v>27</v>
      </c>
      <c r="G1976" s="1">
        <v>40396</v>
      </c>
      <c r="H1976">
        <v>212</v>
      </c>
      <c r="I1976" t="s">
        <v>1809</v>
      </c>
      <c r="J1976">
        <v>4305</v>
      </c>
      <c r="K1976">
        <v>1</v>
      </c>
      <c r="L1976">
        <v>0</v>
      </c>
      <c r="M1976">
        <v>0</v>
      </c>
      <c r="N1976" t="s">
        <v>48</v>
      </c>
      <c r="O1976">
        <v>2010</v>
      </c>
      <c r="P1976" t="s">
        <v>18</v>
      </c>
    </row>
    <row r="1977" spans="1:16" x14ac:dyDescent="0.3">
      <c r="A1977">
        <v>335</v>
      </c>
      <c r="B1977" t="s">
        <v>1556</v>
      </c>
      <c r="C1977" t="s">
        <v>1810</v>
      </c>
      <c r="D1977" t="str">
        <f>VLOOKUP(YouTube_University_Data_Final[[#This Row],[Title]],[1]!YouTube_University_Data_Final[[Title]:[Title_language]],2,FALSE)</f>
        <v>English</v>
      </c>
      <c r="E1977" t="s">
        <v>2944</v>
      </c>
      <c r="F1977">
        <v>27</v>
      </c>
      <c r="G1977" s="1">
        <v>40379</v>
      </c>
      <c r="H1977">
        <v>96</v>
      </c>
      <c r="I1977" t="s">
        <v>1811</v>
      </c>
      <c r="J1977">
        <v>382</v>
      </c>
      <c r="K1977">
        <v>0</v>
      </c>
      <c r="L1977">
        <v>0</v>
      </c>
      <c r="M1977">
        <v>0</v>
      </c>
      <c r="N1977" t="s">
        <v>56</v>
      </c>
      <c r="O1977">
        <v>2010</v>
      </c>
      <c r="P1977" t="s">
        <v>18</v>
      </c>
    </row>
    <row r="1978" spans="1:16" x14ac:dyDescent="0.3">
      <c r="A1978">
        <v>336</v>
      </c>
      <c r="B1978" t="s">
        <v>1556</v>
      </c>
      <c r="C1978" t="s">
        <v>1812</v>
      </c>
      <c r="D1978" t="str">
        <f>VLOOKUP(YouTube_University_Data_Final[[#This Row],[Title]],[1]!YouTube_University_Data_Final[[Title]:[Title_language]],2,FALSE)</f>
        <v>English</v>
      </c>
      <c r="E1978" t="s">
        <v>2944</v>
      </c>
      <c r="F1978">
        <v>27</v>
      </c>
      <c r="G1978" s="1">
        <v>40350</v>
      </c>
      <c r="H1978">
        <v>195</v>
      </c>
      <c r="I1978" t="s">
        <v>1813</v>
      </c>
      <c r="J1978">
        <v>1264</v>
      </c>
      <c r="K1978">
        <v>0</v>
      </c>
      <c r="L1978">
        <v>0</v>
      </c>
      <c r="M1978">
        <v>0</v>
      </c>
      <c r="N1978" t="s">
        <v>78</v>
      </c>
      <c r="O1978">
        <v>2010</v>
      </c>
      <c r="P1978" t="s">
        <v>18</v>
      </c>
    </row>
    <row r="1979" spans="1:16" x14ac:dyDescent="0.3">
      <c r="A1979">
        <v>337</v>
      </c>
      <c r="B1979" t="s">
        <v>1556</v>
      </c>
      <c r="C1979" t="s">
        <v>1814</v>
      </c>
      <c r="D1979" t="str">
        <f>VLOOKUP(YouTube_University_Data_Final[[#This Row],[Title]],[1]!YouTube_University_Data_Final[[Title]:[Title_language]],2,FALSE)</f>
        <v>English</v>
      </c>
      <c r="E1979" t="s">
        <v>2944</v>
      </c>
      <c r="F1979">
        <v>27</v>
      </c>
      <c r="G1979" s="1">
        <v>40317</v>
      </c>
      <c r="H1979">
        <v>155</v>
      </c>
      <c r="I1979" t="s">
        <v>1815</v>
      </c>
      <c r="J1979">
        <v>1823</v>
      </c>
      <c r="K1979">
        <v>0</v>
      </c>
      <c r="L1979">
        <v>0</v>
      </c>
      <c r="M1979">
        <v>0</v>
      </c>
      <c r="N1979" t="s">
        <v>81</v>
      </c>
      <c r="O1979">
        <v>2010</v>
      </c>
      <c r="P1979" t="s">
        <v>18</v>
      </c>
    </row>
    <row r="1980" spans="1:16" x14ac:dyDescent="0.3">
      <c r="A1980">
        <v>338</v>
      </c>
      <c r="B1980" t="s">
        <v>1556</v>
      </c>
      <c r="C1980" t="s">
        <v>1816</v>
      </c>
      <c r="D1980" t="str">
        <f>VLOOKUP(YouTube_University_Data_Final[[#This Row],[Title]],[1]!YouTube_University_Data_Final[[Title]:[Title_language]],2,FALSE)</f>
        <v>English</v>
      </c>
      <c r="E1980" t="s">
        <v>2944</v>
      </c>
      <c r="F1980">
        <v>27</v>
      </c>
      <c r="G1980" s="1">
        <v>40305</v>
      </c>
      <c r="H1980">
        <v>223</v>
      </c>
      <c r="I1980" t="s">
        <v>1817</v>
      </c>
      <c r="J1980">
        <v>2312</v>
      </c>
      <c r="K1980">
        <v>4</v>
      </c>
      <c r="L1980">
        <v>0</v>
      </c>
      <c r="M1980">
        <v>0</v>
      </c>
      <c r="N1980" t="s">
        <v>81</v>
      </c>
      <c r="O1980">
        <v>2010</v>
      </c>
      <c r="P1980" t="s">
        <v>18</v>
      </c>
    </row>
    <row r="1981" spans="1:16" x14ac:dyDescent="0.3">
      <c r="A1981">
        <v>339</v>
      </c>
      <c r="B1981" t="s">
        <v>1556</v>
      </c>
      <c r="C1981" t="s">
        <v>1818</v>
      </c>
      <c r="D1981" t="str">
        <f>VLOOKUP(YouTube_University_Data_Final[[#This Row],[Title]],[1]!YouTube_University_Data_Final[[Title]:[Title_language]],2,FALSE)</f>
        <v>English</v>
      </c>
      <c r="E1981" t="s">
        <v>2944</v>
      </c>
      <c r="F1981">
        <v>27</v>
      </c>
      <c r="G1981" s="1">
        <v>40242</v>
      </c>
      <c r="H1981">
        <v>232</v>
      </c>
      <c r="I1981" t="s">
        <v>1819</v>
      </c>
      <c r="J1981">
        <v>2479</v>
      </c>
      <c r="K1981">
        <v>0</v>
      </c>
      <c r="L1981">
        <v>0</v>
      </c>
      <c r="M1981">
        <v>0</v>
      </c>
      <c r="N1981" t="s">
        <v>90</v>
      </c>
      <c r="O1981">
        <v>2010</v>
      </c>
      <c r="P1981" t="s">
        <v>18</v>
      </c>
    </row>
    <row r="1982" spans="1:16" x14ac:dyDescent="0.3">
      <c r="A1982">
        <v>340</v>
      </c>
      <c r="B1982" t="s">
        <v>1556</v>
      </c>
      <c r="C1982" t="s">
        <v>1820</v>
      </c>
      <c r="D1982" t="str">
        <f>VLOOKUP(YouTube_University_Data_Final[[#This Row],[Title]],[1]!YouTube_University_Data_Final[[Title]:[Title_language]],2,FALSE)</f>
        <v>English</v>
      </c>
      <c r="E1982" t="s">
        <v>470</v>
      </c>
      <c r="F1982">
        <v>27</v>
      </c>
      <c r="G1982" s="1">
        <v>40221</v>
      </c>
      <c r="H1982">
        <v>239</v>
      </c>
      <c r="I1982" t="s">
        <v>1440</v>
      </c>
      <c r="J1982">
        <v>262</v>
      </c>
      <c r="K1982">
        <v>1</v>
      </c>
      <c r="L1982">
        <v>0</v>
      </c>
      <c r="M1982">
        <v>0</v>
      </c>
      <c r="N1982" t="s">
        <v>162</v>
      </c>
      <c r="O1982">
        <v>2010</v>
      </c>
      <c r="P1982" t="s">
        <v>18</v>
      </c>
    </row>
    <row r="1983" spans="1:16" x14ac:dyDescent="0.3">
      <c r="A1983">
        <v>341</v>
      </c>
      <c r="B1983" t="s">
        <v>1556</v>
      </c>
      <c r="C1983" t="s">
        <v>1821</v>
      </c>
      <c r="D1983" t="str">
        <f>VLOOKUP(YouTube_University_Data_Final[[#This Row],[Title]],[1]!YouTube_University_Data_Final[[Title]:[Title_language]],2,FALSE)</f>
        <v>English</v>
      </c>
      <c r="E1983" t="s">
        <v>2944</v>
      </c>
      <c r="F1983">
        <v>27</v>
      </c>
      <c r="G1983" s="1">
        <v>40221</v>
      </c>
      <c r="H1983">
        <v>314</v>
      </c>
      <c r="I1983" t="s">
        <v>1822</v>
      </c>
      <c r="J1983">
        <v>887</v>
      </c>
      <c r="K1983">
        <v>1</v>
      </c>
      <c r="L1983">
        <v>0</v>
      </c>
      <c r="M1983">
        <v>0</v>
      </c>
      <c r="N1983" t="s">
        <v>162</v>
      </c>
      <c r="O1983">
        <v>2010</v>
      </c>
      <c r="P1983" t="s">
        <v>18</v>
      </c>
    </row>
    <row r="1984" spans="1:16" x14ac:dyDescent="0.3">
      <c r="A1984">
        <v>342</v>
      </c>
      <c r="B1984" t="s">
        <v>1556</v>
      </c>
      <c r="C1984" t="s">
        <v>1823</v>
      </c>
      <c r="D1984" t="str">
        <f>VLOOKUP(YouTube_University_Data_Final[[#This Row],[Title]],[1]!YouTube_University_Data_Final[[Title]:[Title_language]],2,FALSE)</f>
        <v>English</v>
      </c>
      <c r="E1984" t="s">
        <v>2944</v>
      </c>
      <c r="F1984">
        <v>27</v>
      </c>
      <c r="G1984" s="1">
        <v>40221</v>
      </c>
      <c r="H1984">
        <v>133</v>
      </c>
      <c r="I1984" t="s">
        <v>1824</v>
      </c>
      <c r="J1984">
        <v>827</v>
      </c>
      <c r="K1984">
        <v>0</v>
      </c>
      <c r="L1984">
        <v>0</v>
      </c>
      <c r="M1984">
        <v>0</v>
      </c>
      <c r="N1984" t="s">
        <v>162</v>
      </c>
      <c r="O1984">
        <v>2010</v>
      </c>
      <c r="P1984" t="s">
        <v>18</v>
      </c>
    </row>
    <row r="1985" spans="1:16" x14ac:dyDescent="0.3">
      <c r="A1985">
        <v>343</v>
      </c>
      <c r="B1985" t="s">
        <v>1556</v>
      </c>
      <c r="C1985" t="s">
        <v>1825</v>
      </c>
      <c r="D1985" t="str">
        <f>VLOOKUP(YouTube_University_Data_Final[[#This Row],[Title]],[1]!YouTube_University_Data_Final[[Title]:[Title_language]],2,FALSE)</f>
        <v>English</v>
      </c>
      <c r="E1985" t="s">
        <v>2944</v>
      </c>
      <c r="F1985">
        <v>27</v>
      </c>
      <c r="G1985" s="1">
        <v>40210</v>
      </c>
      <c r="H1985">
        <v>571</v>
      </c>
      <c r="I1985" t="s">
        <v>1826</v>
      </c>
      <c r="J1985">
        <v>522</v>
      </c>
      <c r="K1985">
        <v>3</v>
      </c>
      <c r="L1985">
        <v>0</v>
      </c>
      <c r="M1985">
        <v>0</v>
      </c>
      <c r="N1985" t="s">
        <v>162</v>
      </c>
      <c r="O1985">
        <v>2010</v>
      </c>
      <c r="P1985" t="s">
        <v>18</v>
      </c>
    </row>
    <row r="1986" spans="1:16" x14ac:dyDescent="0.3">
      <c r="A1986">
        <v>344</v>
      </c>
      <c r="B1986" t="s">
        <v>1556</v>
      </c>
      <c r="C1986" t="s">
        <v>1827</v>
      </c>
      <c r="D1986" t="str">
        <f>VLOOKUP(YouTube_University_Data_Final[[#This Row],[Title]],[1]!YouTube_University_Data_Final[[Title]:[Title_language]],2,FALSE)</f>
        <v>English</v>
      </c>
      <c r="E1986" t="s">
        <v>2944</v>
      </c>
      <c r="F1986">
        <v>27</v>
      </c>
      <c r="G1986" s="1">
        <v>40210</v>
      </c>
      <c r="H1986">
        <v>532</v>
      </c>
      <c r="I1986" t="s">
        <v>1828</v>
      </c>
      <c r="J1986">
        <v>125</v>
      </c>
      <c r="K1986">
        <v>1</v>
      </c>
      <c r="L1986">
        <v>0</v>
      </c>
      <c r="M1986">
        <v>0</v>
      </c>
      <c r="N1986" t="s">
        <v>162</v>
      </c>
      <c r="O1986">
        <v>2010</v>
      </c>
      <c r="P1986" t="s">
        <v>18</v>
      </c>
    </row>
    <row r="1987" spans="1:16" x14ac:dyDescent="0.3">
      <c r="A1987">
        <v>345</v>
      </c>
      <c r="B1987" t="s">
        <v>1556</v>
      </c>
      <c r="C1987" t="s">
        <v>1829</v>
      </c>
      <c r="D1987" t="str">
        <f>VLOOKUP(YouTube_University_Data_Final[[#This Row],[Title]],[1]!YouTube_University_Data_Final[[Title]:[Title_language]],2,FALSE)</f>
        <v>English</v>
      </c>
      <c r="E1987" t="s">
        <v>2944</v>
      </c>
      <c r="F1987">
        <v>27</v>
      </c>
      <c r="G1987" s="1">
        <v>40203</v>
      </c>
      <c r="H1987">
        <v>167</v>
      </c>
      <c r="I1987" t="s">
        <v>1830</v>
      </c>
      <c r="J1987">
        <v>644</v>
      </c>
      <c r="K1987">
        <v>0</v>
      </c>
      <c r="L1987">
        <v>0</v>
      </c>
      <c r="M1987">
        <v>0</v>
      </c>
      <c r="N1987" t="s">
        <v>93</v>
      </c>
      <c r="O1987">
        <v>2010</v>
      </c>
      <c r="P1987" t="s">
        <v>18</v>
      </c>
    </row>
    <row r="1988" spans="1:16" x14ac:dyDescent="0.3">
      <c r="A1988">
        <v>346</v>
      </c>
      <c r="B1988" t="s">
        <v>1556</v>
      </c>
      <c r="C1988" t="s">
        <v>1831</v>
      </c>
      <c r="D1988" t="str">
        <f>VLOOKUP(YouTube_University_Data_Final[[#This Row],[Title]],[1]!YouTube_University_Data_Final[[Title]:[Title_language]],2,FALSE)</f>
        <v>English</v>
      </c>
      <c r="E1988" t="s">
        <v>2944</v>
      </c>
      <c r="F1988">
        <v>27</v>
      </c>
      <c r="G1988" s="1">
        <v>40203</v>
      </c>
      <c r="H1988">
        <v>272</v>
      </c>
      <c r="I1988" t="s">
        <v>1832</v>
      </c>
      <c r="J1988">
        <v>479</v>
      </c>
      <c r="K1988">
        <v>3</v>
      </c>
      <c r="L1988">
        <v>0</v>
      </c>
      <c r="M1988">
        <v>0</v>
      </c>
      <c r="N1988" t="s">
        <v>93</v>
      </c>
      <c r="O1988">
        <v>2010</v>
      </c>
      <c r="P1988" t="s">
        <v>18</v>
      </c>
    </row>
    <row r="1989" spans="1:16" x14ac:dyDescent="0.3">
      <c r="A1989">
        <v>347</v>
      </c>
      <c r="B1989" t="s">
        <v>1556</v>
      </c>
      <c r="C1989" t="s">
        <v>1833</v>
      </c>
      <c r="D1989" t="str">
        <f>VLOOKUP(YouTube_University_Data_Final[[#This Row],[Title]],[1]!YouTube_University_Data_Final[[Title]:[Title_language]],2,FALSE)</f>
        <v>English</v>
      </c>
      <c r="E1989" t="s">
        <v>2944</v>
      </c>
      <c r="F1989">
        <v>27</v>
      </c>
      <c r="G1989" s="1">
        <v>40198</v>
      </c>
      <c r="H1989">
        <v>421</v>
      </c>
      <c r="I1989" t="s">
        <v>1834</v>
      </c>
      <c r="J1989">
        <v>2290</v>
      </c>
      <c r="K1989">
        <v>1</v>
      </c>
      <c r="L1989">
        <v>0</v>
      </c>
      <c r="M1989">
        <v>0</v>
      </c>
      <c r="N1989" t="s">
        <v>93</v>
      </c>
      <c r="O1989">
        <v>2010</v>
      </c>
      <c r="P1989" t="s">
        <v>18</v>
      </c>
    </row>
    <row r="1990" spans="1:16" x14ac:dyDescent="0.3">
      <c r="A1990">
        <v>348</v>
      </c>
      <c r="B1990" t="s">
        <v>1556</v>
      </c>
      <c r="C1990" t="s">
        <v>1835</v>
      </c>
      <c r="D1990" t="str">
        <f>VLOOKUP(YouTube_University_Data_Final[[#This Row],[Title]],[1]!YouTube_University_Data_Final[[Title]:[Title_language]],2,FALSE)</f>
        <v>English</v>
      </c>
      <c r="E1990" t="s">
        <v>2944</v>
      </c>
      <c r="F1990">
        <v>27</v>
      </c>
      <c r="G1990" s="1">
        <v>40170</v>
      </c>
      <c r="H1990">
        <v>82</v>
      </c>
      <c r="I1990" t="s">
        <v>1836</v>
      </c>
      <c r="J1990">
        <v>957</v>
      </c>
      <c r="K1990">
        <v>3</v>
      </c>
      <c r="L1990">
        <v>0</v>
      </c>
      <c r="M1990">
        <v>0</v>
      </c>
      <c r="N1990" t="s">
        <v>98</v>
      </c>
      <c r="O1990">
        <v>2009</v>
      </c>
      <c r="P1990" t="s">
        <v>18</v>
      </c>
    </row>
    <row r="1991" spans="1:16" x14ac:dyDescent="0.3">
      <c r="A1991">
        <v>349</v>
      </c>
      <c r="B1991" t="s">
        <v>1556</v>
      </c>
      <c r="C1991" t="s">
        <v>4665</v>
      </c>
      <c r="D1991" t="str">
        <f>VLOOKUP(YouTube_University_Data_Final[[#This Row],[Title]],[1]!YouTube_University_Data_Final[[Title]:[Title_language]],2,FALSE)</f>
        <v>Chinese</v>
      </c>
      <c r="E1991" t="s">
        <v>4666</v>
      </c>
      <c r="F1991">
        <v>27</v>
      </c>
      <c r="G1991" s="1">
        <v>40162</v>
      </c>
      <c r="H1991">
        <v>271</v>
      </c>
      <c r="I1991" t="s">
        <v>4667</v>
      </c>
      <c r="J1991">
        <v>254</v>
      </c>
      <c r="K1991">
        <v>1</v>
      </c>
      <c r="L1991">
        <v>0</v>
      </c>
      <c r="M1991">
        <v>0</v>
      </c>
      <c r="N1991" t="s">
        <v>98</v>
      </c>
      <c r="O1991">
        <v>2009</v>
      </c>
      <c r="P1991" t="s">
        <v>18</v>
      </c>
    </row>
    <row r="1992" spans="1:16" x14ac:dyDescent="0.3">
      <c r="A1992">
        <v>350</v>
      </c>
      <c r="B1992" t="s">
        <v>1556</v>
      </c>
      <c r="C1992" t="s">
        <v>4668</v>
      </c>
      <c r="D1992" t="str">
        <f>VLOOKUP(YouTube_University_Data_Final[[#This Row],[Title]],[1]!YouTube_University_Data_Final[[Title]:[Title_language]],2,FALSE)</f>
        <v>Chinese</v>
      </c>
      <c r="E1992" t="s">
        <v>4666</v>
      </c>
      <c r="F1992">
        <v>27</v>
      </c>
      <c r="G1992" s="1">
        <v>40162</v>
      </c>
      <c r="H1992">
        <v>173</v>
      </c>
      <c r="I1992" t="s">
        <v>4669</v>
      </c>
      <c r="J1992">
        <v>2494</v>
      </c>
      <c r="K1992">
        <v>9</v>
      </c>
      <c r="L1992">
        <v>0</v>
      </c>
      <c r="M1992">
        <v>0</v>
      </c>
      <c r="N1992" t="s">
        <v>98</v>
      </c>
      <c r="O1992">
        <v>2009</v>
      </c>
      <c r="P1992" t="s">
        <v>18</v>
      </c>
    </row>
    <row r="1993" spans="1:16" x14ac:dyDescent="0.3">
      <c r="A1993">
        <v>351</v>
      </c>
      <c r="B1993" t="s">
        <v>1556</v>
      </c>
      <c r="C1993" t="s">
        <v>4670</v>
      </c>
      <c r="D1993" t="str">
        <f>VLOOKUP(YouTube_University_Data_Final[[#This Row],[Title]],[1]!YouTube_University_Data_Final[[Title]:[Title_language]],2,FALSE)</f>
        <v>Chinese</v>
      </c>
      <c r="E1993" t="s">
        <v>4666</v>
      </c>
      <c r="F1993">
        <v>27</v>
      </c>
      <c r="G1993" s="1">
        <v>40162</v>
      </c>
      <c r="H1993">
        <v>328</v>
      </c>
      <c r="I1993" t="s">
        <v>4671</v>
      </c>
      <c r="J1993">
        <v>213</v>
      </c>
      <c r="K1993">
        <v>1</v>
      </c>
      <c r="L1993">
        <v>0</v>
      </c>
      <c r="M1993">
        <v>0</v>
      </c>
      <c r="N1993" t="s">
        <v>98</v>
      </c>
      <c r="O1993">
        <v>2009</v>
      </c>
      <c r="P1993" t="s">
        <v>18</v>
      </c>
    </row>
    <row r="1994" spans="1:16" x14ac:dyDescent="0.3">
      <c r="A1994">
        <v>352</v>
      </c>
      <c r="B1994" t="s">
        <v>1556</v>
      </c>
      <c r="C1994" t="s">
        <v>4672</v>
      </c>
      <c r="D1994" t="str">
        <f>VLOOKUP(YouTube_University_Data_Final[[#This Row],[Title]],[1]!YouTube_University_Data_Final[[Title]:[Title_language]],2,FALSE)</f>
        <v>Chinese</v>
      </c>
      <c r="E1994" t="s">
        <v>4673</v>
      </c>
      <c r="F1994">
        <v>27</v>
      </c>
      <c r="G1994" s="1">
        <v>40150</v>
      </c>
      <c r="H1994">
        <v>194</v>
      </c>
      <c r="I1994" t="s">
        <v>4674</v>
      </c>
      <c r="J1994">
        <v>282</v>
      </c>
      <c r="K1994">
        <v>2</v>
      </c>
      <c r="L1994">
        <v>0</v>
      </c>
      <c r="M1994">
        <v>0</v>
      </c>
      <c r="N1994" t="s">
        <v>98</v>
      </c>
      <c r="O1994">
        <v>2009</v>
      </c>
      <c r="P1994" t="s">
        <v>18</v>
      </c>
    </row>
    <row r="1995" spans="1:16" x14ac:dyDescent="0.3">
      <c r="A1995">
        <v>353</v>
      </c>
      <c r="B1995" t="s">
        <v>1556</v>
      </c>
      <c r="C1995" t="s">
        <v>4675</v>
      </c>
      <c r="D1995" t="str">
        <f>VLOOKUP(YouTube_University_Data_Final[[#This Row],[Title]],[1]!YouTube_University_Data_Final[[Title]:[Title_language]],2,FALSE)</f>
        <v>Chinese</v>
      </c>
      <c r="E1995" t="s">
        <v>4673</v>
      </c>
      <c r="F1995">
        <v>27</v>
      </c>
      <c r="G1995" s="1">
        <v>40150</v>
      </c>
      <c r="H1995">
        <v>282</v>
      </c>
      <c r="I1995" t="s">
        <v>4676</v>
      </c>
      <c r="J1995">
        <v>863</v>
      </c>
      <c r="K1995">
        <v>4</v>
      </c>
      <c r="L1995">
        <v>0</v>
      </c>
      <c r="M1995">
        <v>0</v>
      </c>
      <c r="N1995" t="s">
        <v>98</v>
      </c>
      <c r="O1995">
        <v>2009</v>
      </c>
      <c r="P1995" t="s">
        <v>18</v>
      </c>
    </row>
    <row r="1996" spans="1:16" x14ac:dyDescent="0.3">
      <c r="A1996">
        <v>354</v>
      </c>
      <c r="B1996" t="s">
        <v>1556</v>
      </c>
      <c r="C1996" t="s">
        <v>4677</v>
      </c>
      <c r="D1996" t="str">
        <f>VLOOKUP(YouTube_University_Data_Final[[#This Row],[Title]],[1]!YouTube_University_Data_Final[[Title]:[Title_language]],2,FALSE)</f>
        <v>Chinese</v>
      </c>
      <c r="E1996" t="s">
        <v>4673</v>
      </c>
      <c r="F1996">
        <v>27</v>
      </c>
      <c r="G1996" s="1">
        <v>40150</v>
      </c>
      <c r="H1996">
        <v>225</v>
      </c>
      <c r="I1996" t="s">
        <v>4676</v>
      </c>
      <c r="J1996">
        <v>262</v>
      </c>
      <c r="K1996">
        <v>2</v>
      </c>
      <c r="L1996">
        <v>0</v>
      </c>
      <c r="M1996">
        <v>0</v>
      </c>
      <c r="N1996" t="s">
        <v>98</v>
      </c>
      <c r="O1996">
        <v>2009</v>
      </c>
      <c r="P1996" t="s">
        <v>18</v>
      </c>
    </row>
    <row r="1997" spans="1:16" x14ac:dyDescent="0.3">
      <c r="A1997">
        <v>355</v>
      </c>
      <c r="B1997" t="s">
        <v>1556</v>
      </c>
      <c r="C1997" t="s">
        <v>1837</v>
      </c>
      <c r="D1997" t="str">
        <f>VLOOKUP(YouTube_University_Data_Final[[#This Row],[Title]],[1]!YouTube_University_Data_Final[[Title]:[Title_language]],2,FALSE)</f>
        <v>English</v>
      </c>
      <c r="E1997" t="s">
        <v>470</v>
      </c>
      <c r="F1997">
        <v>27</v>
      </c>
      <c r="G1997" s="1">
        <v>40150</v>
      </c>
      <c r="H1997">
        <v>186</v>
      </c>
      <c r="I1997" t="s">
        <v>1838</v>
      </c>
      <c r="J1997">
        <v>638</v>
      </c>
      <c r="K1997">
        <v>3</v>
      </c>
      <c r="L1997">
        <v>0</v>
      </c>
      <c r="M1997">
        <v>0</v>
      </c>
      <c r="N1997" t="s">
        <v>98</v>
      </c>
      <c r="O1997">
        <v>2009</v>
      </c>
      <c r="P1997" t="s">
        <v>18</v>
      </c>
    </row>
    <row r="1998" spans="1:16" x14ac:dyDescent="0.3">
      <c r="A1998">
        <v>356</v>
      </c>
      <c r="B1998" t="s">
        <v>1556</v>
      </c>
      <c r="C1998" t="s">
        <v>1839</v>
      </c>
      <c r="D1998" t="str">
        <f>VLOOKUP(YouTube_University_Data_Final[[#This Row],[Title]],[1]!YouTube_University_Data_Final[[Title]:[Title_language]],2,FALSE)</f>
        <v>English</v>
      </c>
      <c r="E1998" t="s">
        <v>2944</v>
      </c>
      <c r="F1998">
        <v>27</v>
      </c>
      <c r="G1998" s="1">
        <v>40144</v>
      </c>
      <c r="H1998">
        <v>133</v>
      </c>
      <c r="I1998" t="s">
        <v>1840</v>
      </c>
      <c r="J1998">
        <v>230</v>
      </c>
      <c r="K1998">
        <v>0</v>
      </c>
      <c r="L1998">
        <v>0</v>
      </c>
      <c r="M1998">
        <v>0</v>
      </c>
      <c r="N1998" t="s">
        <v>101</v>
      </c>
      <c r="O1998">
        <v>2009</v>
      </c>
      <c r="P1998" t="s">
        <v>18</v>
      </c>
    </row>
    <row r="1999" spans="1:16" x14ac:dyDescent="0.3">
      <c r="A1999">
        <v>357</v>
      </c>
      <c r="B1999" t="s">
        <v>1556</v>
      </c>
      <c r="C1999" t="s">
        <v>4678</v>
      </c>
      <c r="D1999" t="str">
        <f>VLOOKUP(YouTube_University_Data_Final[[#This Row],[Title]],[1]!YouTube_University_Data_Final[[Title]:[Title_language]],2,FALSE)</f>
        <v>Chinese</v>
      </c>
      <c r="E1999" t="s">
        <v>4673</v>
      </c>
      <c r="F1999">
        <v>27</v>
      </c>
      <c r="G1999" s="1">
        <v>40144</v>
      </c>
      <c r="H1999">
        <v>332</v>
      </c>
      <c r="I1999" t="s">
        <v>4679</v>
      </c>
      <c r="J1999">
        <v>406</v>
      </c>
      <c r="K1999">
        <v>3</v>
      </c>
      <c r="L1999">
        <v>0</v>
      </c>
      <c r="M1999">
        <v>0</v>
      </c>
      <c r="N1999" t="s">
        <v>101</v>
      </c>
      <c r="O1999">
        <v>2009</v>
      </c>
      <c r="P1999" t="s">
        <v>18</v>
      </c>
    </row>
    <row r="2000" spans="1:16" x14ac:dyDescent="0.3">
      <c r="A2000">
        <v>358</v>
      </c>
      <c r="B2000" t="s">
        <v>1556</v>
      </c>
      <c r="C2000" t="s">
        <v>4680</v>
      </c>
      <c r="D2000" t="str">
        <f>VLOOKUP(YouTube_University_Data_Final[[#This Row],[Title]],[1]!YouTube_University_Data_Final[[Title]:[Title_language]],2,FALSE)</f>
        <v>Chinese</v>
      </c>
      <c r="E2000" t="s">
        <v>4673</v>
      </c>
      <c r="F2000">
        <v>27</v>
      </c>
      <c r="G2000" s="1">
        <v>40144</v>
      </c>
      <c r="H2000">
        <v>224</v>
      </c>
      <c r="I2000" t="s">
        <v>4679</v>
      </c>
      <c r="J2000">
        <v>1087</v>
      </c>
      <c r="K2000">
        <v>5</v>
      </c>
      <c r="L2000">
        <v>0</v>
      </c>
      <c r="M2000">
        <v>0</v>
      </c>
      <c r="N2000" t="s">
        <v>101</v>
      </c>
      <c r="O2000">
        <v>2009</v>
      </c>
      <c r="P2000" t="s">
        <v>18</v>
      </c>
    </row>
    <row r="2001" spans="1:16" x14ac:dyDescent="0.3">
      <c r="A2001">
        <v>359</v>
      </c>
      <c r="B2001" t="s">
        <v>1556</v>
      </c>
      <c r="C2001" t="s">
        <v>4681</v>
      </c>
      <c r="D2001" t="str">
        <f>VLOOKUP(YouTube_University_Data_Final[[#This Row],[Title]],[1]!YouTube_University_Data_Final[[Title]:[Title_language]],2,FALSE)</f>
        <v>Chinese</v>
      </c>
      <c r="E2001" t="s">
        <v>4673</v>
      </c>
      <c r="F2001">
        <v>27</v>
      </c>
      <c r="G2001" s="1">
        <v>40144</v>
      </c>
      <c r="H2001">
        <v>154</v>
      </c>
      <c r="I2001" t="s">
        <v>4679</v>
      </c>
      <c r="J2001">
        <v>911</v>
      </c>
      <c r="K2001">
        <v>4</v>
      </c>
      <c r="L2001">
        <v>0</v>
      </c>
      <c r="M2001">
        <v>0</v>
      </c>
      <c r="N2001" t="s">
        <v>101</v>
      </c>
      <c r="O2001">
        <v>2009</v>
      </c>
      <c r="P2001" t="s">
        <v>18</v>
      </c>
    </row>
    <row r="2002" spans="1:16" x14ac:dyDescent="0.3">
      <c r="A2002">
        <v>360</v>
      </c>
      <c r="B2002" t="s">
        <v>1556</v>
      </c>
      <c r="C2002" t="s">
        <v>4682</v>
      </c>
      <c r="D2002" t="str">
        <f>VLOOKUP(YouTube_University_Data_Final[[#This Row],[Title]],[1]!YouTube_University_Data_Final[[Title]:[Title_language]],2,FALSE)</f>
        <v>Chinese</v>
      </c>
      <c r="E2002" t="s">
        <v>4683</v>
      </c>
      <c r="F2002">
        <v>27</v>
      </c>
      <c r="G2002" s="1">
        <v>40135</v>
      </c>
      <c r="H2002">
        <v>115</v>
      </c>
      <c r="I2002" t="s">
        <v>1841</v>
      </c>
      <c r="J2002">
        <v>729</v>
      </c>
      <c r="K2002">
        <v>0</v>
      </c>
      <c r="L2002">
        <v>0</v>
      </c>
      <c r="M2002">
        <v>0</v>
      </c>
      <c r="N2002" t="s">
        <v>101</v>
      </c>
      <c r="O2002">
        <v>2009</v>
      </c>
      <c r="P2002" t="s">
        <v>18</v>
      </c>
    </row>
    <row r="2003" spans="1:16" x14ac:dyDescent="0.3">
      <c r="A2003">
        <v>361</v>
      </c>
      <c r="B2003" t="s">
        <v>1556</v>
      </c>
      <c r="C2003" t="s">
        <v>1842</v>
      </c>
      <c r="D2003" t="str">
        <f>VLOOKUP(YouTube_University_Data_Final[[#This Row],[Title]],[1]!YouTube_University_Data_Final[[Title]:[Title_language]],2,FALSE)</f>
        <v>English</v>
      </c>
      <c r="E2003" t="s">
        <v>4684</v>
      </c>
      <c r="F2003">
        <v>27</v>
      </c>
      <c r="G2003" s="1">
        <v>40135</v>
      </c>
      <c r="H2003">
        <v>181</v>
      </c>
      <c r="I2003" t="s">
        <v>1843</v>
      </c>
      <c r="J2003">
        <v>2224</v>
      </c>
      <c r="K2003">
        <v>6</v>
      </c>
      <c r="L2003">
        <v>0</v>
      </c>
      <c r="M2003">
        <v>0</v>
      </c>
      <c r="N2003" t="s">
        <v>101</v>
      </c>
      <c r="O2003">
        <v>2009</v>
      </c>
      <c r="P2003" t="s">
        <v>18</v>
      </c>
    </row>
    <row r="2004" spans="1:16" x14ac:dyDescent="0.3">
      <c r="A2004">
        <v>362</v>
      </c>
      <c r="B2004" t="s">
        <v>1556</v>
      </c>
      <c r="C2004" t="s">
        <v>4685</v>
      </c>
      <c r="D2004" t="str">
        <f>VLOOKUP(YouTube_University_Data_Final[[#This Row],[Title]],[1]!YouTube_University_Data_Final[[Title]:[Title_language]],2,FALSE)</f>
        <v>Chinese</v>
      </c>
      <c r="E2004" t="s">
        <v>4686</v>
      </c>
      <c r="F2004">
        <v>27</v>
      </c>
      <c r="G2004" s="1">
        <v>40135</v>
      </c>
      <c r="H2004">
        <v>167</v>
      </c>
      <c r="I2004" t="s">
        <v>1844</v>
      </c>
      <c r="J2004">
        <v>1066</v>
      </c>
      <c r="K2004">
        <v>3</v>
      </c>
      <c r="L2004">
        <v>0</v>
      </c>
      <c r="M2004">
        <v>0</v>
      </c>
      <c r="N2004" t="s">
        <v>101</v>
      </c>
      <c r="O2004">
        <v>2009</v>
      </c>
      <c r="P2004" t="s">
        <v>18</v>
      </c>
    </row>
    <row r="2005" spans="1:16" x14ac:dyDescent="0.3">
      <c r="A2005">
        <v>363</v>
      </c>
      <c r="B2005" t="s">
        <v>1556</v>
      </c>
      <c r="C2005" t="s">
        <v>1845</v>
      </c>
      <c r="D2005" t="str">
        <f>VLOOKUP(YouTube_University_Data_Final[[#This Row],[Title]],[1]!YouTube_University_Data_Final[[Title]:[Title_language]],2,FALSE)</f>
        <v>English</v>
      </c>
      <c r="E2005" t="s">
        <v>4687</v>
      </c>
      <c r="F2005">
        <v>27</v>
      </c>
      <c r="G2005" s="1">
        <v>40135</v>
      </c>
      <c r="H2005">
        <v>89</v>
      </c>
      <c r="I2005" t="s">
        <v>1846</v>
      </c>
      <c r="J2005">
        <v>512</v>
      </c>
      <c r="K2005">
        <v>1</v>
      </c>
      <c r="L2005">
        <v>0</v>
      </c>
      <c r="M2005">
        <v>0</v>
      </c>
      <c r="N2005" t="s">
        <v>101</v>
      </c>
      <c r="O2005">
        <v>2009</v>
      </c>
      <c r="P2005" t="s">
        <v>18</v>
      </c>
    </row>
    <row r="2006" spans="1:16" x14ac:dyDescent="0.3">
      <c r="A2006">
        <v>364</v>
      </c>
      <c r="B2006" t="s">
        <v>1556</v>
      </c>
      <c r="C2006" t="s">
        <v>1847</v>
      </c>
      <c r="D2006" t="str">
        <f>VLOOKUP(YouTube_University_Data_Final[[#This Row],[Title]],[1]!YouTube_University_Data_Final[[Title]:[Title_language]],2,FALSE)</f>
        <v>English</v>
      </c>
      <c r="E2006" t="s">
        <v>4688</v>
      </c>
      <c r="F2006">
        <v>27</v>
      </c>
      <c r="G2006" s="1">
        <v>40135</v>
      </c>
      <c r="H2006">
        <v>151</v>
      </c>
      <c r="I2006" t="s">
        <v>1848</v>
      </c>
      <c r="J2006">
        <v>1558</v>
      </c>
      <c r="K2006">
        <v>4</v>
      </c>
      <c r="L2006">
        <v>0</v>
      </c>
      <c r="M2006">
        <v>0</v>
      </c>
      <c r="N2006" t="s">
        <v>101</v>
      </c>
      <c r="O2006">
        <v>2009</v>
      </c>
      <c r="P2006" t="s">
        <v>18</v>
      </c>
    </row>
    <row r="2007" spans="1:16" x14ac:dyDescent="0.3">
      <c r="A2007">
        <v>365</v>
      </c>
      <c r="B2007" t="s">
        <v>1556</v>
      </c>
      <c r="C2007" t="s">
        <v>4689</v>
      </c>
      <c r="D2007" t="str">
        <f>VLOOKUP(YouTube_University_Data_Final[[#This Row],[Title]],[1]!YouTube_University_Data_Final[[Title]:[Title_language]],2,FALSE)</f>
        <v>Chinese</v>
      </c>
      <c r="E2007" t="s">
        <v>4690</v>
      </c>
      <c r="F2007">
        <v>27</v>
      </c>
      <c r="G2007" s="1">
        <v>40129</v>
      </c>
      <c r="H2007">
        <v>108</v>
      </c>
      <c r="I2007" t="s">
        <v>1849</v>
      </c>
      <c r="J2007">
        <v>298</v>
      </c>
      <c r="K2007">
        <v>1</v>
      </c>
      <c r="L2007">
        <v>0</v>
      </c>
      <c r="M2007">
        <v>0</v>
      </c>
      <c r="N2007" t="s">
        <v>101</v>
      </c>
      <c r="O2007">
        <v>2009</v>
      </c>
      <c r="P2007" t="s">
        <v>18</v>
      </c>
    </row>
    <row r="2008" spans="1:16" x14ac:dyDescent="0.3">
      <c r="A2008">
        <v>366</v>
      </c>
      <c r="B2008" t="s">
        <v>1556</v>
      </c>
      <c r="C2008" t="s">
        <v>4691</v>
      </c>
      <c r="D2008" t="str">
        <f>VLOOKUP(YouTube_University_Data_Final[[#This Row],[Title]],[1]!YouTube_University_Data_Final[[Title]:[Title_language]],2,FALSE)</f>
        <v>Chinese</v>
      </c>
      <c r="E2008" t="s">
        <v>4690</v>
      </c>
      <c r="F2008">
        <v>27</v>
      </c>
      <c r="G2008" s="1">
        <v>40129</v>
      </c>
      <c r="H2008">
        <v>113</v>
      </c>
      <c r="I2008" t="s">
        <v>1849</v>
      </c>
      <c r="J2008">
        <v>167</v>
      </c>
      <c r="K2008">
        <v>1</v>
      </c>
      <c r="L2008">
        <v>0</v>
      </c>
      <c r="M2008">
        <v>0</v>
      </c>
      <c r="N2008" t="s">
        <v>101</v>
      </c>
      <c r="O2008">
        <v>2009</v>
      </c>
      <c r="P2008" t="s">
        <v>18</v>
      </c>
    </row>
    <row r="2009" spans="1:16" x14ac:dyDescent="0.3">
      <c r="A2009">
        <v>367</v>
      </c>
      <c r="B2009" t="s">
        <v>1556</v>
      </c>
      <c r="C2009" t="s">
        <v>4692</v>
      </c>
      <c r="D2009" t="str">
        <f>VLOOKUP(YouTube_University_Data_Final[[#This Row],[Title]],[1]!YouTube_University_Data_Final[[Title]:[Title_language]],2,FALSE)</f>
        <v>Chinese</v>
      </c>
      <c r="E2009" t="s">
        <v>4690</v>
      </c>
      <c r="F2009">
        <v>27</v>
      </c>
      <c r="G2009" s="1">
        <v>40129</v>
      </c>
      <c r="H2009">
        <v>84</v>
      </c>
      <c r="I2009" t="s">
        <v>1849</v>
      </c>
      <c r="J2009">
        <v>234</v>
      </c>
      <c r="K2009">
        <v>0</v>
      </c>
      <c r="L2009">
        <v>0</v>
      </c>
      <c r="M2009">
        <v>0</v>
      </c>
      <c r="N2009" t="s">
        <v>101</v>
      </c>
      <c r="O2009">
        <v>2009</v>
      </c>
      <c r="P2009" t="s">
        <v>18</v>
      </c>
    </row>
    <row r="2010" spans="1:16" x14ac:dyDescent="0.3">
      <c r="A2010">
        <v>368</v>
      </c>
      <c r="B2010" t="s">
        <v>1556</v>
      </c>
      <c r="C2010" t="s">
        <v>4693</v>
      </c>
      <c r="D2010" t="str">
        <f>VLOOKUP(YouTube_University_Data_Final[[#This Row],[Title]],[1]!YouTube_University_Data_Final[[Title]:[Title_language]],2,FALSE)</f>
        <v>Chinese</v>
      </c>
      <c r="E2010" t="s">
        <v>4690</v>
      </c>
      <c r="F2010">
        <v>27</v>
      </c>
      <c r="G2010" s="1">
        <v>40129</v>
      </c>
      <c r="H2010">
        <v>81</v>
      </c>
      <c r="I2010" t="s">
        <v>1849</v>
      </c>
      <c r="J2010">
        <v>670</v>
      </c>
      <c r="K2010">
        <v>0</v>
      </c>
      <c r="L2010">
        <v>0</v>
      </c>
      <c r="M2010">
        <v>0</v>
      </c>
      <c r="N2010" t="s">
        <v>101</v>
      </c>
      <c r="O2010">
        <v>2009</v>
      </c>
      <c r="P2010" t="s">
        <v>18</v>
      </c>
    </row>
    <row r="2011" spans="1:16" x14ac:dyDescent="0.3">
      <c r="A2011">
        <v>369</v>
      </c>
      <c r="B2011" t="s">
        <v>1556</v>
      </c>
      <c r="C2011" t="s">
        <v>1850</v>
      </c>
      <c r="D2011" t="str">
        <f>VLOOKUP(YouTube_University_Data_Final[[#This Row],[Title]],[1]!YouTube_University_Data_Final[[Title]:[Title_language]],2,FALSE)</f>
        <v>English</v>
      </c>
      <c r="E2011" t="s">
        <v>2944</v>
      </c>
      <c r="F2011">
        <v>27</v>
      </c>
      <c r="G2011" s="1">
        <v>40126</v>
      </c>
      <c r="H2011">
        <v>28</v>
      </c>
      <c r="I2011" t="s">
        <v>1851</v>
      </c>
      <c r="J2011">
        <v>288</v>
      </c>
      <c r="K2011">
        <v>0</v>
      </c>
      <c r="L2011">
        <v>0</v>
      </c>
      <c r="M2011">
        <v>0</v>
      </c>
      <c r="N2011" t="s">
        <v>101</v>
      </c>
      <c r="O2011">
        <v>2009</v>
      </c>
      <c r="P2011" t="s">
        <v>18</v>
      </c>
    </row>
    <row r="2012" spans="1:16" x14ac:dyDescent="0.3">
      <c r="A2012">
        <v>370</v>
      </c>
      <c r="B2012" t="s">
        <v>1556</v>
      </c>
      <c r="C2012" t="s">
        <v>1852</v>
      </c>
      <c r="D2012" t="str">
        <f>VLOOKUP(YouTube_University_Data_Final[[#This Row],[Title]],[1]!YouTube_University_Data_Final[[Title]:[Title_language]],2,FALSE)</f>
        <v>English</v>
      </c>
      <c r="E2012" t="s">
        <v>2944</v>
      </c>
      <c r="F2012">
        <v>27</v>
      </c>
      <c r="G2012" s="1">
        <v>40126</v>
      </c>
      <c r="H2012">
        <v>264</v>
      </c>
      <c r="I2012" t="s">
        <v>1853</v>
      </c>
      <c r="J2012">
        <v>29059</v>
      </c>
      <c r="K2012">
        <v>29</v>
      </c>
      <c r="L2012">
        <v>0</v>
      </c>
      <c r="M2012">
        <v>1</v>
      </c>
      <c r="N2012" t="s">
        <v>101</v>
      </c>
      <c r="O2012">
        <v>2009</v>
      </c>
      <c r="P2012" t="s">
        <v>18</v>
      </c>
    </row>
    <row r="2013" spans="1:16" x14ac:dyDescent="0.3">
      <c r="A2013">
        <v>371</v>
      </c>
      <c r="B2013" t="s">
        <v>1556</v>
      </c>
      <c r="C2013" t="s">
        <v>4694</v>
      </c>
      <c r="D2013" t="str">
        <f>VLOOKUP(YouTube_University_Data_Final[[#This Row],[Title]],[1]!YouTube_University_Data_Final[[Title]:[Title_language]],2,FALSE)</f>
        <v>Chinese</v>
      </c>
      <c r="E2013" t="s">
        <v>4695</v>
      </c>
      <c r="F2013">
        <v>10</v>
      </c>
      <c r="G2013" s="1">
        <v>40123</v>
      </c>
      <c r="H2013">
        <v>280</v>
      </c>
      <c r="I2013" t="s">
        <v>1854</v>
      </c>
      <c r="J2013">
        <v>1232</v>
      </c>
      <c r="K2013">
        <v>1</v>
      </c>
      <c r="L2013">
        <v>0</v>
      </c>
      <c r="M2013">
        <v>0</v>
      </c>
      <c r="N2013" t="s">
        <v>101</v>
      </c>
      <c r="O2013">
        <v>2009</v>
      </c>
      <c r="P2013" t="s">
        <v>1396</v>
      </c>
    </row>
    <row r="2014" spans="1:16" x14ac:dyDescent="0.3">
      <c r="A2014">
        <v>372</v>
      </c>
      <c r="B2014" t="s">
        <v>1556</v>
      </c>
      <c r="C2014" t="s">
        <v>1855</v>
      </c>
      <c r="D2014" t="str">
        <f>VLOOKUP(YouTube_University_Data_Final[[#This Row],[Title]],[1]!YouTube_University_Data_Final[[Title]:[Title_language]],2,FALSE)</f>
        <v>English</v>
      </c>
      <c r="E2014" t="s">
        <v>2944</v>
      </c>
      <c r="F2014">
        <v>27</v>
      </c>
      <c r="G2014" s="1">
        <v>40116</v>
      </c>
      <c r="H2014">
        <v>134</v>
      </c>
      <c r="I2014" t="s">
        <v>4696</v>
      </c>
      <c r="J2014">
        <v>906</v>
      </c>
      <c r="K2014">
        <v>1</v>
      </c>
      <c r="L2014">
        <v>0</v>
      </c>
      <c r="M2014">
        <v>0</v>
      </c>
      <c r="N2014" t="s">
        <v>17</v>
      </c>
      <c r="O2014">
        <v>2009</v>
      </c>
      <c r="P2014" t="s">
        <v>18</v>
      </c>
    </row>
    <row r="2015" spans="1:16" x14ac:dyDescent="0.3">
      <c r="A2015">
        <v>373</v>
      </c>
      <c r="B2015" t="s">
        <v>1556</v>
      </c>
      <c r="C2015" t="s">
        <v>1856</v>
      </c>
      <c r="D2015" t="str">
        <f>VLOOKUP(YouTube_University_Data_Final[[#This Row],[Title]],[1]!YouTube_University_Data_Final[[Title]:[Title_language]],2,FALSE)</f>
        <v>English</v>
      </c>
      <c r="E2015" t="s">
        <v>2944</v>
      </c>
      <c r="F2015">
        <v>27</v>
      </c>
      <c r="G2015" s="1">
        <v>40113</v>
      </c>
      <c r="H2015">
        <v>566</v>
      </c>
      <c r="I2015" t="s">
        <v>1857</v>
      </c>
      <c r="J2015">
        <v>285</v>
      </c>
      <c r="K2015">
        <v>0</v>
      </c>
      <c r="L2015">
        <v>0</v>
      </c>
      <c r="M2015">
        <v>0</v>
      </c>
      <c r="N2015" t="s">
        <v>17</v>
      </c>
      <c r="O2015">
        <v>2009</v>
      </c>
      <c r="P2015" t="s">
        <v>18</v>
      </c>
    </row>
    <row r="2016" spans="1:16" x14ac:dyDescent="0.3">
      <c r="A2016">
        <v>374</v>
      </c>
      <c r="B2016" t="s">
        <v>1556</v>
      </c>
      <c r="C2016" t="s">
        <v>1858</v>
      </c>
      <c r="D2016" t="str">
        <f>VLOOKUP(YouTube_University_Data_Final[[#This Row],[Title]],[1]!YouTube_University_Data_Final[[Title]:[Title_language]],2,FALSE)</f>
        <v>English</v>
      </c>
      <c r="E2016" t="s">
        <v>2944</v>
      </c>
      <c r="F2016">
        <v>27</v>
      </c>
      <c r="G2016" s="1">
        <v>40113</v>
      </c>
      <c r="H2016">
        <v>148</v>
      </c>
      <c r="I2016" t="s">
        <v>4697</v>
      </c>
      <c r="J2016">
        <v>148</v>
      </c>
      <c r="K2016">
        <v>0</v>
      </c>
      <c r="L2016">
        <v>0</v>
      </c>
      <c r="M2016">
        <v>0</v>
      </c>
      <c r="N2016" t="s">
        <v>17</v>
      </c>
      <c r="O2016">
        <v>2009</v>
      </c>
      <c r="P2016" t="s">
        <v>18</v>
      </c>
    </row>
    <row r="2017" spans="1:16" x14ac:dyDescent="0.3">
      <c r="A2017">
        <v>375</v>
      </c>
      <c r="B2017" t="s">
        <v>1556</v>
      </c>
      <c r="C2017" t="s">
        <v>1859</v>
      </c>
      <c r="D2017" t="str">
        <f>VLOOKUP(YouTube_University_Data_Final[[#This Row],[Title]],[1]!YouTube_University_Data_Final[[Title]:[Title_language]],2,FALSE)</f>
        <v>English</v>
      </c>
      <c r="E2017" t="s">
        <v>2944</v>
      </c>
      <c r="F2017">
        <v>27</v>
      </c>
      <c r="G2017" s="1">
        <v>40109</v>
      </c>
      <c r="H2017">
        <v>251</v>
      </c>
      <c r="I2017" t="s">
        <v>4698</v>
      </c>
      <c r="J2017">
        <v>27161</v>
      </c>
      <c r="K2017">
        <v>57</v>
      </c>
      <c r="L2017">
        <v>0</v>
      </c>
      <c r="M2017">
        <v>1</v>
      </c>
      <c r="N2017" t="s">
        <v>17</v>
      </c>
      <c r="O2017">
        <v>2009</v>
      </c>
      <c r="P2017" t="s">
        <v>18</v>
      </c>
    </row>
    <row r="2018" spans="1:16" x14ac:dyDescent="0.3">
      <c r="A2018">
        <v>376</v>
      </c>
      <c r="B2018" t="s">
        <v>1556</v>
      </c>
      <c r="C2018" t="s">
        <v>1860</v>
      </c>
      <c r="D2018" t="str">
        <f>VLOOKUP(YouTube_University_Data_Final[[#This Row],[Title]],[1]!YouTube_University_Data_Final[[Title]:[Title_language]],2,FALSE)</f>
        <v>English</v>
      </c>
      <c r="E2018" t="s">
        <v>2944</v>
      </c>
      <c r="F2018">
        <v>27</v>
      </c>
      <c r="G2018" s="1">
        <v>40109</v>
      </c>
      <c r="H2018">
        <v>178</v>
      </c>
      <c r="I2018" t="s">
        <v>4699</v>
      </c>
      <c r="J2018">
        <v>183</v>
      </c>
      <c r="K2018">
        <v>1</v>
      </c>
      <c r="L2018">
        <v>0</v>
      </c>
      <c r="M2018">
        <v>0</v>
      </c>
      <c r="N2018" t="s">
        <v>17</v>
      </c>
      <c r="O2018">
        <v>2009</v>
      </c>
      <c r="P2018" t="s">
        <v>18</v>
      </c>
    </row>
    <row r="2019" spans="1:16" x14ac:dyDescent="0.3">
      <c r="A2019">
        <v>377</v>
      </c>
      <c r="B2019" t="s">
        <v>1556</v>
      </c>
      <c r="C2019" t="s">
        <v>1861</v>
      </c>
      <c r="D2019" t="str">
        <f>VLOOKUP(YouTube_University_Data_Final[[#This Row],[Title]],[1]!YouTube_University_Data_Final[[Title]:[Title_language]],2,FALSE)</f>
        <v>English</v>
      </c>
      <c r="E2019" t="s">
        <v>2944</v>
      </c>
      <c r="F2019">
        <v>27</v>
      </c>
      <c r="G2019" s="1">
        <v>40102</v>
      </c>
      <c r="H2019">
        <v>135</v>
      </c>
      <c r="I2019" t="s">
        <v>4700</v>
      </c>
      <c r="J2019">
        <v>1307</v>
      </c>
      <c r="K2019">
        <v>1</v>
      </c>
      <c r="L2019">
        <v>0</v>
      </c>
      <c r="M2019">
        <v>0</v>
      </c>
      <c r="N2019" t="s">
        <v>17</v>
      </c>
      <c r="O2019">
        <v>2009</v>
      </c>
      <c r="P2019" t="s">
        <v>18</v>
      </c>
    </row>
    <row r="2020" spans="1:16" x14ac:dyDescent="0.3">
      <c r="A2020">
        <v>378</v>
      </c>
      <c r="B2020" t="s">
        <v>1556</v>
      </c>
      <c r="C2020" t="s">
        <v>1862</v>
      </c>
      <c r="D2020" t="str">
        <f>VLOOKUP(YouTube_University_Data_Final[[#This Row],[Title]],[1]!YouTube_University_Data_Final[[Title]:[Title_language]],2,FALSE)</f>
        <v>English</v>
      </c>
      <c r="E2020" t="s">
        <v>4701</v>
      </c>
      <c r="F2020">
        <v>27</v>
      </c>
      <c r="G2020" s="1">
        <v>40101</v>
      </c>
      <c r="H2020">
        <v>159</v>
      </c>
      <c r="I2020" t="s">
        <v>1863</v>
      </c>
      <c r="J2020">
        <v>2683</v>
      </c>
      <c r="K2020">
        <v>1</v>
      </c>
      <c r="L2020">
        <v>0</v>
      </c>
      <c r="M2020">
        <v>0</v>
      </c>
      <c r="N2020" t="s">
        <v>17</v>
      </c>
      <c r="O2020">
        <v>2009</v>
      </c>
      <c r="P2020" t="s">
        <v>18</v>
      </c>
    </row>
    <row r="2021" spans="1:16" x14ac:dyDescent="0.3">
      <c r="A2021">
        <v>379</v>
      </c>
      <c r="B2021" t="s">
        <v>1556</v>
      </c>
      <c r="C2021" t="s">
        <v>4702</v>
      </c>
      <c r="D2021" t="str">
        <f>VLOOKUP(YouTube_University_Data_Final[[#This Row],[Title]],[1]!YouTube_University_Data_Final[[Title]:[Title_language]],2,FALSE)</f>
        <v>Chinese</v>
      </c>
      <c r="E2021" t="s">
        <v>2944</v>
      </c>
      <c r="F2021">
        <v>27</v>
      </c>
      <c r="G2021" s="1">
        <v>40101</v>
      </c>
      <c r="H2021">
        <v>185</v>
      </c>
      <c r="I2021" t="s">
        <v>1864</v>
      </c>
      <c r="J2021">
        <v>1197</v>
      </c>
      <c r="K2021">
        <v>5</v>
      </c>
      <c r="L2021">
        <v>0</v>
      </c>
      <c r="M2021">
        <v>0</v>
      </c>
      <c r="N2021" t="s">
        <v>17</v>
      </c>
      <c r="O2021">
        <v>2009</v>
      </c>
      <c r="P2021" t="s">
        <v>18</v>
      </c>
    </row>
    <row r="2022" spans="1:16" x14ac:dyDescent="0.3">
      <c r="A2022">
        <v>380</v>
      </c>
      <c r="B2022" t="s">
        <v>1556</v>
      </c>
      <c r="C2022" t="s">
        <v>1865</v>
      </c>
      <c r="D2022" t="str">
        <f>VLOOKUP(YouTube_University_Data_Final[[#This Row],[Title]],[1]!YouTube_University_Data_Final[[Title]:[Title_language]],2,FALSE)</f>
        <v>English</v>
      </c>
      <c r="E2022" t="s">
        <v>4703</v>
      </c>
      <c r="F2022">
        <v>27</v>
      </c>
      <c r="G2022" s="1">
        <v>40094</v>
      </c>
      <c r="H2022">
        <v>556</v>
      </c>
      <c r="I2022" t="s">
        <v>1866</v>
      </c>
      <c r="J2022">
        <v>2355</v>
      </c>
      <c r="K2022">
        <v>1</v>
      </c>
      <c r="L2022">
        <v>0</v>
      </c>
      <c r="M2022">
        <v>0</v>
      </c>
      <c r="N2022" t="s">
        <v>17</v>
      </c>
      <c r="O2022">
        <v>2009</v>
      </c>
      <c r="P2022" t="s">
        <v>18</v>
      </c>
    </row>
    <row r="2023" spans="1:16" x14ac:dyDescent="0.3">
      <c r="A2023">
        <v>381</v>
      </c>
      <c r="B2023" t="s">
        <v>1556</v>
      </c>
      <c r="C2023" t="s">
        <v>1867</v>
      </c>
      <c r="D2023" t="str">
        <f>VLOOKUP(YouTube_University_Data_Final[[#This Row],[Title]],[1]!YouTube_University_Data_Final[[Title]:[Title_language]],2,FALSE)</f>
        <v>English</v>
      </c>
      <c r="E2023" t="s">
        <v>2944</v>
      </c>
      <c r="F2023">
        <v>27</v>
      </c>
      <c r="G2023" s="1">
        <v>40094</v>
      </c>
      <c r="H2023">
        <v>162</v>
      </c>
      <c r="I2023" t="s">
        <v>1868</v>
      </c>
      <c r="J2023">
        <v>547</v>
      </c>
      <c r="K2023">
        <v>0</v>
      </c>
      <c r="L2023">
        <v>0</v>
      </c>
      <c r="M2023">
        <v>1</v>
      </c>
      <c r="N2023" t="s">
        <v>17</v>
      </c>
      <c r="O2023">
        <v>2009</v>
      </c>
      <c r="P2023" t="s">
        <v>18</v>
      </c>
    </row>
    <row r="2024" spans="1:16" x14ac:dyDescent="0.3">
      <c r="A2024">
        <v>382</v>
      </c>
      <c r="B2024" t="s">
        <v>1556</v>
      </c>
      <c r="C2024" t="s">
        <v>1869</v>
      </c>
      <c r="D2024" t="str">
        <f>VLOOKUP(YouTube_University_Data_Final[[#This Row],[Title]],[1]!YouTube_University_Data_Final[[Title]:[Title_language]],2,FALSE)</f>
        <v>English</v>
      </c>
      <c r="E2024" t="s">
        <v>2944</v>
      </c>
      <c r="F2024">
        <v>27</v>
      </c>
      <c r="G2024" s="1">
        <v>40084</v>
      </c>
      <c r="H2024">
        <v>95</v>
      </c>
      <c r="I2024" t="s">
        <v>1870</v>
      </c>
      <c r="J2024">
        <v>438</v>
      </c>
      <c r="K2024">
        <v>0</v>
      </c>
      <c r="L2024">
        <v>0</v>
      </c>
      <c r="M2024">
        <v>1</v>
      </c>
      <c r="N2024" t="s">
        <v>21</v>
      </c>
      <c r="O2024">
        <v>2009</v>
      </c>
      <c r="P2024" t="s">
        <v>18</v>
      </c>
    </row>
    <row r="2025" spans="1:16" x14ac:dyDescent="0.3">
      <c r="A2025">
        <v>383</v>
      </c>
      <c r="B2025" t="s">
        <v>1556</v>
      </c>
      <c r="C2025" t="s">
        <v>1871</v>
      </c>
      <c r="D2025" t="str">
        <f>VLOOKUP(YouTube_University_Data_Final[[#This Row],[Title]],[1]!YouTube_University_Data_Final[[Title]:[Title_language]],2,FALSE)</f>
        <v>English</v>
      </c>
      <c r="E2025" t="s">
        <v>2944</v>
      </c>
      <c r="F2025">
        <v>27</v>
      </c>
      <c r="G2025" s="1">
        <v>40084</v>
      </c>
      <c r="H2025">
        <v>74</v>
      </c>
      <c r="I2025" t="s">
        <v>1872</v>
      </c>
      <c r="J2025">
        <v>588</v>
      </c>
      <c r="K2025">
        <v>0</v>
      </c>
      <c r="L2025">
        <v>0</v>
      </c>
      <c r="M2025">
        <v>0</v>
      </c>
      <c r="N2025" t="s">
        <v>21</v>
      </c>
      <c r="O2025">
        <v>2009</v>
      </c>
      <c r="P2025" t="s">
        <v>18</v>
      </c>
    </row>
    <row r="2026" spans="1:16" x14ac:dyDescent="0.3">
      <c r="A2026">
        <v>384</v>
      </c>
      <c r="B2026" t="s">
        <v>1556</v>
      </c>
      <c r="C2026" t="s">
        <v>1873</v>
      </c>
      <c r="D2026" t="str">
        <f>VLOOKUP(YouTube_University_Data_Final[[#This Row],[Title]],[1]!YouTube_University_Data_Final[[Title]:[Title_language]],2,FALSE)</f>
        <v>English</v>
      </c>
      <c r="E2026" t="s">
        <v>2944</v>
      </c>
      <c r="F2026">
        <v>27</v>
      </c>
      <c r="G2026" s="1">
        <v>40079</v>
      </c>
      <c r="H2026">
        <v>520</v>
      </c>
      <c r="I2026" t="s">
        <v>1874</v>
      </c>
      <c r="J2026">
        <v>246</v>
      </c>
      <c r="K2026">
        <v>0</v>
      </c>
      <c r="L2026">
        <v>0</v>
      </c>
      <c r="M2026">
        <v>0</v>
      </c>
      <c r="N2026" t="s">
        <v>21</v>
      </c>
      <c r="O2026">
        <v>2009</v>
      </c>
      <c r="P2026" t="s">
        <v>18</v>
      </c>
    </row>
    <row r="2027" spans="1:16" x14ac:dyDescent="0.3">
      <c r="A2027">
        <v>385</v>
      </c>
      <c r="B2027" t="s">
        <v>1556</v>
      </c>
      <c r="C2027" t="s">
        <v>1875</v>
      </c>
      <c r="D2027" t="str">
        <f>VLOOKUP(YouTube_University_Data_Final[[#This Row],[Title]],[1]!YouTube_University_Data_Final[[Title]:[Title_language]],2,FALSE)</f>
        <v>English</v>
      </c>
      <c r="E2027" t="s">
        <v>2944</v>
      </c>
      <c r="F2027">
        <v>27</v>
      </c>
      <c r="G2027" s="1">
        <v>40077</v>
      </c>
      <c r="H2027">
        <v>207</v>
      </c>
      <c r="I2027" t="s">
        <v>1876</v>
      </c>
      <c r="J2027">
        <v>825</v>
      </c>
      <c r="K2027">
        <v>5</v>
      </c>
      <c r="L2027">
        <v>0</v>
      </c>
      <c r="M2027">
        <v>0</v>
      </c>
      <c r="N2027" t="s">
        <v>21</v>
      </c>
      <c r="O2027">
        <v>2009</v>
      </c>
      <c r="P2027" t="s">
        <v>18</v>
      </c>
    </row>
    <row r="2028" spans="1:16" x14ac:dyDescent="0.3">
      <c r="A2028">
        <v>386</v>
      </c>
      <c r="B2028" t="s">
        <v>1556</v>
      </c>
      <c r="C2028" t="s">
        <v>1877</v>
      </c>
      <c r="D2028" t="str">
        <f>VLOOKUP(YouTube_University_Data_Final[[#This Row],[Title]],[1]!YouTube_University_Data_Final[[Title]:[Title_language]],2,FALSE)</f>
        <v>English</v>
      </c>
      <c r="E2028" t="s">
        <v>2944</v>
      </c>
      <c r="F2028">
        <v>27</v>
      </c>
      <c r="G2028" s="1">
        <v>40077</v>
      </c>
      <c r="H2028">
        <v>95</v>
      </c>
      <c r="I2028" t="s">
        <v>1878</v>
      </c>
      <c r="J2028">
        <v>717</v>
      </c>
      <c r="K2028">
        <v>1</v>
      </c>
      <c r="L2028">
        <v>0</v>
      </c>
      <c r="M2028">
        <v>0</v>
      </c>
      <c r="N2028" t="s">
        <v>21</v>
      </c>
      <c r="O2028">
        <v>2009</v>
      </c>
      <c r="P2028" t="s">
        <v>18</v>
      </c>
    </row>
    <row r="2029" spans="1:16" x14ac:dyDescent="0.3">
      <c r="A2029">
        <v>387</v>
      </c>
      <c r="B2029" t="s">
        <v>1556</v>
      </c>
      <c r="C2029" t="s">
        <v>1879</v>
      </c>
      <c r="D2029" t="str">
        <f>VLOOKUP(YouTube_University_Data_Final[[#This Row],[Title]],[1]!YouTube_University_Data_Final[[Title]:[Title_language]],2,FALSE)</f>
        <v>English</v>
      </c>
      <c r="E2029" t="s">
        <v>1880</v>
      </c>
      <c r="F2029">
        <v>27</v>
      </c>
      <c r="G2029" s="1">
        <v>40074</v>
      </c>
      <c r="H2029">
        <v>133</v>
      </c>
      <c r="I2029" t="s">
        <v>4704</v>
      </c>
      <c r="J2029">
        <v>3094</v>
      </c>
      <c r="K2029">
        <v>1</v>
      </c>
      <c r="L2029">
        <v>0</v>
      </c>
      <c r="M2029">
        <v>0</v>
      </c>
      <c r="N2029" t="s">
        <v>21</v>
      </c>
      <c r="O2029">
        <v>2009</v>
      </c>
      <c r="P2029" t="s">
        <v>18</v>
      </c>
    </row>
    <row r="2030" spans="1:16" x14ac:dyDescent="0.3">
      <c r="A2030">
        <v>388</v>
      </c>
      <c r="B2030" t="s">
        <v>1556</v>
      </c>
      <c r="C2030" t="s">
        <v>1881</v>
      </c>
      <c r="D2030" t="str">
        <f>VLOOKUP(YouTube_University_Data_Final[[#This Row],[Title]],[1]!YouTube_University_Data_Final[[Title]:[Title_language]],2,FALSE)</f>
        <v>English</v>
      </c>
      <c r="E2030" t="s">
        <v>2944</v>
      </c>
      <c r="F2030">
        <v>27</v>
      </c>
      <c r="G2030" s="1">
        <v>40071</v>
      </c>
      <c r="H2030">
        <v>4</v>
      </c>
      <c r="I2030" t="s">
        <v>4705</v>
      </c>
      <c r="J2030">
        <v>375</v>
      </c>
      <c r="K2030">
        <v>0</v>
      </c>
      <c r="L2030">
        <v>0</v>
      </c>
      <c r="M2030">
        <v>0</v>
      </c>
      <c r="N2030" t="s">
        <v>21</v>
      </c>
      <c r="O2030">
        <v>2009</v>
      </c>
      <c r="P2030" t="s">
        <v>18</v>
      </c>
    </row>
    <row r="2031" spans="1:16" x14ac:dyDescent="0.3">
      <c r="A2031">
        <v>389</v>
      </c>
      <c r="B2031" t="s">
        <v>1556</v>
      </c>
      <c r="C2031" t="s">
        <v>1882</v>
      </c>
      <c r="D2031" t="str">
        <f>VLOOKUP(YouTube_University_Data_Final[[#This Row],[Title]],[1]!YouTube_University_Data_Final[[Title]:[Title_language]],2,FALSE)</f>
        <v>English</v>
      </c>
      <c r="E2031" t="s">
        <v>2944</v>
      </c>
      <c r="F2031">
        <v>27</v>
      </c>
      <c r="G2031" s="1">
        <v>40065</v>
      </c>
      <c r="H2031">
        <v>241</v>
      </c>
      <c r="I2031" t="s">
        <v>1883</v>
      </c>
      <c r="J2031">
        <v>668</v>
      </c>
      <c r="K2031">
        <v>1</v>
      </c>
      <c r="L2031">
        <v>0</v>
      </c>
      <c r="M2031">
        <v>0</v>
      </c>
      <c r="N2031" t="s">
        <v>21</v>
      </c>
      <c r="O2031">
        <v>2009</v>
      </c>
      <c r="P2031" t="s">
        <v>18</v>
      </c>
    </row>
    <row r="2032" spans="1:16" x14ac:dyDescent="0.3">
      <c r="A2032">
        <v>390</v>
      </c>
      <c r="B2032" t="s">
        <v>1556</v>
      </c>
      <c r="C2032" t="s">
        <v>1884</v>
      </c>
      <c r="D2032" t="str">
        <f>VLOOKUP(YouTube_University_Data_Final[[#This Row],[Title]],[1]!YouTube_University_Data_Final[[Title]:[Title_language]],2,FALSE)</f>
        <v>English</v>
      </c>
      <c r="E2032" t="s">
        <v>2944</v>
      </c>
      <c r="F2032">
        <v>27</v>
      </c>
      <c r="G2032" s="1">
        <v>40063</v>
      </c>
      <c r="H2032">
        <v>659</v>
      </c>
      <c r="I2032" t="s">
        <v>1885</v>
      </c>
      <c r="J2032">
        <v>722</v>
      </c>
      <c r="K2032">
        <v>1</v>
      </c>
      <c r="L2032">
        <v>0</v>
      </c>
      <c r="M2032">
        <v>0</v>
      </c>
      <c r="N2032" t="s">
        <v>21</v>
      </c>
      <c r="O2032">
        <v>2009</v>
      </c>
      <c r="P2032" t="s">
        <v>18</v>
      </c>
    </row>
    <row r="2033" spans="1:16" x14ac:dyDescent="0.3">
      <c r="A2033">
        <v>391</v>
      </c>
      <c r="B2033" t="s">
        <v>1556</v>
      </c>
      <c r="C2033" t="s">
        <v>4706</v>
      </c>
      <c r="D2033" t="str">
        <f>VLOOKUP(YouTube_University_Data_Final[[#This Row],[Title]],[1]!YouTube_University_Data_Final[[Title]:[Title_language]],2,FALSE)</f>
        <v>Chinese</v>
      </c>
      <c r="E2033" t="s">
        <v>2944</v>
      </c>
      <c r="F2033">
        <v>27</v>
      </c>
      <c r="G2033" s="1">
        <v>40059</v>
      </c>
      <c r="H2033">
        <v>132</v>
      </c>
      <c r="I2033" t="s">
        <v>4707</v>
      </c>
      <c r="J2033">
        <v>1577</v>
      </c>
      <c r="K2033">
        <v>3</v>
      </c>
      <c r="L2033">
        <v>0</v>
      </c>
      <c r="M2033">
        <v>0</v>
      </c>
      <c r="N2033" t="s">
        <v>21</v>
      </c>
      <c r="O2033">
        <v>2009</v>
      </c>
      <c r="P2033" t="s">
        <v>18</v>
      </c>
    </row>
    <row r="2034" spans="1:16" x14ac:dyDescent="0.3">
      <c r="A2034">
        <v>392</v>
      </c>
      <c r="B2034" t="s">
        <v>1556</v>
      </c>
      <c r="C2034" t="s">
        <v>1886</v>
      </c>
      <c r="D2034" t="str">
        <f>VLOOKUP(YouTube_University_Data_Final[[#This Row],[Title]],[1]!YouTube_University_Data_Final[[Title]:[Title_language]],2,FALSE)</f>
        <v>English</v>
      </c>
      <c r="E2034" t="s">
        <v>2944</v>
      </c>
      <c r="F2034">
        <v>27</v>
      </c>
      <c r="G2034" s="1">
        <v>40058</v>
      </c>
      <c r="H2034">
        <v>97</v>
      </c>
      <c r="I2034" t="s">
        <v>1887</v>
      </c>
      <c r="J2034">
        <v>2662</v>
      </c>
      <c r="K2034">
        <v>1</v>
      </c>
      <c r="L2034">
        <v>0</v>
      </c>
      <c r="M2034">
        <v>0</v>
      </c>
      <c r="N2034" t="s">
        <v>21</v>
      </c>
      <c r="O2034">
        <v>2009</v>
      </c>
      <c r="P2034" t="s">
        <v>18</v>
      </c>
    </row>
    <row r="2035" spans="1:16" x14ac:dyDescent="0.3">
      <c r="A2035">
        <v>393</v>
      </c>
      <c r="B2035" t="s">
        <v>1556</v>
      </c>
      <c r="C2035" t="s">
        <v>1888</v>
      </c>
      <c r="D2035" t="str">
        <f>VLOOKUP(YouTube_University_Data_Final[[#This Row],[Title]],[1]!YouTube_University_Data_Final[[Title]:[Title_language]],2,FALSE)</f>
        <v>English</v>
      </c>
      <c r="E2035" t="s">
        <v>2944</v>
      </c>
      <c r="F2035">
        <v>27</v>
      </c>
      <c r="G2035" s="1">
        <v>40058</v>
      </c>
      <c r="H2035">
        <v>60</v>
      </c>
      <c r="I2035" t="s">
        <v>1889</v>
      </c>
      <c r="J2035">
        <v>930</v>
      </c>
      <c r="K2035">
        <v>2</v>
      </c>
      <c r="L2035">
        <v>0</v>
      </c>
      <c r="M2035">
        <v>0</v>
      </c>
      <c r="N2035" t="s">
        <v>21</v>
      </c>
      <c r="O2035">
        <v>2009</v>
      </c>
      <c r="P2035" t="s">
        <v>18</v>
      </c>
    </row>
    <row r="2036" spans="1:16" x14ac:dyDescent="0.3">
      <c r="A2036">
        <v>394</v>
      </c>
      <c r="B2036" t="s">
        <v>1556</v>
      </c>
      <c r="C2036" t="s">
        <v>1890</v>
      </c>
      <c r="D2036" t="str">
        <f>VLOOKUP(YouTube_University_Data_Final[[#This Row],[Title]],[1]!YouTube_University_Data_Final[[Title]:[Title_language]],2,FALSE)</f>
        <v>English</v>
      </c>
      <c r="E2036" t="s">
        <v>2944</v>
      </c>
      <c r="F2036">
        <v>27</v>
      </c>
      <c r="G2036" s="1">
        <v>40057</v>
      </c>
      <c r="H2036">
        <v>137</v>
      </c>
      <c r="I2036" t="s">
        <v>1891</v>
      </c>
      <c r="J2036">
        <v>510</v>
      </c>
      <c r="K2036">
        <v>0</v>
      </c>
      <c r="L2036">
        <v>0</v>
      </c>
      <c r="M2036">
        <v>0</v>
      </c>
      <c r="N2036" t="s">
        <v>21</v>
      </c>
      <c r="O2036">
        <v>2009</v>
      </c>
      <c r="P2036" t="s">
        <v>18</v>
      </c>
    </row>
    <row r="2037" spans="1:16" x14ac:dyDescent="0.3">
      <c r="A2037">
        <v>395</v>
      </c>
      <c r="B2037" t="s">
        <v>1556</v>
      </c>
      <c r="C2037" t="s">
        <v>1892</v>
      </c>
      <c r="D2037" t="str">
        <f>VLOOKUP(YouTube_University_Data_Final[[#This Row],[Title]],[1]!YouTube_University_Data_Final[[Title]:[Title_language]],2,FALSE)</f>
        <v>English</v>
      </c>
      <c r="E2037" t="s">
        <v>2944</v>
      </c>
      <c r="F2037">
        <v>27</v>
      </c>
      <c r="G2037" s="1">
        <v>40057</v>
      </c>
      <c r="H2037">
        <v>261</v>
      </c>
      <c r="I2037" t="s">
        <v>1893</v>
      </c>
      <c r="J2037">
        <v>3316</v>
      </c>
      <c r="K2037">
        <v>1</v>
      </c>
      <c r="L2037">
        <v>0</v>
      </c>
      <c r="M2037">
        <v>0</v>
      </c>
      <c r="N2037" t="s">
        <v>21</v>
      </c>
      <c r="O2037">
        <v>2009</v>
      </c>
      <c r="P2037" t="s">
        <v>18</v>
      </c>
    </row>
    <row r="2038" spans="1:16" x14ac:dyDescent="0.3">
      <c r="A2038">
        <v>396</v>
      </c>
      <c r="B2038" t="s">
        <v>1556</v>
      </c>
      <c r="C2038" t="s">
        <v>4708</v>
      </c>
      <c r="D2038" t="str">
        <f>VLOOKUP(YouTube_University_Data_Final[[#This Row],[Title]],[1]!YouTube_University_Data_Final[[Title]:[Title_language]],2,FALSE)</f>
        <v>Chinese</v>
      </c>
      <c r="E2038" t="s">
        <v>2944</v>
      </c>
      <c r="F2038">
        <v>27</v>
      </c>
      <c r="G2038" s="1">
        <v>40057</v>
      </c>
      <c r="H2038">
        <v>266</v>
      </c>
      <c r="I2038" t="s">
        <v>1894</v>
      </c>
      <c r="J2038">
        <v>11675</v>
      </c>
      <c r="K2038">
        <v>76</v>
      </c>
      <c r="L2038">
        <v>0</v>
      </c>
      <c r="M2038">
        <v>7</v>
      </c>
      <c r="N2038" t="s">
        <v>21</v>
      </c>
      <c r="O2038">
        <v>2009</v>
      </c>
      <c r="P2038" t="s">
        <v>18</v>
      </c>
    </row>
    <row r="2039" spans="1:16" x14ac:dyDescent="0.3">
      <c r="A2039">
        <v>397</v>
      </c>
      <c r="B2039" t="s">
        <v>1556</v>
      </c>
      <c r="C2039" t="s">
        <v>1895</v>
      </c>
      <c r="D2039" t="str">
        <f>VLOOKUP(YouTube_University_Data_Final[[#This Row],[Title]],[1]!YouTube_University_Data_Final[[Title]:[Title_language]],2,FALSE)</f>
        <v>English</v>
      </c>
      <c r="E2039" t="s">
        <v>2944</v>
      </c>
      <c r="F2039">
        <v>27</v>
      </c>
      <c r="G2039" s="1">
        <v>40051</v>
      </c>
      <c r="H2039">
        <v>256</v>
      </c>
      <c r="I2039" t="s">
        <v>1896</v>
      </c>
      <c r="J2039">
        <v>491</v>
      </c>
      <c r="K2039">
        <v>1</v>
      </c>
      <c r="L2039">
        <v>0</v>
      </c>
      <c r="M2039">
        <v>0</v>
      </c>
      <c r="N2039" t="s">
        <v>48</v>
      </c>
      <c r="O2039">
        <v>2009</v>
      </c>
      <c r="P2039" t="s">
        <v>18</v>
      </c>
    </row>
    <row r="2040" spans="1:16" x14ac:dyDescent="0.3">
      <c r="A2040">
        <v>398</v>
      </c>
      <c r="B2040" t="s">
        <v>1556</v>
      </c>
      <c r="C2040" t="s">
        <v>1897</v>
      </c>
      <c r="D2040" t="str">
        <f>VLOOKUP(YouTube_University_Data_Final[[#This Row],[Title]],[1]!YouTube_University_Data_Final[[Title]:[Title_language]],2,FALSE)</f>
        <v>English</v>
      </c>
      <c r="E2040" t="s">
        <v>4709</v>
      </c>
      <c r="F2040">
        <v>27</v>
      </c>
      <c r="G2040" s="1">
        <v>40049</v>
      </c>
      <c r="H2040">
        <v>220</v>
      </c>
      <c r="I2040" t="s">
        <v>4710</v>
      </c>
      <c r="J2040">
        <v>6950</v>
      </c>
      <c r="K2040">
        <v>2</v>
      </c>
      <c r="L2040">
        <v>0</v>
      </c>
      <c r="M2040">
        <v>0</v>
      </c>
      <c r="N2040" t="s">
        <v>48</v>
      </c>
      <c r="O2040">
        <v>2009</v>
      </c>
      <c r="P2040" t="s">
        <v>18</v>
      </c>
    </row>
    <row r="2041" spans="1:16" x14ac:dyDescent="0.3">
      <c r="A2041">
        <v>399</v>
      </c>
      <c r="B2041" t="s">
        <v>1556</v>
      </c>
      <c r="C2041" t="s">
        <v>1898</v>
      </c>
      <c r="D2041" t="str">
        <f>VLOOKUP(YouTube_University_Data_Final[[#This Row],[Title]],[1]!YouTube_University_Data_Final[[Title]:[Title_language]],2,FALSE)</f>
        <v>English</v>
      </c>
      <c r="E2041" t="s">
        <v>2944</v>
      </c>
      <c r="F2041">
        <v>27</v>
      </c>
      <c r="G2041" s="1">
        <v>40043</v>
      </c>
      <c r="H2041">
        <v>104</v>
      </c>
      <c r="I2041" t="s">
        <v>1899</v>
      </c>
      <c r="J2041">
        <v>438</v>
      </c>
      <c r="K2041">
        <v>0</v>
      </c>
      <c r="L2041">
        <v>0</v>
      </c>
      <c r="M2041">
        <v>1</v>
      </c>
      <c r="N2041" t="s">
        <v>48</v>
      </c>
      <c r="O2041">
        <v>2009</v>
      </c>
      <c r="P2041" t="s">
        <v>18</v>
      </c>
    </row>
    <row r="2042" spans="1:16" x14ac:dyDescent="0.3">
      <c r="A2042">
        <v>400</v>
      </c>
      <c r="B2042" t="s">
        <v>1556</v>
      </c>
      <c r="C2042" t="s">
        <v>1900</v>
      </c>
      <c r="D2042" t="str">
        <f>VLOOKUP(YouTube_University_Data_Final[[#This Row],[Title]],[1]!YouTube_University_Data_Final[[Title]:[Title_language]],2,FALSE)</f>
        <v>English</v>
      </c>
      <c r="E2042" t="s">
        <v>2944</v>
      </c>
      <c r="F2042">
        <v>27</v>
      </c>
      <c r="G2042" s="1">
        <v>40042</v>
      </c>
      <c r="H2042">
        <v>521</v>
      </c>
      <c r="I2042" t="s">
        <v>4711</v>
      </c>
      <c r="J2042">
        <v>1842</v>
      </c>
      <c r="K2042">
        <v>1</v>
      </c>
      <c r="L2042">
        <v>0</v>
      </c>
      <c r="M2042">
        <v>0</v>
      </c>
      <c r="N2042" t="s">
        <v>48</v>
      </c>
      <c r="O2042">
        <v>2009</v>
      </c>
      <c r="P2042" t="s">
        <v>18</v>
      </c>
    </row>
    <row r="2043" spans="1:16" x14ac:dyDescent="0.3">
      <c r="A2043">
        <v>401</v>
      </c>
      <c r="B2043" t="s">
        <v>1556</v>
      </c>
      <c r="C2043" t="s">
        <v>1901</v>
      </c>
      <c r="D2043" t="str">
        <f>VLOOKUP(YouTube_University_Data_Final[[#This Row],[Title]],[1]!YouTube_University_Data_Final[[Title]:[Title_language]],2,FALSE)</f>
        <v>English</v>
      </c>
      <c r="E2043" t="s">
        <v>2944</v>
      </c>
      <c r="F2043">
        <v>27</v>
      </c>
      <c r="G2043" s="1">
        <v>40036</v>
      </c>
      <c r="H2043">
        <v>197</v>
      </c>
      <c r="I2043" t="s">
        <v>1902</v>
      </c>
      <c r="J2043">
        <v>885</v>
      </c>
      <c r="K2043">
        <v>6</v>
      </c>
      <c r="L2043">
        <v>0</v>
      </c>
      <c r="M2043">
        <v>1</v>
      </c>
      <c r="N2043" t="s">
        <v>48</v>
      </c>
      <c r="O2043">
        <v>2009</v>
      </c>
      <c r="P2043" t="s">
        <v>18</v>
      </c>
    </row>
    <row r="2044" spans="1:16" x14ac:dyDescent="0.3">
      <c r="A2044">
        <v>402</v>
      </c>
      <c r="B2044" t="s">
        <v>1556</v>
      </c>
      <c r="C2044" t="s">
        <v>1903</v>
      </c>
      <c r="D2044" t="str">
        <f>VLOOKUP(YouTube_University_Data_Final[[#This Row],[Title]],[1]!YouTube_University_Data_Final[[Title]:[Title_language]],2,FALSE)</f>
        <v>English</v>
      </c>
      <c r="E2044" t="s">
        <v>2944</v>
      </c>
      <c r="F2044">
        <v>27</v>
      </c>
      <c r="G2044" s="1">
        <v>40036</v>
      </c>
      <c r="H2044">
        <v>313</v>
      </c>
      <c r="I2044" t="s">
        <v>4712</v>
      </c>
      <c r="J2044">
        <v>847</v>
      </c>
      <c r="K2044">
        <v>0</v>
      </c>
      <c r="L2044">
        <v>0</v>
      </c>
      <c r="M2044">
        <v>0</v>
      </c>
      <c r="N2044" t="s">
        <v>48</v>
      </c>
      <c r="O2044">
        <v>2009</v>
      </c>
      <c r="P2044" t="s">
        <v>18</v>
      </c>
    </row>
    <row r="2045" spans="1:16" x14ac:dyDescent="0.3">
      <c r="A2045">
        <v>403</v>
      </c>
      <c r="B2045" t="s">
        <v>1556</v>
      </c>
      <c r="C2045" t="s">
        <v>1904</v>
      </c>
      <c r="D2045" t="str">
        <f>VLOOKUP(YouTube_University_Data_Final[[#This Row],[Title]],[1]!YouTube_University_Data_Final[[Title]:[Title_language]],2,FALSE)</f>
        <v>English</v>
      </c>
      <c r="E2045" t="s">
        <v>470</v>
      </c>
      <c r="F2045">
        <v>27</v>
      </c>
      <c r="G2045" s="1">
        <v>40036</v>
      </c>
      <c r="H2045">
        <v>189</v>
      </c>
      <c r="I2045" t="s">
        <v>1905</v>
      </c>
      <c r="J2045">
        <v>299</v>
      </c>
      <c r="K2045">
        <v>1</v>
      </c>
      <c r="L2045">
        <v>0</v>
      </c>
      <c r="M2045">
        <v>0</v>
      </c>
      <c r="N2045" t="s">
        <v>48</v>
      </c>
      <c r="O2045">
        <v>2009</v>
      </c>
      <c r="P2045" t="s">
        <v>18</v>
      </c>
    </row>
    <row r="2046" spans="1:16" x14ac:dyDescent="0.3">
      <c r="A2046">
        <v>404</v>
      </c>
      <c r="B2046" t="s">
        <v>1556</v>
      </c>
      <c r="C2046" t="s">
        <v>1906</v>
      </c>
      <c r="D2046" t="str">
        <f>VLOOKUP(YouTube_University_Data_Final[[#This Row],[Title]],[1]!YouTube_University_Data_Final[[Title]:[Title_language]],2,FALSE)</f>
        <v>English</v>
      </c>
      <c r="E2046" t="s">
        <v>2944</v>
      </c>
      <c r="F2046">
        <v>27</v>
      </c>
      <c r="G2046" s="1">
        <v>40036</v>
      </c>
      <c r="H2046">
        <v>99</v>
      </c>
      <c r="I2046" t="s">
        <v>1907</v>
      </c>
      <c r="J2046">
        <v>471</v>
      </c>
      <c r="K2046">
        <v>0</v>
      </c>
      <c r="L2046">
        <v>0</v>
      </c>
      <c r="M2046">
        <v>0</v>
      </c>
      <c r="N2046" t="s">
        <v>48</v>
      </c>
      <c r="O2046">
        <v>2009</v>
      </c>
      <c r="P2046" t="s">
        <v>18</v>
      </c>
    </row>
    <row r="2047" spans="1:16" x14ac:dyDescent="0.3">
      <c r="A2047">
        <v>405</v>
      </c>
      <c r="B2047" t="s">
        <v>1556</v>
      </c>
      <c r="C2047" t="s">
        <v>4713</v>
      </c>
      <c r="D2047" t="str">
        <f>VLOOKUP(YouTube_University_Data_Final[[#This Row],[Title]],[1]!YouTube_University_Data_Final[[Title]:[Title_language]],2,FALSE)</f>
        <v>Chinese</v>
      </c>
      <c r="E2047" t="s">
        <v>2944</v>
      </c>
      <c r="F2047">
        <v>27</v>
      </c>
      <c r="G2047" s="1">
        <v>40035</v>
      </c>
      <c r="H2047">
        <v>68</v>
      </c>
      <c r="I2047" t="s">
        <v>1908</v>
      </c>
      <c r="J2047">
        <v>949</v>
      </c>
      <c r="K2047">
        <v>1</v>
      </c>
      <c r="L2047">
        <v>0</v>
      </c>
      <c r="M2047">
        <v>0</v>
      </c>
      <c r="N2047" t="s">
        <v>48</v>
      </c>
      <c r="O2047">
        <v>2009</v>
      </c>
      <c r="P2047" t="s">
        <v>18</v>
      </c>
    </row>
    <row r="2048" spans="1:16" x14ac:dyDescent="0.3">
      <c r="A2048">
        <v>406</v>
      </c>
      <c r="B2048" t="s">
        <v>1556</v>
      </c>
      <c r="C2048" t="s">
        <v>1909</v>
      </c>
      <c r="D2048" t="str">
        <f>VLOOKUP(YouTube_University_Data_Final[[#This Row],[Title]],[1]!YouTube_University_Data_Final[[Title]:[Title_language]],2,FALSE)</f>
        <v>English</v>
      </c>
      <c r="E2048" t="s">
        <v>1910</v>
      </c>
      <c r="F2048">
        <v>27</v>
      </c>
      <c r="G2048" s="1">
        <v>40023</v>
      </c>
      <c r="H2048">
        <v>434</v>
      </c>
      <c r="I2048" t="s">
        <v>1911</v>
      </c>
      <c r="J2048">
        <v>1738</v>
      </c>
      <c r="K2048">
        <v>4</v>
      </c>
      <c r="L2048">
        <v>0</v>
      </c>
      <c r="M2048">
        <v>0</v>
      </c>
      <c r="N2048" t="s">
        <v>56</v>
      </c>
      <c r="O2048">
        <v>2009</v>
      </c>
      <c r="P2048" t="s">
        <v>18</v>
      </c>
    </row>
    <row r="2049" spans="1:16" x14ac:dyDescent="0.3">
      <c r="A2049">
        <v>407</v>
      </c>
      <c r="B2049" t="s">
        <v>1556</v>
      </c>
      <c r="C2049" t="s">
        <v>1912</v>
      </c>
      <c r="D2049" t="str">
        <f>VLOOKUP(YouTube_University_Data_Final[[#This Row],[Title]],[1]!YouTube_University_Data_Final[[Title]:[Title_language]],2,FALSE)</f>
        <v>English</v>
      </c>
      <c r="E2049" t="s">
        <v>1913</v>
      </c>
      <c r="F2049">
        <v>27</v>
      </c>
      <c r="G2049" s="1">
        <v>40023</v>
      </c>
      <c r="H2049">
        <v>438</v>
      </c>
      <c r="I2049" t="s">
        <v>1914</v>
      </c>
      <c r="J2049">
        <v>7377</v>
      </c>
      <c r="K2049">
        <v>17</v>
      </c>
      <c r="L2049">
        <v>0</v>
      </c>
      <c r="M2049">
        <v>0</v>
      </c>
      <c r="N2049" t="s">
        <v>56</v>
      </c>
      <c r="O2049">
        <v>2009</v>
      </c>
      <c r="P2049" t="s">
        <v>18</v>
      </c>
    </row>
    <row r="2050" spans="1:16" x14ac:dyDescent="0.3">
      <c r="A2050">
        <v>408</v>
      </c>
      <c r="B2050" t="s">
        <v>1556</v>
      </c>
      <c r="C2050" t="s">
        <v>4714</v>
      </c>
      <c r="D2050" t="str">
        <f>VLOOKUP(YouTube_University_Data_Final[[#This Row],[Title]],[1]!YouTube_University_Data_Final[[Title]:[Title_language]],2,FALSE)</f>
        <v>Chinese</v>
      </c>
      <c r="E2050" t="s">
        <v>4715</v>
      </c>
      <c r="F2050">
        <v>27</v>
      </c>
      <c r="G2050" s="1">
        <v>40021</v>
      </c>
      <c r="H2050">
        <v>116</v>
      </c>
      <c r="I2050" t="s">
        <v>1915</v>
      </c>
      <c r="J2050">
        <v>4238</v>
      </c>
      <c r="K2050">
        <v>8</v>
      </c>
      <c r="L2050">
        <v>0</v>
      </c>
      <c r="M2050">
        <v>3</v>
      </c>
      <c r="N2050" t="s">
        <v>56</v>
      </c>
      <c r="O2050">
        <v>2009</v>
      </c>
      <c r="P2050" t="s">
        <v>18</v>
      </c>
    </row>
    <row r="2051" spans="1:16" x14ac:dyDescent="0.3">
      <c r="A2051">
        <v>409</v>
      </c>
      <c r="B2051" t="s">
        <v>1556</v>
      </c>
      <c r="C2051" t="s">
        <v>4716</v>
      </c>
      <c r="D2051" t="str">
        <f>VLOOKUP(YouTube_University_Data_Final[[#This Row],[Title]],[1]!YouTube_University_Data_Final[[Title]:[Title_language]],2,FALSE)</f>
        <v>Chinese</v>
      </c>
      <c r="E2051" t="s">
        <v>4717</v>
      </c>
      <c r="F2051">
        <v>27</v>
      </c>
      <c r="G2051" s="1">
        <v>40016</v>
      </c>
      <c r="H2051">
        <v>333</v>
      </c>
      <c r="I2051" t="s">
        <v>1916</v>
      </c>
      <c r="J2051">
        <v>1035</v>
      </c>
      <c r="K2051">
        <v>0</v>
      </c>
      <c r="L2051">
        <v>0</v>
      </c>
      <c r="M2051">
        <v>0</v>
      </c>
      <c r="N2051" t="s">
        <v>56</v>
      </c>
      <c r="O2051">
        <v>2009</v>
      </c>
      <c r="P2051" t="s">
        <v>18</v>
      </c>
    </row>
    <row r="2052" spans="1:16" x14ac:dyDescent="0.3">
      <c r="A2052">
        <v>410</v>
      </c>
      <c r="B2052" t="s">
        <v>1556</v>
      </c>
      <c r="C2052" t="s">
        <v>4718</v>
      </c>
      <c r="D2052" t="str">
        <f>VLOOKUP(YouTube_University_Data_Final[[#This Row],[Title]],[1]!YouTube_University_Data_Final[[Title]:[Title_language]],2,FALSE)</f>
        <v>Chinese</v>
      </c>
      <c r="E2052" t="s">
        <v>2944</v>
      </c>
      <c r="F2052">
        <v>27</v>
      </c>
      <c r="G2052" s="1">
        <v>40015</v>
      </c>
      <c r="H2052">
        <v>29</v>
      </c>
      <c r="I2052" t="s">
        <v>1917</v>
      </c>
      <c r="J2052">
        <v>242</v>
      </c>
      <c r="K2052">
        <v>1</v>
      </c>
      <c r="L2052">
        <v>0</v>
      </c>
      <c r="M2052">
        <v>0</v>
      </c>
      <c r="N2052" t="s">
        <v>56</v>
      </c>
      <c r="O2052">
        <v>2009</v>
      </c>
      <c r="P2052" t="s">
        <v>18</v>
      </c>
    </row>
    <row r="2053" spans="1:16" x14ac:dyDescent="0.3">
      <c r="A2053">
        <v>411</v>
      </c>
      <c r="B2053" t="s">
        <v>1556</v>
      </c>
      <c r="C2053" t="s">
        <v>4719</v>
      </c>
      <c r="D2053" t="str">
        <f>VLOOKUP(YouTube_University_Data_Final[[#This Row],[Title]],[1]!YouTube_University_Data_Final[[Title]:[Title_language]],2,FALSE)</f>
        <v>Chinese</v>
      </c>
      <c r="E2053" t="s">
        <v>2944</v>
      </c>
      <c r="F2053">
        <v>27</v>
      </c>
      <c r="G2053" s="1">
        <v>40008</v>
      </c>
      <c r="H2053">
        <v>165</v>
      </c>
      <c r="I2053" t="s">
        <v>1918</v>
      </c>
      <c r="J2053">
        <v>5335</v>
      </c>
      <c r="K2053">
        <v>3</v>
      </c>
      <c r="L2053">
        <v>0</v>
      </c>
      <c r="M2053">
        <v>0</v>
      </c>
      <c r="N2053" t="s">
        <v>56</v>
      </c>
      <c r="O2053">
        <v>2009</v>
      </c>
      <c r="P2053" t="s">
        <v>18</v>
      </c>
    </row>
    <row r="2054" spans="1:16" x14ac:dyDescent="0.3">
      <c r="A2054">
        <v>412</v>
      </c>
      <c r="B2054" t="s">
        <v>1556</v>
      </c>
      <c r="C2054" t="s">
        <v>1919</v>
      </c>
      <c r="D2054" t="str">
        <f>VLOOKUP(YouTube_University_Data_Final[[#This Row],[Title]],[1]!YouTube_University_Data_Final[[Title]:[Title_language]],2,FALSE)</f>
        <v>English</v>
      </c>
      <c r="E2054" t="s">
        <v>2944</v>
      </c>
      <c r="F2054">
        <v>27</v>
      </c>
      <c r="G2054" s="1">
        <v>39919</v>
      </c>
      <c r="H2054">
        <v>142</v>
      </c>
      <c r="I2054" t="s">
        <v>1920</v>
      </c>
      <c r="J2054">
        <v>708</v>
      </c>
      <c r="K2054">
        <v>0</v>
      </c>
      <c r="L2054">
        <v>0</v>
      </c>
      <c r="M2054">
        <v>0</v>
      </c>
      <c r="N2054" t="s">
        <v>87</v>
      </c>
      <c r="O2054">
        <v>2009</v>
      </c>
      <c r="P2054" t="s">
        <v>18</v>
      </c>
    </row>
    <row r="2055" spans="1:16" x14ac:dyDescent="0.3">
      <c r="A2055">
        <v>0</v>
      </c>
      <c r="B2055" t="s">
        <v>1921</v>
      </c>
      <c r="C2055" t="s">
        <v>1922</v>
      </c>
      <c r="D2055" t="str">
        <f>VLOOKUP(YouTube_University_Data_Final[[#This Row],[Title]],[1]!YouTube_University_Data_Final[[Title]:[Title_language]],2,FALSE)</f>
        <v>English</v>
      </c>
      <c r="E2055" t="s">
        <v>4720</v>
      </c>
      <c r="F2055">
        <v>27</v>
      </c>
      <c r="G2055" s="1">
        <v>44839</v>
      </c>
      <c r="H2055">
        <v>54</v>
      </c>
      <c r="I2055" t="s">
        <v>4721</v>
      </c>
      <c r="J2055">
        <v>17</v>
      </c>
      <c r="K2055">
        <v>2</v>
      </c>
      <c r="L2055">
        <v>0</v>
      </c>
      <c r="M2055">
        <v>0</v>
      </c>
      <c r="N2055" t="s">
        <v>17</v>
      </c>
      <c r="O2055">
        <v>2022</v>
      </c>
      <c r="P2055" t="s">
        <v>18</v>
      </c>
    </row>
    <row r="2056" spans="1:16" x14ac:dyDescent="0.3">
      <c r="A2056">
        <v>1</v>
      </c>
      <c r="B2056" t="s">
        <v>1921</v>
      </c>
      <c r="C2056" t="s">
        <v>4722</v>
      </c>
      <c r="D2056" t="str">
        <f>VLOOKUP(YouTube_University_Data_Final[[#This Row],[Title]],[1]!YouTube_University_Data_Final[[Title]:[Title_language]],2,FALSE)</f>
        <v>Chinese</v>
      </c>
      <c r="E2056" t="s">
        <v>4723</v>
      </c>
      <c r="F2056">
        <v>27</v>
      </c>
      <c r="G2056" s="1">
        <v>44835</v>
      </c>
      <c r="H2056">
        <v>368</v>
      </c>
      <c r="I2056" t="s">
        <v>4721</v>
      </c>
      <c r="J2056">
        <v>1354</v>
      </c>
      <c r="K2056">
        <v>61</v>
      </c>
      <c r="L2056">
        <v>0</v>
      </c>
      <c r="M2056">
        <v>0</v>
      </c>
      <c r="N2056" t="s">
        <v>17</v>
      </c>
      <c r="O2056">
        <v>2022</v>
      </c>
      <c r="P2056" t="s">
        <v>18</v>
      </c>
    </row>
    <row r="2057" spans="1:16" x14ac:dyDescent="0.3">
      <c r="A2057">
        <v>2</v>
      </c>
      <c r="B2057" t="s">
        <v>1921</v>
      </c>
      <c r="C2057" t="s">
        <v>1923</v>
      </c>
      <c r="D2057" t="str">
        <f>VLOOKUP(YouTube_University_Data_Final[[#This Row],[Title]],[1]!YouTube_University_Data_Final[[Title]:[Title_language]],2,FALSE)</f>
        <v>English</v>
      </c>
      <c r="E2057" t="s">
        <v>4724</v>
      </c>
      <c r="F2057">
        <v>27</v>
      </c>
      <c r="G2057" s="1">
        <v>44834</v>
      </c>
      <c r="H2057">
        <v>219</v>
      </c>
      <c r="I2057" t="s">
        <v>4725</v>
      </c>
      <c r="J2057">
        <v>455</v>
      </c>
      <c r="K2057">
        <v>6</v>
      </c>
      <c r="L2057">
        <v>0</v>
      </c>
      <c r="M2057">
        <v>0</v>
      </c>
      <c r="N2057" t="s">
        <v>21</v>
      </c>
      <c r="O2057">
        <v>2022</v>
      </c>
      <c r="P2057" t="s">
        <v>18</v>
      </c>
    </row>
    <row r="2058" spans="1:16" x14ac:dyDescent="0.3">
      <c r="A2058">
        <v>3</v>
      </c>
      <c r="B2058" t="s">
        <v>1921</v>
      </c>
      <c r="C2058" t="s">
        <v>4726</v>
      </c>
      <c r="D2058" t="str">
        <f>VLOOKUP(YouTube_University_Data_Final[[#This Row],[Title]],[1]!YouTube_University_Data_Final[[Title]:[Title_language]],2,FALSE)</f>
        <v>Bilingual</v>
      </c>
      <c r="E2058" t="s">
        <v>4727</v>
      </c>
      <c r="F2058">
        <v>27</v>
      </c>
      <c r="G2058" s="1">
        <v>44832</v>
      </c>
      <c r="H2058">
        <v>8084</v>
      </c>
      <c r="I2058" t="s">
        <v>4728</v>
      </c>
      <c r="J2058">
        <v>95</v>
      </c>
      <c r="K2058">
        <v>1</v>
      </c>
      <c r="L2058">
        <v>0</v>
      </c>
      <c r="M2058">
        <v>0</v>
      </c>
      <c r="N2058" t="s">
        <v>21</v>
      </c>
      <c r="O2058">
        <v>2022</v>
      </c>
      <c r="P2058" t="s">
        <v>18</v>
      </c>
    </row>
    <row r="2059" spans="1:16" x14ac:dyDescent="0.3">
      <c r="A2059">
        <v>4</v>
      </c>
      <c r="B2059" t="s">
        <v>1921</v>
      </c>
      <c r="C2059" t="s">
        <v>1924</v>
      </c>
      <c r="D2059" t="str">
        <f>VLOOKUP(YouTube_University_Data_Final[[#This Row],[Title]],[1]!YouTube_University_Data_Final[[Title]:[Title_language]],2,FALSE)</f>
        <v>English</v>
      </c>
      <c r="E2059" t="s">
        <v>4729</v>
      </c>
      <c r="F2059">
        <v>27</v>
      </c>
      <c r="G2059" s="1">
        <v>44826</v>
      </c>
      <c r="H2059">
        <v>329</v>
      </c>
      <c r="I2059" t="s">
        <v>4721</v>
      </c>
      <c r="J2059">
        <v>2541</v>
      </c>
      <c r="K2059">
        <v>26</v>
      </c>
      <c r="L2059">
        <v>0</v>
      </c>
      <c r="M2059">
        <v>0</v>
      </c>
      <c r="N2059" t="s">
        <v>21</v>
      </c>
      <c r="O2059">
        <v>2022</v>
      </c>
      <c r="P2059" t="s">
        <v>18</v>
      </c>
    </row>
    <row r="2060" spans="1:16" x14ac:dyDescent="0.3">
      <c r="A2060">
        <v>5</v>
      </c>
      <c r="B2060" t="s">
        <v>1921</v>
      </c>
      <c r="C2060" t="s">
        <v>1925</v>
      </c>
      <c r="D2060" t="str">
        <f>VLOOKUP(YouTube_University_Data_Final[[#This Row],[Title]],[1]!YouTube_University_Data_Final[[Title]:[Title_language]],2,FALSE)</f>
        <v>English</v>
      </c>
      <c r="E2060" t="s">
        <v>4730</v>
      </c>
      <c r="F2060">
        <v>27</v>
      </c>
      <c r="G2060" s="1">
        <v>44823</v>
      </c>
      <c r="H2060">
        <v>46</v>
      </c>
      <c r="I2060" t="s">
        <v>4721</v>
      </c>
      <c r="J2060">
        <v>2188</v>
      </c>
      <c r="K2060">
        <v>15</v>
      </c>
      <c r="L2060">
        <v>0</v>
      </c>
      <c r="M2060">
        <v>0</v>
      </c>
      <c r="N2060" t="s">
        <v>21</v>
      </c>
      <c r="O2060">
        <v>2022</v>
      </c>
      <c r="P2060" t="s">
        <v>18</v>
      </c>
    </row>
    <row r="2061" spans="1:16" x14ac:dyDescent="0.3">
      <c r="A2061">
        <v>6</v>
      </c>
      <c r="B2061" t="s">
        <v>1921</v>
      </c>
      <c r="C2061" t="s">
        <v>4731</v>
      </c>
      <c r="D2061" t="str">
        <f>VLOOKUP(YouTube_University_Data_Final[[#This Row],[Title]],[1]!YouTube_University_Data_Final[[Title]:[Title_language]],2,FALSE)</f>
        <v>Bilingual</v>
      </c>
      <c r="E2061" t="s">
        <v>4732</v>
      </c>
      <c r="F2061">
        <v>27</v>
      </c>
      <c r="G2061" s="1">
        <v>44820</v>
      </c>
      <c r="H2061">
        <v>6253</v>
      </c>
      <c r="I2061" t="s">
        <v>4721</v>
      </c>
      <c r="J2061">
        <v>7661</v>
      </c>
      <c r="K2061">
        <v>56</v>
      </c>
      <c r="L2061">
        <v>0</v>
      </c>
      <c r="M2061">
        <v>0</v>
      </c>
      <c r="N2061" t="s">
        <v>21</v>
      </c>
      <c r="O2061">
        <v>2022</v>
      </c>
      <c r="P2061" t="s">
        <v>18</v>
      </c>
    </row>
    <row r="2062" spans="1:16" x14ac:dyDescent="0.3">
      <c r="A2062">
        <v>7</v>
      </c>
      <c r="B2062" t="s">
        <v>1921</v>
      </c>
      <c r="C2062" t="s">
        <v>1926</v>
      </c>
      <c r="D2062" t="str">
        <f>VLOOKUP(YouTube_University_Data_Final[[#This Row],[Title]],[1]!YouTube_University_Data_Final[[Title]:[Title_language]],2,FALSE)</f>
        <v>English</v>
      </c>
      <c r="E2062" t="s">
        <v>1927</v>
      </c>
      <c r="F2062">
        <v>27</v>
      </c>
      <c r="G2062" s="1">
        <v>44811</v>
      </c>
      <c r="H2062">
        <v>343</v>
      </c>
      <c r="I2062" t="s">
        <v>4721</v>
      </c>
      <c r="J2062">
        <v>1333</v>
      </c>
      <c r="K2062">
        <v>20</v>
      </c>
      <c r="L2062">
        <v>0</v>
      </c>
      <c r="M2062">
        <v>0</v>
      </c>
      <c r="N2062" t="s">
        <v>21</v>
      </c>
      <c r="O2062">
        <v>2022</v>
      </c>
      <c r="P2062" t="s">
        <v>18</v>
      </c>
    </row>
    <row r="2063" spans="1:16" x14ac:dyDescent="0.3">
      <c r="A2063">
        <v>8</v>
      </c>
      <c r="B2063" t="s">
        <v>1921</v>
      </c>
      <c r="C2063" t="s">
        <v>4733</v>
      </c>
      <c r="D2063" t="str">
        <f>VLOOKUP(YouTube_University_Data_Final[[#This Row],[Title]],[1]!YouTube_University_Data_Final[[Title]:[Title_language]],2,FALSE)</f>
        <v>Bilingual</v>
      </c>
      <c r="E2063" t="s">
        <v>4734</v>
      </c>
      <c r="F2063">
        <v>27</v>
      </c>
      <c r="G2063" s="1">
        <v>44809</v>
      </c>
      <c r="H2063">
        <v>200</v>
      </c>
      <c r="I2063" t="s">
        <v>4721</v>
      </c>
      <c r="J2063">
        <v>220</v>
      </c>
      <c r="K2063">
        <v>5</v>
      </c>
      <c r="L2063">
        <v>0</v>
      </c>
      <c r="M2063">
        <v>0</v>
      </c>
      <c r="N2063" t="s">
        <v>21</v>
      </c>
      <c r="O2063">
        <v>2022</v>
      </c>
      <c r="P2063" t="s">
        <v>18</v>
      </c>
    </row>
    <row r="2064" spans="1:16" x14ac:dyDescent="0.3">
      <c r="A2064">
        <v>9</v>
      </c>
      <c r="B2064" t="s">
        <v>1921</v>
      </c>
      <c r="C2064" t="s">
        <v>4735</v>
      </c>
      <c r="D2064" t="str">
        <f>VLOOKUP(YouTube_University_Data_Final[[#This Row],[Title]],[1]!YouTube_University_Data_Final[[Title]:[Title_language]],2,FALSE)</f>
        <v>Bilingual</v>
      </c>
      <c r="E2064" t="s">
        <v>4736</v>
      </c>
      <c r="F2064">
        <v>27</v>
      </c>
      <c r="G2064" s="1">
        <v>44809</v>
      </c>
      <c r="H2064">
        <v>349</v>
      </c>
      <c r="I2064" t="s">
        <v>4721</v>
      </c>
      <c r="J2064">
        <v>203</v>
      </c>
      <c r="K2064">
        <v>4</v>
      </c>
      <c r="L2064">
        <v>0</v>
      </c>
      <c r="M2064">
        <v>0</v>
      </c>
      <c r="N2064" t="s">
        <v>21</v>
      </c>
      <c r="O2064">
        <v>2022</v>
      </c>
      <c r="P2064" t="s">
        <v>18</v>
      </c>
    </row>
    <row r="2065" spans="1:16" x14ac:dyDescent="0.3">
      <c r="A2065">
        <v>10</v>
      </c>
      <c r="B2065" t="s">
        <v>1921</v>
      </c>
      <c r="C2065" t="s">
        <v>1928</v>
      </c>
      <c r="D2065" t="str">
        <f>VLOOKUP(YouTube_University_Data_Final[[#This Row],[Title]],[1]!YouTube_University_Data_Final[[Title]:[Title_language]],2,FALSE)</f>
        <v>English</v>
      </c>
      <c r="E2065" t="s">
        <v>1929</v>
      </c>
      <c r="F2065">
        <v>27</v>
      </c>
      <c r="G2065" s="1">
        <v>44806</v>
      </c>
      <c r="H2065">
        <v>105</v>
      </c>
      <c r="I2065" t="s">
        <v>4721</v>
      </c>
      <c r="J2065">
        <v>83</v>
      </c>
      <c r="K2065">
        <v>0</v>
      </c>
      <c r="L2065">
        <v>0</v>
      </c>
      <c r="M2065">
        <v>0</v>
      </c>
      <c r="N2065" t="s">
        <v>21</v>
      </c>
      <c r="O2065">
        <v>2022</v>
      </c>
      <c r="P2065" t="s">
        <v>18</v>
      </c>
    </row>
    <row r="2066" spans="1:16" x14ac:dyDescent="0.3">
      <c r="A2066">
        <v>11</v>
      </c>
      <c r="B2066" t="s">
        <v>1921</v>
      </c>
      <c r="C2066" t="s">
        <v>4737</v>
      </c>
      <c r="D2066" t="str">
        <f>VLOOKUP(YouTube_University_Data_Final[[#This Row],[Title]],[1]!YouTube_University_Data_Final[[Title]:[Title_language]],2,FALSE)</f>
        <v>English</v>
      </c>
      <c r="E2066" t="s">
        <v>4738</v>
      </c>
      <c r="F2066">
        <v>27</v>
      </c>
      <c r="G2066" s="1">
        <v>44803</v>
      </c>
      <c r="H2066">
        <v>207</v>
      </c>
      <c r="I2066" t="s">
        <v>4721</v>
      </c>
      <c r="J2066">
        <v>489</v>
      </c>
      <c r="K2066">
        <v>7</v>
      </c>
      <c r="L2066">
        <v>0</v>
      </c>
      <c r="M2066">
        <v>0</v>
      </c>
      <c r="N2066" t="s">
        <v>48</v>
      </c>
      <c r="O2066">
        <v>2022</v>
      </c>
      <c r="P2066" t="s">
        <v>18</v>
      </c>
    </row>
    <row r="2067" spans="1:16" x14ac:dyDescent="0.3">
      <c r="A2067">
        <v>12</v>
      </c>
      <c r="B2067" t="s">
        <v>1921</v>
      </c>
      <c r="C2067" t="s">
        <v>1930</v>
      </c>
      <c r="D2067" t="str">
        <f>VLOOKUP(YouTube_University_Data_Final[[#This Row],[Title]],[1]!YouTube_University_Data_Final[[Title]:[Title_language]],2,FALSE)</f>
        <v>English</v>
      </c>
      <c r="E2067" t="s">
        <v>1931</v>
      </c>
      <c r="F2067">
        <v>27</v>
      </c>
      <c r="G2067" s="1">
        <v>44799</v>
      </c>
      <c r="H2067">
        <v>58</v>
      </c>
      <c r="I2067" t="s">
        <v>4721</v>
      </c>
      <c r="J2067">
        <v>132</v>
      </c>
      <c r="K2067">
        <v>0</v>
      </c>
      <c r="L2067">
        <v>0</v>
      </c>
      <c r="M2067">
        <v>0</v>
      </c>
      <c r="N2067" t="s">
        <v>48</v>
      </c>
      <c r="O2067">
        <v>2022</v>
      </c>
      <c r="P2067" t="s">
        <v>18</v>
      </c>
    </row>
    <row r="2068" spans="1:16" x14ac:dyDescent="0.3">
      <c r="A2068">
        <v>13</v>
      </c>
      <c r="B2068" t="s">
        <v>1921</v>
      </c>
      <c r="C2068" t="s">
        <v>1932</v>
      </c>
      <c r="D2068" t="str">
        <f>VLOOKUP(YouTube_University_Data_Final[[#This Row],[Title]],[1]!YouTube_University_Data_Final[[Title]:[Title_language]],2,FALSE)</f>
        <v>English</v>
      </c>
      <c r="E2068" t="s">
        <v>1931</v>
      </c>
      <c r="F2068">
        <v>27</v>
      </c>
      <c r="G2068" s="1">
        <v>44799</v>
      </c>
      <c r="H2068">
        <v>62</v>
      </c>
      <c r="I2068" t="s">
        <v>4721</v>
      </c>
      <c r="J2068">
        <v>97</v>
      </c>
      <c r="K2068">
        <v>1</v>
      </c>
      <c r="L2068">
        <v>0</v>
      </c>
      <c r="M2068">
        <v>0</v>
      </c>
      <c r="N2068" t="s">
        <v>48</v>
      </c>
      <c r="O2068">
        <v>2022</v>
      </c>
      <c r="P2068" t="s">
        <v>18</v>
      </c>
    </row>
    <row r="2069" spans="1:16" x14ac:dyDescent="0.3">
      <c r="A2069">
        <v>14</v>
      </c>
      <c r="B2069" t="s">
        <v>1921</v>
      </c>
      <c r="C2069" t="s">
        <v>1933</v>
      </c>
      <c r="D2069" t="str">
        <f>VLOOKUP(YouTube_University_Data_Final[[#This Row],[Title]],[1]!YouTube_University_Data_Final[[Title]:[Title_language]],2,FALSE)</f>
        <v>English</v>
      </c>
      <c r="E2069" t="s">
        <v>1934</v>
      </c>
      <c r="F2069">
        <v>27</v>
      </c>
      <c r="G2069" s="1">
        <v>44799</v>
      </c>
      <c r="H2069">
        <v>67</v>
      </c>
      <c r="I2069" t="s">
        <v>4721</v>
      </c>
      <c r="J2069">
        <v>126</v>
      </c>
      <c r="K2069">
        <v>4</v>
      </c>
      <c r="L2069">
        <v>0</v>
      </c>
      <c r="M2069">
        <v>0</v>
      </c>
      <c r="N2069" t="s">
        <v>48</v>
      </c>
      <c r="O2069">
        <v>2022</v>
      </c>
      <c r="P2069" t="s">
        <v>18</v>
      </c>
    </row>
    <row r="2070" spans="1:16" x14ac:dyDescent="0.3">
      <c r="A2070">
        <v>15</v>
      </c>
      <c r="B2070" t="s">
        <v>1921</v>
      </c>
      <c r="C2070" t="s">
        <v>1935</v>
      </c>
      <c r="D2070" t="str">
        <f>VLOOKUP(YouTube_University_Data_Final[[#This Row],[Title]],[1]!YouTube_University_Data_Final[[Title]:[Title_language]],2,FALSE)</f>
        <v>English</v>
      </c>
      <c r="E2070" t="s">
        <v>1936</v>
      </c>
      <c r="F2070">
        <v>27</v>
      </c>
      <c r="G2070" s="1">
        <v>44799</v>
      </c>
      <c r="H2070">
        <v>2</v>
      </c>
      <c r="I2070" t="s">
        <v>4721</v>
      </c>
      <c r="J2070">
        <v>63</v>
      </c>
      <c r="K2070">
        <v>0</v>
      </c>
      <c r="L2070">
        <v>0</v>
      </c>
      <c r="M2070">
        <v>0</v>
      </c>
      <c r="N2070" t="s">
        <v>48</v>
      </c>
      <c r="O2070">
        <v>2022</v>
      </c>
      <c r="P2070" t="s">
        <v>18</v>
      </c>
    </row>
    <row r="2071" spans="1:16" x14ac:dyDescent="0.3">
      <c r="A2071">
        <v>16</v>
      </c>
      <c r="B2071" t="s">
        <v>1921</v>
      </c>
      <c r="C2071" t="s">
        <v>1937</v>
      </c>
      <c r="D2071" t="str">
        <f>VLOOKUP(YouTube_University_Data_Final[[#This Row],[Title]],[1]!YouTube_University_Data_Final[[Title]:[Title_language]],2,FALSE)</f>
        <v>English</v>
      </c>
      <c r="E2071" t="s">
        <v>1938</v>
      </c>
      <c r="F2071">
        <v>27</v>
      </c>
      <c r="G2071" s="1">
        <v>44799</v>
      </c>
      <c r="H2071">
        <v>97</v>
      </c>
      <c r="I2071" t="s">
        <v>4721</v>
      </c>
      <c r="J2071">
        <v>95</v>
      </c>
      <c r="K2071">
        <v>0</v>
      </c>
      <c r="L2071">
        <v>0</v>
      </c>
      <c r="M2071">
        <v>0</v>
      </c>
      <c r="N2071" t="s">
        <v>48</v>
      </c>
      <c r="O2071">
        <v>2022</v>
      </c>
      <c r="P2071" t="s">
        <v>18</v>
      </c>
    </row>
    <row r="2072" spans="1:16" x14ac:dyDescent="0.3">
      <c r="A2072">
        <v>17</v>
      </c>
      <c r="B2072" t="s">
        <v>1921</v>
      </c>
      <c r="C2072" t="s">
        <v>1939</v>
      </c>
      <c r="D2072" t="str">
        <f>VLOOKUP(YouTube_University_Data_Final[[#This Row],[Title]],[1]!YouTube_University_Data_Final[[Title]:[Title_language]],2,FALSE)</f>
        <v>English</v>
      </c>
      <c r="E2072" t="s">
        <v>1940</v>
      </c>
      <c r="F2072">
        <v>27</v>
      </c>
      <c r="G2072" s="1">
        <v>44799</v>
      </c>
      <c r="H2072">
        <v>95</v>
      </c>
      <c r="I2072" t="s">
        <v>4721</v>
      </c>
      <c r="J2072">
        <v>167</v>
      </c>
      <c r="K2072">
        <v>2</v>
      </c>
      <c r="L2072">
        <v>0</v>
      </c>
      <c r="M2072">
        <v>0</v>
      </c>
      <c r="N2072" t="s">
        <v>48</v>
      </c>
      <c r="O2072">
        <v>2022</v>
      </c>
      <c r="P2072" t="s">
        <v>18</v>
      </c>
    </row>
    <row r="2073" spans="1:16" x14ac:dyDescent="0.3">
      <c r="A2073">
        <v>18</v>
      </c>
      <c r="B2073" t="s">
        <v>1921</v>
      </c>
      <c r="C2073" t="s">
        <v>1941</v>
      </c>
      <c r="D2073" t="str">
        <f>VLOOKUP(YouTube_University_Data_Final[[#This Row],[Title]],[1]!YouTube_University_Data_Final[[Title]:[Title_language]],2,FALSE)</f>
        <v>English</v>
      </c>
      <c r="E2073" t="s">
        <v>1942</v>
      </c>
      <c r="F2073">
        <v>27</v>
      </c>
      <c r="G2073" s="1">
        <v>44799</v>
      </c>
      <c r="H2073">
        <v>93</v>
      </c>
      <c r="I2073" t="s">
        <v>4721</v>
      </c>
      <c r="J2073">
        <v>37</v>
      </c>
      <c r="K2073">
        <v>0</v>
      </c>
      <c r="L2073">
        <v>0</v>
      </c>
      <c r="M2073">
        <v>0</v>
      </c>
      <c r="N2073" t="s">
        <v>48</v>
      </c>
      <c r="O2073">
        <v>2022</v>
      </c>
      <c r="P2073" t="s">
        <v>18</v>
      </c>
    </row>
    <row r="2074" spans="1:16" x14ac:dyDescent="0.3">
      <c r="A2074">
        <v>19</v>
      </c>
      <c r="B2074" t="s">
        <v>1921</v>
      </c>
      <c r="C2074" t="s">
        <v>1943</v>
      </c>
      <c r="D2074" t="str">
        <f>VLOOKUP(YouTube_University_Data_Final[[#This Row],[Title]],[1]!YouTube_University_Data_Final[[Title]:[Title_language]],2,FALSE)</f>
        <v>English</v>
      </c>
      <c r="E2074" t="s">
        <v>1944</v>
      </c>
      <c r="F2074">
        <v>27</v>
      </c>
      <c r="G2074" s="1">
        <v>44799</v>
      </c>
      <c r="H2074">
        <v>121</v>
      </c>
      <c r="I2074" t="s">
        <v>4721</v>
      </c>
      <c r="J2074">
        <v>70</v>
      </c>
      <c r="K2074">
        <v>1</v>
      </c>
      <c r="L2074">
        <v>0</v>
      </c>
      <c r="M2074">
        <v>0</v>
      </c>
      <c r="N2074" t="s">
        <v>48</v>
      </c>
      <c r="O2074">
        <v>2022</v>
      </c>
      <c r="P2074" t="s">
        <v>18</v>
      </c>
    </row>
    <row r="2075" spans="1:16" x14ac:dyDescent="0.3">
      <c r="A2075">
        <v>20</v>
      </c>
      <c r="B2075" t="s">
        <v>1921</v>
      </c>
      <c r="C2075" t="s">
        <v>4739</v>
      </c>
      <c r="D2075" t="str">
        <f>VLOOKUP(YouTube_University_Data_Final[[#This Row],[Title]],[1]!YouTube_University_Data_Final[[Title]:[Title_language]],2,FALSE)</f>
        <v>Bilingual</v>
      </c>
      <c r="E2075" t="s">
        <v>4740</v>
      </c>
      <c r="F2075">
        <v>27</v>
      </c>
      <c r="G2075" s="1">
        <v>44798</v>
      </c>
      <c r="H2075">
        <v>55</v>
      </c>
      <c r="I2075" t="s">
        <v>4721</v>
      </c>
      <c r="J2075">
        <v>91</v>
      </c>
      <c r="K2075">
        <v>1</v>
      </c>
      <c r="L2075">
        <v>0</v>
      </c>
      <c r="M2075">
        <v>0</v>
      </c>
      <c r="N2075" t="s">
        <v>48</v>
      </c>
      <c r="O2075">
        <v>2022</v>
      </c>
      <c r="P2075" t="s">
        <v>18</v>
      </c>
    </row>
    <row r="2076" spans="1:16" x14ac:dyDescent="0.3">
      <c r="A2076">
        <v>21</v>
      </c>
      <c r="B2076" t="s">
        <v>1921</v>
      </c>
      <c r="C2076" t="s">
        <v>1945</v>
      </c>
      <c r="D2076" t="str">
        <f>VLOOKUP(YouTube_University_Data_Final[[#This Row],[Title]],[1]!YouTube_University_Data_Final[[Title]:[Title_language]],2,FALSE)</f>
        <v>English</v>
      </c>
      <c r="E2076" t="s">
        <v>1946</v>
      </c>
      <c r="F2076">
        <v>27</v>
      </c>
      <c r="G2076" s="1">
        <v>44798</v>
      </c>
      <c r="H2076">
        <v>203</v>
      </c>
      <c r="I2076" t="s">
        <v>4721</v>
      </c>
      <c r="J2076">
        <v>17842</v>
      </c>
      <c r="K2076">
        <v>9</v>
      </c>
      <c r="L2076">
        <v>0</v>
      </c>
      <c r="M2076">
        <v>0</v>
      </c>
      <c r="N2076" t="s">
        <v>48</v>
      </c>
      <c r="O2076">
        <v>2022</v>
      </c>
      <c r="P2076" t="s">
        <v>18</v>
      </c>
    </row>
    <row r="2077" spans="1:16" x14ac:dyDescent="0.3">
      <c r="A2077">
        <v>22</v>
      </c>
      <c r="B2077" t="s">
        <v>1921</v>
      </c>
      <c r="C2077" t="s">
        <v>4741</v>
      </c>
      <c r="D2077" t="str">
        <f>VLOOKUP(YouTube_University_Data_Final[[#This Row],[Title]],[1]!YouTube_University_Data_Final[[Title]:[Title_language]],2,FALSE)</f>
        <v>Bilingual</v>
      </c>
      <c r="E2077" t="s">
        <v>4742</v>
      </c>
      <c r="F2077">
        <v>27</v>
      </c>
      <c r="G2077" s="1">
        <v>44797</v>
      </c>
      <c r="H2077">
        <v>89</v>
      </c>
      <c r="I2077" t="s">
        <v>4721</v>
      </c>
      <c r="J2077">
        <v>22521</v>
      </c>
      <c r="K2077">
        <v>17</v>
      </c>
      <c r="L2077">
        <v>0</v>
      </c>
      <c r="M2077">
        <v>0</v>
      </c>
      <c r="N2077" t="s">
        <v>48</v>
      </c>
      <c r="O2077">
        <v>2022</v>
      </c>
      <c r="P2077" t="s">
        <v>18</v>
      </c>
    </row>
    <row r="2078" spans="1:16" x14ac:dyDescent="0.3">
      <c r="A2078">
        <v>23</v>
      </c>
      <c r="B2078" t="s">
        <v>1921</v>
      </c>
      <c r="C2078" t="s">
        <v>4743</v>
      </c>
      <c r="D2078" t="str">
        <f>VLOOKUP(YouTube_University_Data_Final[[#This Row],[Title]],[1]!YouTube_University_Data_Final[[Title]:[Title_language]],2,FALSE)</f>
        <v>Bilingual</v>
      </c>
      <c r="E2078" t="s">
        <v>4744</v>
      </c>
      <c r="F2078">
        <v>27</v>
      </c>
      <c r="G2078" s="1">
        <v>44797</v>
      </c>
      <c r="H2078">
        <v>3086</v>
      </c>
      <c r="I2078" t="s">
        <v>4721</v>
      </c>
      <c r="J2078">
        <v>8032</v>
      </c>
      <c r="K2078">
        <v>60</v>
      </c>
      <c r="L2078">
        <v>0</v>
      </c>
      <c r="M2078">
        <v>0</v>
      </c>
      <c r="N2078" t="s">
        <v>48</v>
      </c>
      <c r="O2078">
        <v>2022</v>
      </c>
      <c r="P2078" t="s">
        <v>18</v>
      </c>
    </row>
    <row r="2079" spans="1:16" x14ac:dyDescent="0.3">
      <c r="A2079">
        <v>24</v>
      </c>
      <c r="B2079" t="s">
        <v>1921</v>
      </c>
      <c r="C2079" t="s">
        <v>4745</v>
      </c>
      <c r="D2079" t="str">
        <f>VLOOKUP(YouTube_University_Data_Final[[#This Row],[Title]],[1]!YouTube_University_Data_Final[[Title]:[Title_language]],2,FALSE)</f>
        <v>Bilingual</v>
      </c>
      <c r="E2079" t="s">
        <v>4746</v>
      </c>
      <c r="F2079">
        <v>27</v>
      </c>
      <c r="G2079" s="1">
        <v>44795</v>
      </c>
      <c r="H2079">
        <v>168</v>
      </c>
      <c r="I2079" t="s">
        <v>4721</v>
      </c>
      <c r="J2079">
        <v>85</v>
      </c>
      <c r="K2079">
        <v>0</v>
      </c>
      <c r="L2079">
        <v>0</v>
      </c>
      <c r="M2079">
        <v>0</v>
      </c>
      <c r="N2079" t="s">
        <v>48</v>
      </c>
      <c r="O2079">
        <v>2022</v>
      </c>
      <c r="P2079" t="s">
        <v>18</v>
      </c>
    </row>
    <row r="2080" spans="1:16" x14ac:dyDescent="0.3">
      <c r="A2080">
        <v>25</v>
      </c>
      <c r="B2080" t="s">
        <v>1921</v>
      </c>
      <c r="C2080" t="s">
        <v>4747</v>
      </c>
      <c r="D2080" t="str">
        <f>VLOOKUP(YouTube_University_Data_Final[[#This Row],[Title]],[1]!YouTube_University_Data_Final[[Title]:[Title_language]],2,FALSE)</f>
        <v>English</v>
      </c>
      <c r="E2080" t="s">
        <v>4748</v>
      </c>
      <c r="F2080">
        <v>27</v>
      </c>
      <c r="G2080" s="1">
        <v>44789</v>
      </c>
      <c r="H2080">
        <v>236</v>
      </c>
      <c r="I2080" t="s">
        <v>4721</v>
      </c>
      <c r="J2080">
        <v>556</v>
      </c>
      <c r="K2080">
        <v>6</v>
      </c>
      <c r="L2080">
        <v>0</v>
      </c>
      <c r="M2080">
        <v>0</v>
      </c>
      <c r="N2080" t="s">
        <v>48</v>
      </c>
      <c r="O2080">
        <v>2022</v>
      </c>
      <c r="P2080" t="s">
        <v>18</v>
      </c>
    </row>
    <row r="2081" spans="1:16" x14ac:dyDescent="0.3">
      <c r="A2081">
        <v>26</v>
      </c>
      <c r="B2081" t="s">
        <v>1921</v>
      </c>
      <c r="C2081" t="s">
        <v>4749</v>
      </c>
      <c r="D2081" s="16" t="str">
        <f>VLOOKUP(YouTube_University_Data_Final[[#This Row],[Title]],[1]!YouTube_University_Data_Final[[Title]:[Title_language]],2,FALSE)</f>
        <v>Bilingual</v>
      </c>
      <c r="E2081" t="s">
        <v>4750</v>
      </c>
      <c r="F2081">
        <v>27</v>
      </c>
      <c r="G2081" s="1">
        <v>44781</v>
      </c>
      <c r="H2081">
        <v>242</v>
      </c>
      <c r="I2081" t="s">
        <v>4721</v>
      </c>
      <c r="J2081">
        <v>278</v>
      </c>
      <c r="K2081">
        <v>2</v>
      </c>
      <c r="L2081">
        <v>0</v>
      </c>
      <c r="M2081">
        <v>0</v>
      </c>
      <c r="N2081" t="s">
        <v>48</v>
      </c>
      <c r="O2081">
        <v>2022</v>
      </c>
      <c r="P2081" t="s">
        <v>18</v>
      </c>
    </row>
    <row r="2082" spans="1:16" x14ac:dyDescent="0.3">
      <c r="A2082">
        <v>27</v>
      </c>
      <c r="B2082" t="s">
        <v>1921</v>
      </c>
      <c r="C2082" t="s">
        <v>1947</v>
      </c>
      <c r="D2082" s="16" t="str">
        <f>VLOOKUP(YouTube_University_Data_Final[[#This Row],[Title]],[1]!YouTube_University_Data_Final[[Title]:[Title_language]],2,FALSE)</f>
        <v>English</v>
      </c>
      <c r="E2082" t="s">
        <v>4751</v>
      </c>
      <c r="F2082">
        <v>27</v>
      </c>
      <c r="G2082" s="1">
        <v>44776</v>
      </c>
      <c r="H2082">
        <v>225</v>
      </c>
      <c r="I2082" t="s">
        <v>4721</v>
      </c>
      <c r="J2082">
        <v>545</v>
      </c>
      <c r="K2082">
        <v>12</v>
      </c>
      <c r="L2082">
        <v>0</v>
      </c>
      <c r="M2082">
        <v>0</v>
      </c>
      <c r="N2082" t="s">
        <v>48</v>
      </c>
      <c r="O2082">
        <v>2022</v>
      </c>
      <c r="P2082" t="s">
        <v>18</v>
      </c>
    </row>
    <row r="2083" spans="1:16" x14ac:dyDescent="0.3">
      <c r="A2083">
        <v>28</v>
      </c>
      <c r="B2083" t="s">
        <v>1921</v>
      </c>
      <c r="C2083" t="s">
        <v>4752</v>
      </c>
      <c r="D2083" s="16" t="str">
        <f>VLOOKUP(YouTube_University_Data_Final[[#This Row],[Title]],[1]!YouTube_University_Data_Final[[Title]:[Title_language]],2,FALSE)</f>
        <v>Bilingual</v>
      </c>
      <c r="E2083" t="s">
        <v>4753</v>
      </c>
      <c r="F2083">
        <v>27</v>
      </c>
      <c r="G2083" s="1">
        <v>44767</v>
      </c>
      <c r="H2083">
        <v>242</v>
      </c>
      <c r="I2083" t="s">
        <v>4754</v>
      </c>
      <c r="J2083">
        <v>193</v>
      </c>
      <c r="K2083">
        <v>0</v>
      </c>
      <c r="L2083">
        <v>0</v>
      </c>
      <c r="M2083">
        <v>0</v>
      </c>
      <c r="N2083" t="s">
        <v>56</v>
      </c>
      <c r="O2083">
        <v>2022</v>
      </c>
      <c r="P2083" t="s">
        <v>18</v>
      </c>
    </row>
    <row r="2084" spans="1:16" x14ac:dyDescent="0.3">
      <c r="A2084">
        <v>29</v>
      </c>
      <c r="B2084" t="s">
        <v>1921</v>
      </c>
      <c r="C2084" t="s">
        <v>1948</v>
      </c>
      <c r="D2084" s="16" t="str">
        <f>VLOOKUP(YouTube_University_Data_Final[[#This Row],[Title]],[1]!YouTube_University_Data_Final[[Title]:[Title_language]],2,FALSE)</f>
        <v>English</v>
      </c>
      <c r="E2084" t="s">
        <v>4755</v>
      </c>
      <c r="F2084">
        <v>27</v>
      </c>
      <c r="G2084" s="1">
        <v>44763</v>
      </c>
      <c r="H2084">
        <v>212</v>
      </c>
      <c r="I2084" t="s">
        <v>4721</v>
      </c>
      <c r="J2084">
        <v>881</v>
      </c>
      <c r="K2084">
        <v>9</v>
      </c>
      <c r="L2084">
        <v>0</v>
      </c>
      <c r="M2084">
        <v>0</v>
      </c>
      <c r="N2084" t="s">
        <v>56</v>
      </c>
      <c r="O2084">
        <v>2022</v>
      </c>
      <c r="P2084" t="s">
        <v>18</v>
      </c>
    </row>
    <row r="2085" spans="1:16" x14ac:dyDescent="0.3">
      <c r="A2085">
        <v>30</v>
      </c>
      <c r="B2085" t="s">
        <v>1921</v>
      </c>
      <c r="C2085" t="s">
        <v>4756</v>
      </c>
      <c r="D2085" t="str">
        <f>VLOOKUP(YouTube_University_Data_Final[[#This Row],[Title]],[1]!YouTube_University_Data_Final[[Title]:[Title_language]],2,FALSE)</f>
        <v>Bilingual</v>
      </c>
      <c r="E2085" t="s">
        <v>4757</v>
      </c>
      <c r="F2085">
        <v>27</v>
      </c>
      <c r="G2085" s="1">
        <v>44760</v>
      </c>
      <c r="H2085">
        <v>232</v>
      </c>
      <c r="I2085" t="s">
        <v>4721</v>
      </c>
      <c r="J2085">
        <v>237</v>
      </c>
      <c r="K2085">
        <v>4</v>
      </c>
      <c r="L2085">
        <v>0</v>
      </c>
      <c r="M2085">
        <v>0</v>
      </c>
      <c r="N2085" t="s">
        <v>56</v>
      </c>
      <c r="O2085">
        <v>2022</v>
      </c>
      <c r="P2085" t="s">
        <v>18</v>
      </c>
    </row>
    <row r="2086" spans="1:16" x14ac:dyDescent="0.3">
      <c r="A2086">
        <v>31</v>
      </c>
      <c r="B2086" t="s">
        <v>1921</v>
      </c>
      <c r="C2086" t="s">
        <v>4758</v>
      </c>
      <c r="D2086" s="16" t="str">
        <f>VLOOKUP(YouTube_University_Data_Final[[#This Row],[Title]],[1]!YouTube_University_Data_Final[[Title]:[Title_language]],2,FALSE)</f>
        <v>Chinese</v>
      </c>
      <c r="E2086" t="s">
        <v>4759</v>
      </c>
      <c r="F2086">
        <v>27</v>
      </c>
      <c r="G2086" s="1">
        <v>44758</v>
      </c>
      <c r="H2086">
        <v>55</v>
      </c>
      <c r="I2086" t="s">
        <v>4721</v>
      </c>
      <c r="J2086">
        <v>6741</v>
      </c>
      <c r="K2086">
        <v>5</v>
      </c>
      <c r="L2086">
        <v>0</v>
      </c>
      <c r="M2086">
        <v>0</v>
      </c>
      <c r="N2086" t="s">
        <v>56</v>
      </c>
      <c r="O2086">
        <v>2022</v>
      </c>
      <c r="P2086" t="s">
        <v>18</v>
      </c>
    </row>
    <row r="2087" spans="1:16" x14ac:dyDescent="0.3">
      <c r="A2087">
        <v>32</v>
      </c>
      <c r="B2087" t="s">
        <v>1921</v>
      </c>
      <c r="C2087" t="s">
        <v>4760</v>
      </c>
      <c r="D2087" t="str">
        <f>VLOOKUP(YouTube_University_Data_Final[[#This Row],[Title]],[1]!YouTube_University_Data_Final[[Title]:[Title_language]],2,FALSE)</f>
        <v>Bilingual</v>
      </c>
      <c r="E2087" t="s">
        <v>4761</v>
      </c>
      <c r="F2087">
        <v>27</v>
      </c>
      <c r="G2087" s="1">
        <v>44758</v>
      </c>
      <c r="H2087">
        <v>4933</v>
      </c>
      <c r="I2087" t="s">
        <v>4721</v>
      </c>
      <c r="J2087">
        <v>18167</v>
      </c>
      <c r="K2087">
        <v>16</v>
      </c>
      <c r="L2087">
        <v>0</v>
      </c>
      <c r="M2087">
        <v>0</v>
      </c>
      <c r="N2087" t="s">
        <v>56</v>
      </c>
      <c r="O2087">
        <v>2022</v>
      </c>
      <c r="P2087" t="s">
        <v>18</v>
      </c>
    </row>
    <row r="2088" spans="1:16" x14ac:dyDescent="0.3">
      <c r="A2088">
        <v>33</v>
      </c>
      <c r="B2088" t="s">
        <v>1921</v>
      </c>
      <c r="C2088" t="s">
        <v>1949</v>
      </c>
      <c r="D2088" t="str">
        <f>VLOOKUP(YouTube_University_Data_Final[[#This Row],[Title]],[1]!YouTube_University_Data_Final[[Title]:[Title_language]],2,FALSE)</f>
        <v>English</v>
      </c>
      <c r="E2088" t="s">
        <v>4762</v>
      </c>
      <c r="F2088">
        <v>27</v>
      </c>
      <c r="G2088" s="1">
        <v>44755</v>
      </c>
      <c r="H2088">
        <v>101</v>
      </c>
      <c r="I2088" t="s">
        <v>4721</v>
      </c>
      <c r="J2088">
        <v>338</v>
      </c>
      <c r="K2088">
        <v>2</v>
      </c>
      <c r="L2088">
        <v>0</v>
      </c>
      <c r="M2088">
        <v>0</v>
      </c>
      <c r="N2088" t="s">
        <v>56</v>
      </c>
      <c r="O2088">
        <v>2022</v>
      </c>
      <c r="P2088" t="s">
        <v>18</v>
      </c>
    </row>
    <row r="2089" spans="1:16" x14ac:dyDescent="0.3">
      <c r="A2089">
        <v>34</v>
      </c>
      <c r="B2089" t="s">
        <v>1921</v>
      </c>
      <c r="C2089" t="s">
        <v>4763</v>
      </c>
      <c r="D2089" t="str">
        <f>VLOOKUP(YouTube_University_Data_Final[[#This Row],[Title]],[1]!YouTube_University_Data_Final[[Title]:[Title_language]],2,FALSE)</f>
        <v>English</v>
      </c>
      <c r="E2089" t="s">
        <v>4764</v>
      </c>
      <c r="F2089">
        <v>27</v>
      </c>
      <c r="G2089" s="1">
        <v>44753</v>
      </c>
      <c r="H2089">
        <v>109</v>
      </c>
      <c r="I2089" t="s">
        <v>4721</v>
      </c>
      <c r="J2089">
        <v>70921</v>
      </c>
      <c r="K2089">
        <v>18</v>
      </c>
      <c r="L2089">
        <v>0</v>
      </c>
      <c r="M2089">
        <v>0</v>
      </c>
      <c r="N2089" t="s">
        <v>56</v>
      </c>
      <c r="O2089">
        <v>2022</v>
      </c>
      <c r="P2089" t="s">
        <v>18</v>
      </c>
    </row>
    <row r="2090" spans="1:16" x14ac:dyDescent="0.3">
      <c r="A2090">
        <v>35</v>
      </c>
      <c r="B2090" t="s">
        <v>1921</v>
      </c>
      <c r="C2090" t="s">
        <v>4765</v>
      </c>
      <c r="D2090" t="str">
        <f>VLOOKUP(YouTube_University_Data_Final[[#This Row],[Title]],[1]!YouTube_University_Data_Final[[Title]:[Title_language]],2,FALSE)</f>
        <v>Bilingual</v>
      </c>
      <c r="E2090" t="s">
        <v>4766</v>
      </c>
      <c r="F2090">
        <v>27</v>
      </c>
      <c r="G2090" s="1">
        <v>44750</v>
      </c>
      <c r="H2090">
        <v>19</v>
      </c>
      <c r="I2090" t="s">
        <v>4767</v>
      </c>
      <c r="J2090">
        <v>119676</v>
      </c>
      <c r="K2090">
        <v>6</v>
      </c>
      <c r="L2090">
        <v>0</v>
      </c>
      <c r="M2090">
        <v>0</v>
      </c>
      <c r="N2090" t="s">
        <v>56</v>
      </c>
      <c r="O2090">
        <v>2022</v>
      </c>
      <c r="P2090" t="s">
        <v>18</v>
      </c>
    </row>
    <row r="2091" spans="1:16" x14ac:dyDescent="0.3">
      <c r="A2091">
        <v>36</v>
      </c>
      <c r="B2091" t="s">
        <v>1921</v>
      </c>
      <c r="C2091" t="s">
        <v>4768</v>
      </c>
      <c r="D2091" t="str">
        <f>VLOOKUP(YouTube_University_Data_Final[[#This Row],[Title]],[1]!YouTube_University_Data_Final[[Title]:[Title_language]],2,FALSE)</f>
        <v>English</v>
      </c>
      <c r="E2091" t="s">
        <v>4769</v>
      </c>
      <c r="F2091">
        <v>27</v>
      </c>
      <c r="G2091" s="1">
        <v>44749</v>
      </c>
      <c r="H2091">
        <v>94</v>
      </c>
      <c r="I2091" t="s">
        <v>4721</v>
      </c>
      <c r="J2091">
        <v>45337</v>
      </c>
      <c r="K2091">
        <v>8</v>
      </c>
      <c r="L2091">
        <v>0</v>
      </c>
      <c r="M2091">
        <v>0</v>
      </c>
      <c r="N2091" t="s">
        <v>56</v>
      </c>
      <c r="O2091">
        <v>2022</v>
      </c>
      <c r="P2091" t="s">
        <v>18</v>
      </c>
    </row>
    <row r="2092" spans="1:16" x14ac:dyDescent="0.3">
      <c r="A2092">
        <v>37</v>
      </c>
      <c r="B2092" t="s">
        <v>1921</v>
      </c>
      <c r="C2092" t="s">
        <v>1950</v>
      </c>
      <c r="D2092" t="str">
        <f>VLOOKUP(YouTube_University_Data_Final[[#This Row],[Title]],[1]!YouTube_University_Data_Final[[Title]:[Title_language]],2,FALSE)</f>
        <v>English</v>
      </c>
      <c r="E2092" t="s">
        <v>1951</v>
      </c>
      <c r="F2092">
        <v>27</v>
      </c>
      <c r="G2092" s="1">
        <v>44749</v>
      </c>
      <c r="H2092">
        <v>95</v>
      </c>
      <c r="I2092" t="s">
        <v>4721</v>
      </c>
      <c r="J2092">
        <v>635</v>
      </c>
      <c r="K2092">
        <v>6</v>
      </c>
      <c r="L2092">
        <v>0</v>
      </c>
      <c r="M2092">
        <v>0</v>
      </c>
      <c r="N2092" t="s">
        <v>56</v>
      </c>
      <c r="O2092">
        <v>2022</v>
      </c>
      <c r="P2092" t="s">
        <v>18</v>
      </c>
    </row>
    <row r="2093" spans="1:16" x14ac:dyDescent="0.3">
      <c r="A2093">
        <v>38</v>
      </c>
      <c r="B2093" t="s">
        <v>1921</v>
      </c>
      <c r="C2093" t="s">
        <v>1952</v>
      </c>
      <c r="D2093" t="str">
        <f>VLOOKUP(YouTube_University_Data_Final[[#This Row],[Title]],[1]!YouTube_University_Data_Final[[Title]:[Title_language]],2,FALSE)</f>
        <v>English</v>
      </c>
      <c r="E2093" t="s">
        <v>4770</v>
      </c>
      <c r="F2093">
        <v>27</v>
      </c>
      <c r="G2093" s="1">
        <v>44748</v>
      </c>
      <c r="H2093">
        <v>195</v>
      </c>
      <c r="I2093" t="s">
        <v>4721</v>
      </c>
      <c r="J2093">
        <v>402</v>
      </c>
      <c r="K2093">
        <v>8</v>
      </c>
      <c r="L2093">
        <v>0</v>
      </c>
      <c r="M2093">
        <v>0</v>
      </c>
      <c r="N2093" t="s">
        <v>56</v>
      </c>
      <c r="O2093">
        <v>2022</v>
      </c>
      <c r="P2093" t="s">
        <v>18</v>
      </c>
    </row>
    <row r="2094" spans="1:16" x14ac:dyDescent="0.3">
      <c r="A2094">
        <v>39</v>
      </c>
      <c r="B2094" t="s">
        <v>1921</v>
      </c>
      <c r="C2094" t="s">
        <v>1953</v>
      </c>
      <c r="D2094" t="str">
        <f>VLOOKUP(YouTube_University_Data_Final[[#This Row],[Title]],[1]!YouTube_University_Data_Final[[Title]:[Title_language]],2,FALSE)</f>
        <v>English</v>
      </c>
      <c r="E2094" t="s">
        <v>4771</v>
      </c>
      <c r="F2094">
        <v>27</v>
      </c>
      <c r="G2094" s="1">
        <v>44747</v>
      </c>
      <c r="H2094">
        <v>72</v>
      </c>
      <c r="I2094" t="s">
        <v>4772</v>
      </c>
      <c r="J2094">
        <v>60246</v>
      </c>
      <c r="K2094">
        <v>11</v>
      </c>
      <c r="L2094">
        <v>0</v>
      </c>
      <c r="M2094">
        <v>0</v>
      </c>
      <c r="N2094" t="s">
        <v>56</v>
      </c>
      <c r="O2094">
        <v>2022</v>
      </c>
      <c r="P2094" t="s">
        <v>18</v>
      </c>
    </row>
    <row r="2095" spans="1:16" x14ac:dyDescent="0.3">
      <c r="A2095">
        <v>40</v>
      </c>
      <c r="B2095" t="s">
        <v>1921</v>
      </c>
      <c r="C2095" t="s">
        <v>1954</v>
      </c>
      <c r="D2095" t="str">
        <f>VLOOKUP(YouTube_University_Data_Final[[#This Row],[Title]],[1]!YouTube_University_Data_Final[[Title]:[Title_language]],2,FALSE)</f>
        <v>English</v>
      </c>
      <c r="E2095" t="s">
        <v>4773</v>
      </c>
      <c r="F2095">
        <v>27</v>
      </c>
      <c r="G2095" s="1">
        <v>44743</v>
      </c>
      <c r="H2095">
        <v>331</v>
      </c>
      <c r="I2095" t="s">
        <v>4721</v>
      </c>
      <c r="J2095">
        <v>2031</v>
      </c>
      <c r="K2095">
        <v>37</v>
      </c>
      <c r="L2095">
        <v>0</v>
      </c>
      <c r="M2095">
        <v>0</v>
      </c>
      <c r="N2095" t="s">
        <v>56</v>
      </c>
      <c r="O2095">
        <v>2022</v>
      </c>
      <c r="P2095" t="s">
        <v>18</v>
      </c>
    </row>
    <row r="2096" spans="1:16" x14ac:dyDescent="0.3">
      <c r="A2096">
        <v>41</v>
      </c>
      <c r="B2096" t="s">
        <v>1921</v>
      </c>
      <c r="C2096" t="s">
        <v>1955</v>
      </c>
      <c r="D2096" t="str">
        <f>VLOOKUP(YouTube_University_Data_Final[[#This Row],[Title]],[1]!YouTube_University_Data_Final[[Title]:[Title_language]],2,FALSE)</f>
        <v>English</v>
      </c>
      <c r="E2096" t="s">
        <v>4774</v>
      </c>
      <c r="F2096">
        <v>27</v>
      </c>
      <c r="G2096" s="1">
        <v>44742</v>
      </c>
      <c r="H2096">
        <v>223</v>
      </c>
      <c r="I2096" t="s">
        <v>4721</v>
      </c>
      <c r="J2096">
        <v>19388</v>
      </c>
      <c r="K2096">
        <v>8</v>
      </c>
      <c r="L2096">
        <v>0</v>
      </c>
      <c r="M2096">
        <v>0</v>
      </c>
      <c r="N2096" t="s">
        <v>78</v>
      </c>
      <c r="O2096">
        <v>2022</v>
      </c>
      <c r="P2096" t="s">
        <v>18</v>
      </c>
    </row>
    <row r="2097" spans="1:16" x14ac:dyDescent="0.3">
      <c r="A2097">
        <v>42</v>
      </c>
      <c r="B2097" t="s">
        <v>1921</v>
      </c>
      <c r="C2097" t="s">
        <v>1956</v>
      </c>
      <c r="D2097" t="str">
        <f>VLOOKUP(YouTube_University_Data_Final[[#This Row],[Title]],[1]!YouTube_University_Data_Final[[Title]:[Title_language]],2,FALSE)</f>
        <v>English</v>
      </c>
      <c r="E2097" t="s">
        <v>4775</v>
      </c>
      <c r="F2097">
        <v>27</v>
      </c>
      <c r="G2097" s="1">
        <v>44742</v>
      </c>
      <c r="H2097">
        <v>205</v>
      </c>
      <c r="I2097" t="s">
        <v>4721</v>
      </c>
      <c r="J2097">
        <v>36986</v>
      </c>
      <c r="K2097">
        <v>4</v>
      </c>
      <c r="L2097">
        <v>0</v>
      </c>
      <c r="M2097">
        <v>0</v>
      </c>
      <c r="N2097" t="s">
        <v>78</v>
      </c>
      <c r="O2097">
        <v>2022</v>
      </c>
      <c r="P2097" t="s">
        <v>18</v>
      </c>
    </row>
    <row r="2098" spans="1:16" x14ac:dyDescent="0.3">
      <c r="A2098">
        <v>43</v>
      </c>
      <c r="B2098" t="s">
        <v>1921</v>
      </c>
      <c r="C2098" t="s">
        <v>1957</v>
      </c>
      <c r="D2098" t="str">
        <f>VLOOKUP(YouTube_University_Data_Final[[#This Row],[Title]],[1]!YouTube_University_Data_Final[[Title]:[Title_language]],2,FALSE)</f>
        <v>English</v>
      </c>
      <c r="E2098" t="s">
        <v>4776</v>
      </c>
      <c r="F2098">
        <v>27</v>
      </c>
      <c r="G2098" s="1">
        <v>44733</v>
      </c>
      <c r="H2098">
        <v>231</v>
      </c>
      <c r="I2098" t="s">
        <v>4721</v>
      </c>
      <c r="J2098">
        <v>517</v>
      </c>
      <c r="K2098">
        <v>11</v>
      </c>
      <c r="L2098">
        <v>0</v>
      </c>
      <c r="M2098">
        <v>0</v>
      </c>
      <c r="N2098" t="s">
        <v>78</v>
      </c>
      <c r="O2098">
        <v>2022</v>
      </c>
      <c r="P2098" t="s">
        <v>18</v>
      </c>
    </row>
    <row r="2099" spans="1:16" x14ac:dyDescent="0.3">
      <c r="A2099">
        <v>44</v>
      </c>
      <c r="B2099" t="s">
        <v>1921</v>
      </c>
      <c r="C2099" t="s">
        <v>1958</v>
      </c>
      <c r="D2099" t="str">
        <f>VLOOKUP(YouTube_University_Data_Final[[#This Row],[Title]],[1]!YouTube_University_Data_Final[[Title]:[Title_language]],2,FALSE)</f>
        <v>English</v>
      </c>
      <c r="E2099" t="s">
        <v>1959</v>
      </c>
      <c r="F2099">
        <v>27</v>
      </c>
      <c r="G2099" s="1">
        <v>44722</v>
      </c>
      <c r="H2099">
        <v>1671</v>
      </c>
      <c r="I2099" t="s">
        <v>4721</v>
      </c>
      <c r="J2099">
        <v>252</v>
      </c>
      <c r="K2099">
        <v>2</v>
      </c>
      <c r="L2099">
        <v>0</v>
      </c>
      <c r="M2099">
        <v>0</v>
      </c>
      <c r="N2099" t="s">
        <v>78</v>
      </c>
      <c r="O2099">
        <v>2022</v>
      </c>
      <c r="P2099" t="s">
        <v>18</v>
      </c>
    </row>
    <row r="2100" spans="1:16" x14ac:dyDescent="0.3">
      <c r="A2100">
        <v>45</v>
      </c>
      <c r="B2100" t="s">
        <v>1921</v>
      </c>
      <c r="C2100" t="s">
        <v>1960</v>
      </c>
      <c r="D2100" t="str">
        <f>VLOOKUP(YouTube_University_Data_Final[[#This Row],[Title]],[1]!YouTube_University_Data_Final[[Title]:[Title_language]],2,FALSE)</f>
        <v>English</v>
      </c>
      <c r="E2100" t="s">
        <v>1961</v>
      </c>
      <c r="F2100">
        <v>27</v>
      </c>
      <c r="G2100" s="1">
        <v>44722</v>
      </c>
      <c r="H2100">
        <v>1994</v>
      </c>
      <c r="I2100" t="s">
        <v>4721</v>
      </c>
      <c r="J2100">
        <v>153</v>
      </c>
      <c r="K2100">
        <v>1</v>
      </c>
      <c r="L2100">
        <v>0</v>
      </c>
      <c r="M2100">
        <v>0</v>
      </c>
      <c r="N2100" t="s">
        <v>78</v>
      </c>
      <c r="O2100">
        <v>2022</v>
      </c>
      <c r="P2100" t="s">
        <v>18</v>
      </c>
    </row>
    <row r="2101" spans="1:16" x14ac:dyDescent="0.3">
      <c r="A2101">
        <v>46</v>
      </c>
      <c r="B2101" t="s">
        <v>1921</v>
      </c>
      <c r="C2101" t="s">
        <v>1962</v>
      </c>
      <c r="D2101" t="str">
        <f>VLOOKUP(YouTube_University_Data_Final[[#This Row],[Title]],[1]!YouTube_University_Data_Final[[Title]:[Title_language]],2,FALSE)</f>
        <v>English</v>
      </c>
      <c r="E2101" t="s">
        <v>1963</v>
      </c>
      <c r="F2101">
        <v>27</v>
      </c>
      <c r="G2101" s="1">
        <v>44722</v>
      </c>
      <c r="H2101">
        <v>3558</v>
      </c>
      <c r="I2101" t="s">
        <v>4721</v>
      </c>
      <c r="J2101">
        <v>164</v>
      </c>
      <c r="K2101">
        <v>2</v>
      </c>
      <c r="L2101">
        <v>0</v>
      </c>
      <c r="M2101">
        <v>0</v>
      </c>
      <c r="N2101" t="s">
        <v>78</v>
      </c>
      <c r="O2101">
        <v>2022</v>
      </c>
      <c r="P2101" t="s">
        <v>18</v>
      </c>
    </row>
    <row r="2102" spans="1:16" x14ac:dyDescent="0.3">
      <c r="A2102">
        <v>47</v>
      </c>
      <c r="B2102" t="s">
        <v>1921</v>
      </c>
      <c r="C2102" t="s">
        <v>1964</v>
      </c>
      <c r="D2102" t="str">
        <f>VLOOKUP(YouTube_University_Data_Final[[#This Row],[Title]],[1]!YouTube_University_Data_Final[[Title]:[Title_language]],2,FALSE)</f>
        <v>English</v>
      </c>
      <c r="E2102" t="s">
        <v>1965</v>
      </c>
      <c r="F2102">
        <v>27</v>
      </c>
      <c r="G2102" s="1">
        <v>44722</v>
      </c>
      <c r="H2102">
        <v>6142</v>
      </c>
      <c r="I2102" t="s">
        <v>4721</v>
      </c>
      <c r="J2102">
        <v>198</v>
      </c>
      <c r="K2102">
        <v>1</v>
      </c>
      <c r="L2102">
        <v>0</v>
      </c>
      <c r="M2102">
        <v>0</v>
      </c>
      <c r="N2102" t="s">
        <v>78</v>
      </c>
      <c r="O2102">
        <v>2022</v>
      </c>
      <c r="P2102" t="s">
        <v>18</v>
      </c>
    </row>
    <row r="2103" spans="1:16" x14ac:dyDescent="0.3">
      <c r="A2103">
        <v>48</v>
      </c>
      <c r="B2103" t="s">
        <v>1921</v>
      </c>
      <c r="C2103" t="s">
        <v>1966</v>
      </c>
      <c r="D2103" t="str">
        <f>VLOOKUP(YouTube_University_Data_Final[[#This Row],[Title]],[1]!YouTube_University_Data_Final[[Title]:[Title_language]],2,FALSE)</f>
        <v>English</v>
      </c>
      <c r="E2103" t="s">
        <v>1967</v>
      </c>
      <c r="F2103">
        <v>27</v>
      </c>
      <c r="G2103" s="1">
        <v>44722</v>
      </c>
      <c r="H2103">
        <v>5728</v>
      </c>
      <c r="I2103" t="s">
        <v>4721</v>
      </c>
      <c r="J2103">
        <v>521</v>
      </c>
      <c r="K2103">
        <v>5</v>
      </c>
      <c r="L2103">
        <v>0</v>
      </c>
      <c r="M2103">
        <v>0</v>
      </c>
      <c r="N2103" t="s">
        <v>78</v>
      </c>
      <c r="O2103">
        <v>2022</v>
      </c>
      <c r="P2103" t="s">
        <v>18</v>
      </c>
    </row>
    <row r="2104" spans="1:16" x14ac:dyDescent="0.3">
      <c r="A2104">
        <v>49</v>
      </c>
      <c r="B2104" t="s">
        <v>1921</v>
      </c>
      <c r="C2104" t="s">
        <v>1968</v>
      </c>
      <c r="D2104" t="str">
        <f>VLOOKUP(YouTube_University_Data_Final[[#This Row],[Title]],[1]!YouTube_University_Data_Final[[Title]:[Title_language]],2,FALSE)</f>
        <v>English</v>
      </c>
      <c r="E2104" t="s">
        <v>1969</v>
      </c>
      <c r="F2104">
        <v>27</v>
      </c>
      <c r="G2104" s="1">
        <v>44722</v>
      </c>
      <c r="H2104">
        <v>3860</v>
      </c>
      <c r="I2104" t="s">
        <v>4721</v>
      </c>
      <c r="J2104">
        <v>224</v>
      </c>
      <c r="K2104">
        <v>1</v>
      </c>
      <c r="L2104">
        <v>0</v>
      </c>
      <c r="M2104">
        <v>0</v>
      </c>
      <c r="N2104" t="s">
        <v>78</v>
      </c>
      <c r="O2104">
        <v>2022</v>
      </c>
      <c r="P2104" t="s">
        <v>18</v>
      </c>
    </row>
    <row r="2105" spans="1:16" x14ac:dyDescent="0.3">
      <c r="A2105">
        <v>50</v>
      </c>
      <c r="B2105" t="s">
        <v>1921</v>
      </c>
      <c r="C2105" t="s">
        <v>1970</v>
      </c>
      <c r="D2105" t="str">
        <f>VLOOKUP(YouTube_University_Data_Final[[#This Row],[Title]],[1]!YouTube_University_Data_Final[[Title]:[Title_language]],2,FALSE)</f>
        <v>English</v>
      </c>
      <c r="E2105" t="s">
        <v>1971</v>
      </c>
      <c r="F2105">
        <v>27</v>
      </c>
      <c r="G2105" s="1">
        <v>44721</v>
      </c>
      <c r="H2105">
        <v>3778</v>
      </c>
      <c r="I2105" t="s">
        <v>4721</v>
      </c>
      <c r="J2105">
        <v>246</v>
      </c>
      <c r="K2105">
        <v>1</v>
      </c>
      <c r="L2105">
        <v>0</v>
      </c>
      <c r="M2105">
        <v>0</v>
      </c>
      <c r="N2105" t="s">
        <v>78</v>
      </c>
      <c r="O2105">
        <v>2022</v>
      </c>
      <c r="P2105" t="s">
        <v>18</v>
      </c>
    </row>
    <row r="2106" spans="1:16" x14ac:dyDescent="0.3">
      <c r="A2106">
        <v>51</v>
      </c>
      <c r="B2106" t="s">
        <v>1921</v>
      </c>
      <c r="C2106" t="s">
        <v>1972</v>
      </c>
      <c r="D2106" t="str">
        <f>VLOOKUP(YouTube_University_Data_Final[[#This Row],[Title]],[1]!YouTube_University_Data_Final[[Title]:[Title_language]],2,FALSE)</f>
        <v>English</v>
      </c>
      <c r="E2106" t="s">
        <v>1973</v>
      </c>
      <c r="F2106">
        <v>27</v>
      </c>
      <c r="G2106" s="1">
        <v>44721</v>
      </c>
      <c r="H2106">
        <v>4031</v>
      </c>
      <c r="I2106" t="s">
        <v>4721</v>
      </c>
      <c r="J2106">
        <v>438</v>
      </c>
      <c r="K2106">
        <v>5</v>
      </c>
      <c r="L2106">
        <v>0</v>
      </c>
      <c r="M2106">
        <v>0</v>
      </c>
      <c r="N2106" t="s">
        <v>78</v>
      </c>
      <c r="O2106">
        <v>2022</v>
      </c>
      <c r="P2106" t="s">
        <v>18</v>
      </c>
    </row>
    <row r="2107" spans="1:16" x14ac:dyDescent="0.3">
      <c r="A2107">
        <v>52</v>
      </c>
      <c r="B2107" t="s">
        <v>1921</v>
      </c>
      <c r="C2107" t="s">
        <v>1974</v>
      </c>
      <c r="D2107" t="str">
        <f>VLOOKUP(YouTube_University_Data_Final[[#This Row],[Title]],[1]!YouTube_University_Data_Final[[Title]:[Title_language]],2,FALSE)</f>
        <v>English</v>
      </c>
      <c r="E2107" t="s">
        <v>4777</v>
      </c>
      <c r="F2107">
        <v>27</v>
      </c>
      <c r="G2107" s="1">
        <v>44719</v>
      </c>
      <c r="H2107">
        <v>213</v>
      </c>
      <c r="I2107" t="s">
        <v>4778</v>
      </c>
      <c r="J2107">
        <v>480</v>
      </c>
      <c r="K2107">
        <v>15</v>
      </c>
      <c r="L2107">
        <v>0</v>
      </c>
      <c r="M2107">
        <v>0</v>
      </c>
      <c r="N2107" t="s">
        <v>78</v>
      </c>
      <c r="O2107">
        <v>2022</v>
      </c>
      <c r="P2107" t="s">
        <v>18</v>
      </c>
    </row>
    <row r="2108" spans="1:16" x14ac:dyDescent="0.3">
      <c r="A2108">
        <v>53</v>
      </c>
      <c r="B2108" t="s">
        <v>1921</v>
      </c>
      <c r="C2108" t="s">
        <v>1975</v>
      </c>
      <c r="D2108" t="str">
        <f>VLOOKUP(YouTube_University_Data_Final[[#This Row],[Title]],[1]!YouTube_University_Data_Final[[Title]:[Title_language]],2,FALSE)</f>
        <v>English</v>
      </c>
      <c r="E2108" t="s">
        <v>4779</v>
      </c>
      <c r="F2108">
        <v>27</v>
      </c>
      <c r="G2108" s="1">
        <v>44711</v>
      </c>
      <c r="H2108">
        <v>167</v>
      </c>
      <c r="I2108" t="s">
        <v>4721</v>
      </c>
      <c r="J2108">
        <v>3969</v>
      </c>
      <c r="K2108">
        <v>1</v>
      </c>
      <c r="L2108">
        <v>0</v>
      </c>
      <c r="M2108">
        <v>0</v>
      </c>
      <c r="N2108" t="s">
        <v>81</v>
      </c>
      <c r="O2108">
        <v>2022</v>
      </c>
      <c r="P2108" t="s">
        <v>18</v>
      </c>
    </row>
    <row r="2109" spans="1:16" x14ac:dyDescent="0.3">
      <c r="A2109">
        <v>54</v>
      </c>
      <c r="B2109" t="s">
        <v>1921</v>
      </c>
      <c r="C2109" t="s">
        <v>1976</v>
      </c>
      <c r="D2109" t="str">
        <f>VLOOKUP(YouTube_University_Data_Final[[#This Row],[Title]],[1]!YouTube_University_Data_Final[[Title]:[Title_language]],2,FALSE)</f>
        <v>English</v>
      </c>
      <c r="E2109" t="s">
        <v>4775</v>
      </c>
      <c r="F2109">
        <v>27</v>
      </c>
      <c r="G2109" s="1">
        <v>44711</v>
      </c>
      <c r="H2109">
        <v>207</v>
      </c>
      <c r="I2109" t="s">
        <v>4721</v>
      </c>
      <c r="J2109">
        <v>20209</v>
      </c>
      <c r="K2109">
        <v>4</v>
      </c>
      <c r="L2109">
        <v>0</v>
      </c>
      <c r="M2109">
        <v>0</v>
      </c>
      <c r="N2109" t="s">
        <v>81</v>
      </c>
      <c r="O2109">
        <v>2022</v>
      </c>
      <c r="P2109" t="s">
        <v>18</v>
      </c>
    </row>
    <row r="2110" spans="1:16" x14ac:dyDescent="0.3">
      <c r="A2110">
        <v>55</v>
      </c>
      <c r="B2110" t="s">
        <v>1921</v>
      </c>
      <c r="C2110" t="s">
        <v>1977</v>
      </c>
      <c r="D2110" t="str">
        <f>VLOOKUP(YouTube_University_Data_Final[[#This Row],[Title]],[1]!YouTube_University_Data_Final[[Title]:[Title_language]],2,FALSE)</f>
        <v>English</v>
      </c>
      <c r="E2110" t="s">
        <v>4774</v>
      </c>
      <c r="F2110">
        <v>27</v>
      </c>
      <c r="G2110" s="1">
        <v>44711</v>
      </c>
      <c r="H2110">
        <v>134</v>
      </c>
      <c r="I2110" t="s">
        <v>4721</v>
      </c>
      <c r="J2110">
        <v>21279</v>
      </c>
      <c r="K2110">
        <v>13</v>
      </c>
      <c r="L2110">
        <v>0</v>
      </c>
      <c r="M2110">
        <v>0</v>
      </c>
      <c r="N2110" t="s">
        <v>81</v>
      </c>
      <c r="O2110">
        <v>2022</v>
      </c>
      <c r="P2110" t="s">
        <v>18</v>
      </c>
    </row>
    <row r="2111" spans="1:16" x14ac:dyDescent="0.3">
      <c r="A2111">
        <v>56</v>
      </c>
      <c r="B2111" t="s">
        <v>1921</v>
      </c>
      <c r="C2111" t="s">
        <v>4780</v>
      </c>
      <c r="D2111" t="str">
        <f>VLOOKUP(YouTube_University_Data_Final[[#This Row],[Title]],[1]!YouTube_University_Data_Final[[Title]:[Title_language]],2,FALSE)</f>
        <v>Chinese</v>
      </c>
      <c r="E2111" t="s">
        <v>4781</v>
      </c>
      <c r="F2111">
        <v>27</v>
      </c>
      <c r="G2111" s="1">
        <v>44707</v>
      </c>
      <c r="H2111">
        <v>341</v>
      </c>
      <c r="I2111" t="s">
        <v>4721</v>
      </c>
      <c r="J2111">
        <v>101</v>
      </c>
      <c r="K2111">
        <v>0</v>
      </c>
      <c r="L2111">
        <v>0</v>
      </c>
      <c r="M2111">
        <v>0</v>
      </c>
      <c r="N2111" t="s">
        <v>81</v>
      </c>
      <c r="O2111">
        <v>2022</v>
      </c>
      <c r="P2111" t="s">
        <v>18</v>
      </c>
    </row>
    <row r="2112" spans="1:16" x14ac:dyDescent="0.3">
      <c r="A2112">
        <v>57</v>
      </c>
      <c r="B2112" t="s">
        <v>1921</v>
      </c>
      <c r="C2112" t="s">
        <v>4782</v>
      </c>
      <c r="D2112" t="str">
        <f>VLOOKUP(YouTube_University_Data_Final[[#This Row],[Title]],[1]!YouTube_University_Data_Final[[Title]:[Title_language]],2,FALSE)</f>
        <v>Chinese</v>
      </c>
      <c r="E2112" t="s">
        <v>4783</v>
      </c>
      <c r="F2112">
        <v>27</v>
      </c>
      <c r="G2112" s="1">
        <v>44707</v>
      </c>
      <c r="H2112">
        <v>253</v>
      </c>
      <c r="I2112" t="s">
        <v>4721</v>
      </c>
      <c r="J2112">
        <v>88</v>
      </c>
      <c r="K2112">
        <v>1</v>
      </c>
      <c r="L2112">
        <v>0</v>
      </c>
      <c r="M2112">
        <v>0</v>
      </c>
      <c r="N2112" t="s">
        <v>81</v>
      </c>
      <c r="O2112">
        <v>2022</v>
      </c>
      <c r="P2112" t="s">
        <v>18</v>
      </c>
    </row>
    <row r="2113" spans="1:16" x14ac:dyDescent="0.3">
      <c r="A2113">
        <v>58</v>
      </c>
      <c r="B2113" t="s">
        <v>1921</v>
      </c>
      <c r="C2113" t="s">
        <v>4784</v>
      </c>
      <c r="D2113" t="str">
        <f>VLOOKUP(YouTube_University_Data_Final[[#This Row],[Title]],[1]!YouTube_University_Data_Final[[Title]:[Title_language]],2,FALSE)</f>
        <v>Chinese</v>
      </c>
      <c r="E2113" t="s">
        <v>4785</v>
      </c>
      <c r="F2113">
        <v>27</v>
      </c>
      <c r="G2113" s="1">
        <v>44707</v>
      </c>
      <c r="H2113">
        <v>399</v>
      </c>
      <c r="I2113" t="s">
        <v>4721</v>
      </c>
      <c r="J2113">
        <v>70</v>
      </c>
      <c r="K2113">
        <v>0</v>
      </c>
      <c r="L2113">
        <v>0</v>
      </c>
      <c r="M2113">
        <v>0</v>
      </c>
      <c r="N2113" t="s">
        <v>81</v>
      </c>
      <c r="O2113">
        <v>2022</v>
      </c>
      <c r="P2113" t="s">
        <v>18</v>
      </c>
    </row>
    <row r="2114" spans="1:16" x14ac:dyDescent="0.3">
      <c r="A2114">
        <v>59</v>
      </c>
      <c r="B2114" t="s">
        <v>1921</v>
      </c>
      <c r="C2114" t="s">
        <v>4786</v>
      </c>
      <c r="D2114" t="str">
        <f>VLOOKUP(YouTube_University_Data_Final[[#This Row],[Title]],[1]!YouTube_University_Data_Final[[Title]:[Title_language]],2,FALSE)</f>
        <v>Chinese</v>
      </c>
      <c r="E2114" t="s">
        <v>4787</v>
      </c>
      <c r="F2114">
        <v>27</v>
      </c>
      <c r="G2114" s="1">
        <v>44707</v>
      </c>
      <c r="H2114">
        <v>257</v>
      </c>
      <c r="I2114" t="s">
        <v>4721</v>
      </c>
      <c r="J2114">
        <v>45</v>
      </c>
      <c r="K2114">
        <v>0</v>
      </c>
      <c r="L2114">
        <v>0</v>
      </c>
      <c r="M2114">
        <v>0</v>
      </c>
      <c r="N2114" t="s">
        <v>81</v>
      </c>
      <c r="O2114">
        <v>2022</v>
      </c>
      <c r="P2114" t="s">
        <v>18</v>
      </c>
    </row>
    <row r="2115" spans="1:16" x14ac:dyDescent="0.3">
      <c r="A2115">
        <v>60</v>
      </c>
      <c r="B2115" t="s">
        <v>1921</v>
      </c>
      <c r="C2115" t="s">
        <v>1978</v>
      </c>
      <c r="D2115" t="str">
        <f>VLOOKUP(YouTube_University_Data_Final[[#This Row],[Title]],[1]!YouTube_University_Data_Final[[Title]:[Title_language]],2,FALSE)</f>
        <v>English</v>
      </c>
      <c r="E2115" t="s">
        <v>4788</v>
      </c>
      <c r="F2115">
        <v>27</v>
      </c>
      <c r="G2115" s="1">
        <v>44705</v>
      </c>
      <c r="H2115">
        <v>218</v>
      </c>
      <c r="I2115" t="s">
        <v>4721</v>
      </c>
      <c r="J2115">
        <v>4920</v>
      </c>
      <c r="K2115">
        <v>15</v>
      </c>
      <c r="L2115">
        <v>0</v>
      </c>
      <c r="M2115">
        <v>0</v>
      </c>
      <c r="N2115" t="s">
        <v>81</v>
      </c>
      <c r="O2115">
        <v>2022</v>
      </c>
      <c r="P2115" t="s">
        <v>18</v>
      </c>
    </row>
    <row r="2116" spans="1:16" x14ac:dyDescent="0.3">
      <c r="A2116">
        <v>61</v>
      </c>
      <c r="B2116" t="s">
        <v>1921</v>
      </c>
      <c r="C2116" t="s">
        <v>4789</v>
      </c>
      <c r="D2116" t="str">
        <f>VLOOKUP(YouTube_University_Data_Final[[#This Row],[Title]],[1]!YouTube_University_Data_Final[[Title]:[Title_language]],2,FALSE)</f>
        <v>Chinese</v>
      </c>
      <c r="E2116" t="s">
        <v>4790</v>
      </c>
      <c r="F2116">
        <v>27</v>
      </c>
      <c r="G2116" s="1">
        <v>44691</v>
      </c>
      <c r="H2116">
        <v>470</v>
      </c>
      <c r="I2116" t="s">
        <v>4791</v>
      </c>
      <c r="J2116">
        <v>1538</v>
      </c>
      <c r="K2116">
        <v>10</v>
      </c>
      <c r="L2116">
        <v>0</v>
      </c>
      <c r="M2116">
        <v>0</v>
      </c>
      <c r="N2116" t="s">
        <v>81</v>
      </c>
      <c r="O2116">
        <v>2022</v>
      </c>
      <c r="P2116" t="s">
        <v>18</v>
      </c>
    </row>
    <row r="2117" spans="1:16" x14ac:dyDescent="0.3">
      <c r="A2117">
        <v>62</v>
      </c>
      <c r="B2117" t="s">
        <v>1921</v>
      </c>
      <c r="C2117" t="s">
        <v>1979</v>
      </c>
      <c r="D2117" t="str">
        <f>VLOOKUP(YouTube_University_Data_Final[[#This Row],[Title]],[1]!YouTube_University_Data_Final[[Title]:[Title_language]],2,FALSE)</f>
        <v>English</v>
      </c>
      <c r="E2117" t="s">
        <v>1980</v>
      </c>
      <c r="F2117">
        <v>27</v>
      </c>
      <c r="G2117" s="1">
        <v>44691</v>
      </c>
      <c r="H2117">
        <v>141</v>
      </c>
      <c r="I2117" t="s">
        <v>4791</v>
      </c>
      <c r="J2117">
        <v>251</v>
      </c>
      <c r="K2117">
        <v>3</v>
      </c>
      <c r="L2117">
        <v>0</v>
      </c>
      <c r="M2117">
        <v>0</v>
      </c>
      <c r="N2117" t="s">
        <v>81</v>
      </c>
      <c r="O2117">
        <v>2022</v>
      </c>
      <c r="P2117" t="s">
        <v>18</v>
      </c>
    </row>
    <row r="2118" spans="1:16" x14ac:dyDescent="0.3">
      <c r="A2118">
        <v>63</v>
      </c>
      <c r="B2118" t="s">
        <v>1921</v>
      </c>
      <c r="C2118" t="s">
        <v>1981</v>
      </c>
      <c r="D2118" t="str">
        <f>VLOOKUP(YouTube_University_Data_Final[[#This Row],[Title]],[1]!YouTube_University_Data_Final[[Title]:[Title_language]],2,FALSE)</f>
        <v>English</v>
      </c>
      <c r="E2118" t="s">
        <v>4792</v>
      </c>
      <c r="F2118">
        <v>28</v>
      </c>
      <c r="G2118" s="1">
        <v>44691</v>
      </c>
      <c r="H2118">
        <v>210</v>
      </c>
      <c r="I2118" t="s">
        <v>4793</v>
      </c>
      <c r="J2118">
        <v>10960</v>
      </c>
      <c r="K2118">
        <v>35</v>
      </c>
      <c r="L2118">
        <v>0</v>
      </c>
      <c r="M2118">
        <v>0</v>
      </c>
      <c r="N2118" t="s">
        <v>81</v>
      </c>
      <c r="O2118">
        <v>2022</v>
      </c>
      <c r="P2118" t="s">
        <v>480</v>
      </c>
    </row>
    <row r="2119" spans="1:16" x14ac:dyDescent="0.3">
      <c r="A2119">
        <v>64</v>
      </c>
      <c r="B2119" t="s">
        <v>1921</v>
      </c>
      <c r="C2119" t="s">
        <v>1982</v>
      </c>
      <c r="D2119" t="str">
        <f>VLOOKUP(YouTube_University_Data_Final[[#This Row],[Title]],[1]!YouTube_University_Data_Final[[Title]:[Title_language]],2,FALSE)</f>
        <v>English</v>
      </c>
      <c r="E2119" t="s">
        <v>4794</v>
      </c>
      <c r="F2119">
        <v>27</v>
      </c>
      <c r="G2119" s="1">
        <v>44648</v>
      </c>
      <c r="H2119">
        <v>314</v>
      </c>
      <c r="I2119" t="s">
        <v>4721</v>
      </c>
      <c r="J2119">
        <v>245</v>
      </c>
      <c r="K2119">
        <v>3</v>
      </c>
      <c r="L2119">
        <v>0</v>
      </c>
      <c r="M2119">
        <v>0</v>
      </c>
      <c r="N2119" t="s">
        <v>90</v>
      </c>
      <c r="O2119">
        <v>2022</v>
      </c>
      <c r="P2119" t="s">
        <v>18</v>
      </c>
    </row>
    <row r="2120" spans="1:16" x14ac:dyDescent="0.3">
      <c r="A2120">
        <v>65</v>
      </c>
      <c r="B2120" t="s">
        <v>1921</v>
      </c>
      <c r="C2120" t="s">
        <v>1983</v>
      </c>
      <c r="D2120" t="str">
        <f>VLOOKUP(YouTube_University_Data_Final[[#This Row],[Title]],[1]!YouTube_University_Data_Final[[Title]:[Title_language]],2,FALSE)</f>
        <v>English</v>
      </c>
      <c r="E2120" t="s">
        <v>1984</v>
      </c>
      <c r="F2120">
        <v>27</v>
      </c>
      <c r="G2120" s="1">
        <v>44644</v>
      </c>
      <c r="H2120">
        <v>121</v>
      </c>
      <c r="I2120" t="s">
        <v>4721</v>
      </c>
      <c r="J2120">
        <v>839</v>
      </c>
      <c r="K2120">
        <v>7</v>
      </c>
      <c r="L2120">
        <v>0</v>
      </c>
      <c r="M2120">
        <v>0</v>
      </c>
      <c r="N2120" t="s">
        <v>90</v>
      </c>
      <c r="O2120">
        <v>2022</v>
      </c>
      <c r="P2120" t="s">
        <v>18</v>
      </c>
    </row>
    <row r="2121" spans="1:16" x14ac:dyDescent="0.3">
      <c r="A2121">
        <v>66</v>
      </c>
      <c r="B2121" t="s">
        <v>1921</v>
      </c>
      <c r="C2121" t="s">
        <v>1985</v>
      </c>
      <c r="D2121" t="str">
        <f>VLOOKUP(YouTube_University_Data_Final[[#This Row],[Title]],[1]!YouTube_University_Data_Final[[Title]:[Title_language]],2,FALSE)</f>
        <v>English</v>
      </c>
      <c r="E2121" t="s">
        <v>4795</v>
      </c>
      <c r="F2121">
        <v>27</v>
      </c>
      <c r="G2121" s="1">
        <v>44643</v>
      </c>
      <c r="H2121">
        <v>170</v>
      </c>
      <c r="I2121" t="s">
        <v>4721</v>
      </c>
      <c r="J2121">
        <v>12072</v>
      </c>
      <c r="K2121">
        <v>8</v>
      </c>
      <c r="L2121">
        <v>0</v>
      </c>
      <c r="M2121">
        <v>0</v>
      </c>
      <c r="N2121" t="s">
        <v>90</v>
      </c>
      <c r="O2121">
        <v>2022</v>
      </c>
      <c r="P2121" t="s">
        <v>18</v>
      </c>
    </row>
    <row r="2122" spans="1:16" x14ac:dyDescent="0.3">
      <c r="A2122">
        <v>67</v>
      </c>
      <c r="B2122" t="s">
        <v>1921</v>
      </c>
      <c r="C2122" t="s">
        <v>4796</v>
      </c>
      <c r="D2122" t="str">
        <f>VLOOKUP(YouTube_University_Data_Final[[#This Row],[Title]],[1]!YouTube_University_Data_Final[[Title]:[Title_language]],2,FALSE)</f>
        <v>English</v>
      </c>
      <c r="E2122" t="s">
        <v>4797</v>
      </c>
      <c r="F2122">
        <v>27</v>
      </c>
      <c r="G2122" s="1">
        <v>44643</v>
      </c>
      <c r="H2122">
        <v>356</v>
      </c>
      <c r="I2122" t="s">
        <v>4798</v>
      </c>
      <c r="J2122">
        <v>114496</v>
      </c>
      <c r="K2122">
        <v>1657</v>
      </c>
      <c r="L2122">
        <v>0</v>
      </c>
      <c r="M2122">
        <v>0</v>
      </c>
      <c r="N2122" t="s">
        <v>90</v>
      </c>
      <c r="O2122">
        <v>2022</v>
      </c>
      <c r="P2122" t="s">
        <v>18</v>
      </c>
    </row>
    <row r="2123" spans="1:16" x14ac:dyDescent="0.3">
      <c r="A2123">
        <v>68</v>
      </c>
      <c r="B2123" t="s">
        <v>1921</v>
      </c>
      <c r="C2123" t="s">
        <v>1986</v>
      </c>
      <c r="D2123" t="str">
        <f>VLOOKUP(YouTube_University_Data_Final[[#This Row],[Title]],[1]!YouTube_University_Data_Final[[Title]:[Title_language]],2,FALSE)</f>
        <v>English</v>
      </c>
      <c r="E2123" t="s">
        <v>1987</v>
      </c>
      <c r="F2123">
        <v>27</v>
      </c>
      <c r="G2123" s="1">
        <v>44630</v>
      </c>
      <c r="H2123">
        <v>101</v>
      </c>
      <c r="I2123" t="s">
        <v>4721</v>
      </c>
      <c r="J2123">
        <v>358</v>
      </c>
      <c r="K2123">
        <v>5</v>
      </c>
      <c r="L2123">
        <v>0</v>
      </c>
      <c r="M2123">
        <v>0</v>
      </c>
      <c r="N2123" t="s">
        <v>90</v>
      </c>
      <c r="O2123">
        <v>2022</v>
      </c>
      <c r="P2123" t="s">
        <v>18</v>
      </c>
    </row>
    <row r="2124" spans="1:16" x14ac:dyDescent="0.3">
      <c r="A2124">
        <v>69</v>
      </c>
      <c r="B2124" t="s">
        <v>1921</v>
      </c>
      <c r="C2124" t="s">
        <v>1988</v>
      </c>
      <c r="D2124" t="str">
        <f>VLOOKUP(YouTube_University_Data_Final[[#This Row],[Title]],[1]!YouTube_University_Data_Final[[Title]:[Title_language]],2,FALSE)</f>
        <v>English</v>
      </c>
      <c r="E2124" t="s">
        <v>1989</v>
      </c>
      <c r="F2124">
        <v>27</v>
      </c>
      <c r="G2124" s="1">
        <v>44630</v>
      </c>
      <c r="H2124">
        <v>98</v>
      </c>
      <c r="I2124" t="s">
        <v>4721</v>
      </c>
      <c r="J2124">
        <v>239</v>
      </c>
      <c r="K2124">
        <v>2</v>
      </c>
      <c r="L2124">
        <v>0</v>
      </c>
      <c r="M2124">
        <v>0</v>
      </c>
      <c r="N2124" t="s">
        <v>90</v>
      </c>
      <c r="O2124">
        <v>2022</v>
      </c>
      <c r="P2124" t="s">
        <v>18</v>
      </c>
    </row>
    <row r="2125" spans="1:16" x14ac:dyDescent="0.3">
      <c r="A2125">
        <v>70</v>
      </c>
      <c r="B2125" t="s">
        <v>1921</v>
      </c>
      <c r="C2125" t="s">
        <v>1990</v>
      </c>
      <c r="D2125" t="str">
        <f>VLOOKUP(YouTube_University_Data_Final[[#This Row],[Title]],[1]!YouTube_University_Data_Final[[Title]:[Title_language]],2,FALSE)</f>
        <v>English</v>
      </c>
      <c r="E2125" t="s">
        <v>1991</v>
      </c>
      <c r="F2125">
        <v>27</v>
      </c>
      <c r="G2125" s="1">
        <v>44630</v>
      </c>
      <c r="H2125">
        <v>99</v>
      </c>
      <c r="I2125" t="s">
        <v>4721</v>
      </c>
      <c r="J2125">
        <v>307</v>
      </c>
      <c r="K2125">
        <v>1</v>
      </c>
      <c r="L2125">
        <v>0</v>
      </c>
      <c r="M2125">
        <v>0</v>
      </c>
      <c r="N2125" t="s">
        <v>90</v>
      </c>
      <c r="O2125">
        <v>2022</v>
      </c>
      <c r="P2125" t="s">
        <v>18</v>
      </c>
    </row>
    <row r="2126" spans="1:16" x14ac:dyDescent="0.3">
      <c r="A2126">
        <v>71</v>
      </c>
      <c r="B2126" t="s">
        <v>1921</v>
      </c>
      <c r="C2126" t="s">
        <v>1992</v>
      </c>
      <c r="D2126" t="str">
        <f>VLOOKUP(YouTube_University_Data_Final[[#This Row],[Title]],[1]!YouTube_University_Data_Final[[Title]:[Title_language]],2,FALSE)</f>
        <v>English</v>
      </c>
      <c r="E2126" t="s">
        <v>1993</v>
      </c>
      <c r="F2126">
        <v>27</v>
      </c>
      <c r="G2126" s="1">
        <v>44630</v>
      </c>
      <c r="H2126">
        <v>103</v>
      </c>
      <c r="I2126" t="s">
        <v>4721</v>
      </c>
      <c r="J2126">
        <v>275</v>
      </c>
      <c r="K2126">
        <v>4</v>
      </c>
      <c r="L2126">
        <v>0</v>
      </c>
      <c r="M2126">
        <v>0</v>
      </c>
      <c r="N2126" t="s">
        <v>90</v>
      </c>
      <c r="O2126">
        <v>2022</v>
      </c>
      <c r="P2126" t="s">
        <v>18</v>
      </c>
    </row>
    <row r="2127" spans="1:16" x14ac:dyDescent="0.3">
      <c r="A2127">
        <v>72</v>
      </c>
      <c r="B2127" t="s">
        <v>1921</v>
      </c>
      <c r="C2127" t="s">
        <v>1994</v>
      </c>
      <c r="D2127" t="str">
        <f>VLOOKUP(YouTube_University_Data_Final[[#This Row],[Title]],[1]!YouTube_University_Data_Final[[Title]:[Title_language]],2,FALSE)</f>
        <v>English</v>
      </c>
      <c r="E2127" t="s">
        <v>1995</v>
      </c>
      <c r="F2127">
        <v>27</v>
      </c>
      <c r="G2127" s="1">
        <v>44630</v>
      </c>
      <c r="H2127">
        <v>107</v>
      </c>
      <c r="I2127" t="s">
        <v>4721</v>
      </c>
      <c r="J2127">
        <v>260</v>
      </c>
      <c r="K2127">
        <v>2</v>
      </c>
      <c r="L2127">
        <v>0</v>
      </c>
      <c r="M2127">
        <v>0</v>
      </c>
      <c r="N2127" t="s">
        <v>90</v>
      </c>
      <c r="O2127">
        <v>2022</v>
      </c>
      <c r="P2127" t="s">
        <v>18</v>
      </c>
    </row>
    <row r="2128" spans="1:16" x14ac:dyDescent="0.3">
      <c r="A2128">
        <v>73</v>
      </c>
      <c r="B2128" t="s">
        <v>1921</v>
      </c>
      <c r="C2128" t="s">
        <v>1996</v>
      </c>
      <c r="D2128" t="str">
        <f>VLOOKUP(YouTube_University_Data_Final[[#This Row],[Title]],[1]!YouTube_University_Data_Final[[Title]:[Title_language]],2,FALSE)</f>
        <v>English</v>
      </c>
      <c r="E2128" t="s">
        <v>1997</v>
      </c>
      <c r="F2128">
        <v>27</v>
      </c>
      <c r="G2128" s="1">
        <v>44630</v>
      </c>
      <c r="H2128">
        <v>110</v>
      </c>
      <c r="I2128" t="s">
        <v>4721</v>
      </c>
      <c r="J2128">
        <v>264</v>
      </c>
      <c r="K2128">
        <v>2</v>
      </c>
      <c r="L2128">
        <v>0</v>
      </c>
      <c r="M2128">
        <v>0</v>
      </c>
      <c r="N2128" t="s">
        <v>90</v>
      </c>
      <c r="O2128">
        <v>2022</v>
      </c>
      <c r="P2128" t="s">
        <v>18</v>
      </c>
    </row>
    <row r="2129" spans="1:16" x14ac:dyDescent="0.3">
      <c r="A2129">
        <v>74</v>
      </c>
      <c r="B2129" t="s">
        <v>1921</v>
      </c>
      <c r="C2129" t="s">
        <v>1998</v>
      </c>
      <c r="D2129" t="str">
        <f>VLOOKUP(YouTube_University_Data_Final[[#This Row],[Title]],[1]!YouTube_University_Data_Final[[Title]:[Title_language]],2,FALSE)</f>
        <v>English</v>
      </c>
      <c r="E2129" t="s">
        <v>1999</v>
      </c>
      <c r="F2129">
        <v>27</v>
      </c>
      <c r="G2129" s="1">
        <v>44630</v>
      </c>
      <c r="H2129">
        <v>124</v>
      </c>
      <c r="I2129" t="s">
        <v>4721</v>
      </c>
      <c r="J2129">
        <v>259</v>
      </c>
      <c r="K2129">
        <v>1</v>
      </c>
      <c r="L2129">
        <v>0</v>
      </c>
      <c r="M2129">
        <v>0</v>
      </c>
      <c r="N2129" t="s">
        <v>90</v>
      </c>
      <c r="O2129">
        <v>2022</v>
      </c>
      <c r="P2129" t="s">
        <v>18</v>
      </c>
    </row>
    <row r="2130" spans="1:16" x14ac:dyDescent="0.3">
      <c r="A2130">
        <v>75</v>
      </c>
      <c r="B2130" t="s">
        <v>1921</v>
      </c>
      <c r="C2130" t="s">
        <v>2000</v>
      </c>
      <c r="D2130" t="str">
        <f>VLOOKUP(YouTube_University_Data_Final[[#This Row],[Title]],[1]!YouTube_University_Data_Final[[Title]:[Title_language]],2,FALSE)</f>
        <v>English</v>
      </c>
      <c r="E2130" t="s">
        <v>4799</v>
      </c>
      <c r="F2130">
        <v>27</v>
      </c>
      <c r="G2130" s="1">
        <v>44623</v>
      </c>
      <c r="H2130">
        <v>58</v>
      </c>
      <c r="I2130" t="s">
        <v>4800</v>
      </c>
      <c r="J2130">
        <v>194677</v>
      </c>
      <c r="K2130">
        <v>19</v>
      </c>
      <c r="L2130">
        <v>0</v>
      </c>
      <c r="M2130">
        <v>0</v>
      </c>
      <c r="N2130" t="s">
        <v>90</v>
      </c>
      <c r="O2130">
        <v>2022</v>
      </c>
      <c r="P2130" t="s">
        <v>18</v>
      </c>
    </row>
    <row r="2131" spans="1:16" x14ac:dyDescent="0.3">
      <c r="A2131">
        <v>76</v>
      </c>
      <c r="B2131" t="s">
        <v>1921</v>
      </c>
      <c r="C2131" t="s">
        <v>2001</v>
      </c>
      <c r="D2131" t="str">
        <f>VLOOKUP(YouTube_University_Data_Final[[#This Row],[Title]],[1]!YouTube_University_Data_Final[[Title]:[Title_language]],2,FALSE)</f>
        <v>English</v>
      </c>
      <c r="E2131" t="s">
        <v>4801</v>
      </c>
      <c r="F2131">
        <v>27</v>
      </c>
      <c r="G2131" s="1">
        <v>44603</v>
      </c>
      <c r="H2131">
        <v>367</v>
      </c>
      <c r="I2131" t="s">
        <v>4721</v>
      </c>
      <c r="J2131">
        <v>684</v>
      </c>
      <c r="K2131">
        <v>9</v>
      </c>
      <c r="L2131">
        <v>0</v>
      </c>
      <c r="M2131">
        <v>0</v>
      </c>
      <c r="N2131" t="s">
        <v>162</v>
      </c>
      <c r="O2131">
        <v>2022</v>
      </c>
      <c r="P2131" t="s">
        <v>18</v>
      </c>
    </row>
    <row r="2132" spans="1:16" x14ac:dyDescent="0.3">
      <c r="A2132">
        <v>77</v>
      </c>
      <c r="B2132" t="s">
        <v>1921</v>
      </c>
      <c r="C2132" t="s">
        <v>2002</v>
      </c>
      <c r="D2132" t="str">
        <f>VLOOKUP(YouTube_University_Data_Final[[#This Row],[Title]],[1]!YouTube_University_Data_Final[[Title]:[Title_language]],2,FALSE)</f>
        <v>English</v>
      </c>
      <c r="E2132" t="s">
        <v>2003</v>
      </c>
      <c r="F2132">
        <v>27</v>
      </c>
      <c r="G2132" s="1">
        <v>44600</v>
      </c>
      <c r="H2132">
        <v>317</v>
      </c>
      <c r="I2132" t="s">
        <v>4721</v>
      </c>
      <c r="J2132">
        <v>130</v>
      </c>
      <c r="K2132">
        <v>0</v>
      </c>
      <c r="L2132">
        <v>0</v>
      </c>
      <c r="M2132">
        <v>0</v>
      </c>
      <c r="N2132" t="s">
        <v>162</v>
      </c>
      <c r="O2132">
        <v>2022</v>
      </c>
      <c r="P2132" t="s">
        <v>18</v>
      </c>
    </row>
    <row r="2133" spans="1:16" x14ac:dyDescent="0.3">
      <c r="A2133">
        <v>78</v>
      </c>
      <c r="B2133" t="s">
        <v>1921</v>
      </c>
      <c r="C2133" t="s">
        <v>2004</v>
      </c>
      <c r="D2133" t="str">
        <f>VLOOKUP(YouTube_University_Data_Final[[#This Row],[Title]],[1]!YouTube_University_Data_Final[[Title]:[Title_language]],2,FALSE)</f>
        <v>English</v>
      </c>
      <c r="E2133" t="s">
        <v>2005</v>
      </c>
      <c r="F2133">
        <v>27</v>
      </c>
      <c r="G2133" s="1">
        <v>44600</v>
      </c>
      <c r="H2133">
        <v>2304</v>
      </c>
      <c r="I2133" t="s">
        <v>4721</v>
      </c>
      <c r="J2133">
        <v>140</v>
      </c>
      <c r="K2133">
        <v>0</v>
      </c>
      <c r="L2133">
        <v>0</v>
      </c>
      <c r="M2133">
        <v>0</v>
      </c>
      <c r="N2133" t="s">
        <v>162</v>
      </c>
      <c r="O2133">
        <v>2022</v>
      </c>
      <c r="P2133" t="s">
        <v>18</v>
      </c>
    </row>
    <row r="2134" spans="1:16" x14ac:dyDescent="0.3">
      <c r="A2134">
        <v>79</v>
      </c>
      <c r="B2134" t="s">
        <v>1921</v>
      </c>
      <c r="C2134" t="s">
        <v>2006</v>
      </c>
      <c r="D2134" t="str">
        <f>VLOOKUP(YouTube_University_Data_Final[[#This Row],[Title]],[1]!YouTube_University_Data_Final[[Title]:[Title_language]],2,FALSE)</f>
        <v>English</v>
      </c>
      <c r="E2134" t="s">
        <v>2007</v>
      </c>
      <c r="F2134">
        <v>27</v>
      </c>
      <c r="G2134" s="1">
        <v>44600</v>
      </c>
      <c r="H2134">
        <v>2810</v>
      </c>
      <c r="I2134" t="s">
        <v>4721</v>
      </c>
      <c r="J2134">
        <v>133</v>
      </c>
      <c r="K2134">
        <v>3</v>
      </c>
      <c r="L2134">
        <v>0</v>
      </c>
      <c r="M2134">
        <v>0</v>
      </c>
      <c r="N2134" t="s">
        <v>162</v>
      </c>
      <c r="O2134">
        <v>2022</v>
      </c>
      <c r="P2134" t="s">
        <v>18</v>
      </c>
    </row>
    <row r="2135" spans="1:16" x14ac:dyDescent="0.3">
      <c r="A2135">
        <v>80</v>
      </c>
      <c r="B2135" t="s">
        <v>1921</v>
      </c>
      <c r="C2135" t="s">
        <v>2008</v>
      </c>
      <c r="D2135" t="str">
        <f>VLOOKUP(YouTube_University_Data_Final[[#This Row],[Title]],[1]!YouTube_University_Data_Final[[Title]:[Title_language]],2,FALSE)</f>
        <v>English</v>
      </c>
      <c r="E2135" t="s">
        <v>2009</v>
      </c>
      <c r="F2135">
        <v>27</v>
      </c>
      <c r="G2135" s="1">
        <v>44600</v>
      </c>
      <c r="H2135">
        <v>2725</v>
      </c>
      <c r="I2135" t="s">
        <v>4721</v>
      </c>
      <c r="J2135">
        <v>143</v>
      </c>
      <c r="K2135">
        <v>2</v>
      </c>
      <c r="L2135">
        <v>0</v>
      </c>
      <c r="M2135">
        <v>0</v>
      </c>
      <c r="N2135" t="s">
        <v>162</v>
      </c>
      <c r="O2135">
        <v>2022</v>
      </c>
      <c r="P2135" t="s">
        <v>18</v>
      </c>
    </row>
    <row r="2136" spans="1:16" x14ac:dyDescent="0.3">
      <c r="A2136">
        <v>81</v>
      </c>
      <c r="B2136" t="s">
        <v>1921</v>
      </c>
      <c r="C2136" t="s">
        <v>4802</v>
      </c>
      <c r="D2136" t="str">
        <f>VLOOKUP(YouTube_University_Data_Final[[#This Row],[Title]],[1]!YouTube_University_Data_Final[[Title]:[Title_language]],2,FALSE)</f>
        <v>English</v>
      </c>
      <c r="E2136" t="s">
        <v>4803</v>
      </c>
      <c r="F2136">
        <v>27</v>
      </c>
      <c r="G2136" s="1">
        <v>44589</v>
      </c>
      <c r="H2136">
        <v>150</v>
      </c>
      <c r="I2136" t="s">
        <v>4721</v>
      </c>
      <c r="J2136">
        <v>754</v>
      </c>
      <c r="K2136">
        <v>10</v>
      </c>
      <c r="L2136">
        <v>0</v>
      </c>
      <c r="M2136">
        <v>0</v>
      </c>
      <c r="N2136" t="s">
        <v>93</v>
      </c>
      <c r="O2136">
        <v>2022</v>
      </c>
      <c r="P2136" t="s">
        <v>18</v>
      </c>
    </row>
    <row r="2137" spans="1:16" x14ac:dyDescent="0.3">
      <c r="A2137">
        <v>82</v>
      </c>
      <c r="B2137" t="s">
        <v>1921</v>
      </c>
      <c r="C2137" t="s">
        <v>4804</v>
      </c>
      <c r="D2137" t="str">
        <f>VLOOKUP(YouTube_University_Data_Final[[#This Row],[Title]],[1]!YouTube_University_Data_Final[[Title]:[Title_language]],2,FALSE)</f>
        <v>English</v>
      </c>
      <c r="E2137" t="s">
        <v>4805</v>
      </c>
      <c r="F2137">
        <v>27</v>
      </c>
      <c r="G2137" s="1">
        <v>44586</v>
      </c>
      <c r="H2137">
        <v>110</v>
      </c>
      <c r="I2137" t="s">
        <v>4721</v>
      </c>
      <c r="J2137">
        <v>338</v>
      </c>
      <c r="K2137">
        <v>5</v>
      </c>
      <c r="L2137">
        <v>0</v>
      </c>
      <c r="M2137">
        <v>0</v>
      </c>
      <c r="N2137" t="s">
        <v>93</v>
      </c>
      <c r="O2137">
        <v>2022</v>
      </c>
      <c r="P2137" t="s">
        <v>18</v>
      </c>
    </row>
    <row r="2138" spans="1:16" x14ac:dyDescent="0.3">
      <c r="A2138">
        <v>83</v>
      </c>
      <c r="B2138" t="s">
        <v>1921</v>
      </c>
      <c r="C2138" t="s">
        <v>4806</v>
      </c>
      <c r="D2138" t="str">
        <f>VLOOKUP(YouTube_University_Data_Final[[#This Row],[Title]],[1]!YouTube_University_Data_Final[[Title]:[Title_language]],2,FALSE)</f>
        <v>English</v>
      </c>
      <c r="E2138" t="s">
        <v>4807</v>
      </c>
      <c r="F2138">
        <v>27</v>
      </c>
      <c r="G2138" s="1">
        <v>44581</v>
      </c>
      <c r="H2138">
        <v>150</v>
      </c>
      <c r="I2138" t="s">
        <v>4721</v>
      </c>
      <c r="J2138">
        <v>258</v>
      </c>
      <c r="K2138">
        <v>5</v>
      </c>
      <c r="L2138">
        <v>0</v>
      </c>
      <c r="M2138">
        <v>0</v>
      </c>
      <c r="N2138" t="s">
        <v>93</v>
      </c>
      <c r="O2138">
        <v>2022</v>
      </c>
      <c r="P2138" t="s">
        <v>18</v>
      </c>
    </row>
    <row r="2139" spans="1:16" x14ac:dyDescent="0.3">
      <c r="A2139">
        <v>84</v>
      </c>
      <c r="B2139" t="s">
        <v>1921</v>
      </c>
      <c r="C2139" t="s">
        <v>4808</v>
      </c>
      <c r="D2139" t="str">
        <f>VLOOKUP(YouTube_University_Data_Final[[#This Row],[Title]],[1]!YouTube_University_Data_Final[[Title]:[Title_language]],2,FALSE)</f>
        <v>Chinese</v>
      </c>
      <c r="E2139" t="s">
        <v>4809</v>
      </c>
      <c r="F2139">
        <v>27</v>
      </c>
      <c r="G2139" s="1">
        <v>44578</v>
      </c>
      <c r="H2139">
        <v>594</v>
      </c>
      <c r="I2139" t="s">
        <v>4721</v>
      </c>
      <c r="J2139">
        <v>69</v>
      </c>
      <c r="K2139">
        <v>0</v>
      </c>
      <c r="L2139">
        <v>0</v>
      </c>
      <c r="M2139">
        <v>0</v>
      </c>
      <c r="N2139" t="s">
        <v>93</v>
      </c>
      <c r="O2139">
        <v>2022</v>
      </c>
      <c r="P2139" t="s">
        <v>18</v>
      </c>
    </row>
    <row r="2140" spans="1:16" x14ac:dyDescent="0.3">
      <c r="A2140">
        <v>85</v>
      </c>
      <c r="B2140" t="s">
        <v>1921</v>
      </c>
      <c r="C2140" t="s">
        <v>4810</v>
      </c>
      <c r="D2140" t="str">
        <f>VLOOKUP(YouTube_University_Data_Final[[#This Row],[Title]],[1]!YouTube_University_Data_Final[[Title]:[Title_language]],2,FALSE)</f>
        <v>Chinese</v>
      </c>
      <c r="E2140" t="s">
        <v>4811</v>
      </c>
      <c r="F2140">
        <v>27</v>
      </c>
      <c r="G2140" s="1">
        <v>44578</v>
      </c>
      <c r="H2140">
        <v>221</v>
      </c>
      <c r="I2140" t="s">
        <v>4721</v>
      </c>
      <c r="J2140">
        <v>59</v>
      </c>
      <c r="K2140">
        <v>0</v>
      </c>
      <c r="L2140">
        <v>0</v>
      </c>
      <c r="M2140">
        <v>0</v>
      </c>
      <c r="N2140" t="s">
        <v>93</v>
      </c>
      <c r="O2140">
        <v>2022</v>
      </c>
      <c r="P2140" t="s">
        <v>18</v>
      </c>
    </row>
    <row r="2141" spans="1:16" x14ac:dyDescent="0.3">
      <c r="A2141">
        <v>86</v>
      </c>
      <c r="B2141" t="s">
        <v>1921</v>
      </c>
      <c r="C2141" t="s">
        <v>4812</v>
      </c>
      <c r="D2141" t="str">
        <f>VLOOKUP(YouTube_University_Data_Final[[#This Row],[Title]],[1]!YouTube_University_Data_Final[[Title]:[Title_language]],2,FALSE)</f>
        <v>English</v>
      </c>
      <c r="E2141" t="s">
        <v>4813</v>
      </c>
      <c r="F2141">
        <v>27</v>
      </c>
      <c r="G2141" s="1">
        <v>44572</v>
      </c>
      <c r="H2141">
        <v>2082</v>
      </c>
      <c r="I2141" t="s">
        <v>2944</v>
      </c>
      <c r="J2141">
        <v>427</v>
      </c>
      <c r="K2141">
        <v>5</v>
      </c>
      <c r="L2141">
        <v>0</v>
      </c>
      <c r="M2141">
        <v>0</v>
      </c>
      <c r="N2141" t="s">
        <v>93</v>
      </c>
      <c r="O2141">
        <v>2022</v>
      </c>
      <c r="P2141" t="s">
        <v>18</v>
      </c>
    </row>
    <row r="2142" spans="1:16" x14ac:dyDescent="0.3">
      <c r="A2142">
        <v>87</v>
      </c>
      <c r="B2142" t="s">
        <v>1921</v>
      </c>
      <c r="C2142" t="s">
        <v>2010</v>
      </c>
      <c r="D2142" t="str">
        <f>VLOOKUP(YouTube_University_Data_Final[[#This Row],[Title]],[1]!YouTube_University_Data_Final[[Title]:[Title_language]],2,FALSE)</f>
        <v>English</v>
      </c>
      <c r="E2142" t="s">
        <v>2011</v>
      </c>
      <c r="F2142">
        <v>27</v>
      </c>
      <c r="G2142" s="1">
        <v>44572</v>
      </c>
      <c r="H2142">
        <v>2234</v>
      </c>
      <c r="I2142" t="s">
        <v>2944</v>
      </c>
      <c r="J2142">
        <v>211</v>
      </c>
      <c r="K2142">
        <v>1</v>
      </c>
      <c r="L2142">
        <v>0</v>
      </c>
      <c r="M2142">
        <v>0</v>
      </c>
      <c r="N2142" t="s">
        <v>93</v>
      </c>
      <c r="O2142">
        <v>2022</v>
      </c>
      <c r="P2142" t="s">
        <v>18</v>
      </c>
    </row>
    <row r="2143" spans="1:16" x14ac:dyDescent="0.3">
      <c r="A2143">
        <v>88</v>
      </c>
      <c r="B2143" t="s">
        <v>1921</v>
      </c>
      <c r="C2143" t="s">
        <v>2012</v>
      </c>
      <c r="D2143" t="str">
        <f>VLOOKUP(YouTube_University_Data_Final[[#This Row],[Title]],[1]!YouTube_University_Data_Final[[Title]:[Title_language]],2,FALSE)</f>
        <v>English</v>
      </c>
      <c r="E2143" t="s">
        <v>2013</v>
      </c>
      <c r="F2143">
        <v>27</v>
      </c>
      <c r="G2143" s="1">
        <v>44572</v>
      </c>
      <c r="H2143">
        <v>2678</v>
      </c>
      <c r="I2143" t="s">
        <v>2944</v>
      </c>
      <c r="J2143">
        <v>498</v>
      </c>
      <c r="K2143">
        <v>12</v>
      </c>
      <c r="L2143">
        <v>0</v>
      </c>
      <c r="M2143">
        <v>0</v>
      </c>
      <c r="N2143" t="s">
        <v>93</v>
      </c>
      <c r="O2143">
        <v>2022</v>
      </c>
      <c r="P2143" t="s">
        <v>18</v>
      </c>
    </row>
    <row r="2144" spans="1:16" x14ac:dyDescent="0.3">
      <c r="A2144">
        <v>89</v>
      </c>
      <c r="B2144" t="s">
        <v>1921</v>
      </c>
      <c r="C2144" t="s">
        <v>2014</v>
      </c>
      <c r="D2144" t="str">
        <f>VLOOKUP(YouTube_University_Data_Final[[#This Row],[Title]],[1]!YouTube_University_Data_Final[[Title]:[Title_language]],2,FALSE)</f>
        <v>English</v>
      </c>
      <c r="E2144" t="s">
        <v>2015</v>
      </c>
      <c r="F2144">
        <v>27</v>
      </c>
      <c r="G2144" s="1">
        <v>44572</v>
      </c>
      <c r="H2144">
        <v>2807</v>
      </c>
      <c r="I2144" t="s">
        <v>2944</v>
      </c>
      <c r="J2144">
        <v>155</v>
      </c>
      <c r="K2144">
        <v>2</v>
      </c>
      <c r="L2144">
        <v>0</v>
      </c>
      <c r="M2144">
        <v>0</v>
      </c>
      <c r="N2144" t="s">
        <v>93</v>
      </c>
      <c r="O2144">
        <v>2022</v>
      </c>
      <c r="P2144" t="s">
        <v>18</v>
      </c>
    </row>
    <row r="2145" spans="1:16" x14ac:dyDescent="0.3">
      <c r="A2145">
        <v>90</v>
      </c>
      <c r="B2145" t="s">
        <v>1921</v>
      </c>
      <c r="C2145" t="s">
        <v>2016</v>
      </c>
      <c r="D2145" t="str">
        <f>VLOOKUP(YouTube_University_Data_Final[[#This Row],[Title]],[1]!YouTube_University_Data_Final[[Title]:[Title_language]],2,FALSE)</f>
        <v>English</v>
      </c>
      <c r="E2145" t="s">
        <v>2017</v>
      </c>
      <c r="F2145">
        <v>27</v>
      </c>
      <c r="G2145" s="1">
        <v>44572</v>
      </c>
      <c r="H2145">
        <v>1912</v>
      </c>
      <c r="I2145" t="s">
        <v>2944</v>
      </c>
      <c r="J2145">
        <v>151</v>
      </c>
      <c r="K2145">
        <v>2</v>
      </c>
      <c r="L2145">
        <v>0</v>
      </c>
      <c r="M2145">
        <v>0</v>
      </c>
      <c r="N2145" t="s">
        <v>93</v>
      </c>
      <c r="O2145">
        <v>2022</v>
      </c>
      <c r="P2145" t="s">
        <v>18</v>
      </c>
    </row>
    <row r="2146" spans="1:16" x14ac:dyDescent="0.3">
      <c r="A2146">
        <v>91</v>
      </c>
      <c r="B2146" t="s">
        <v>1921</v>
      </c>
      <c r="C2146" t="s">
        <v>2018</v>
      </c>
      <c r="D2146" t="str">
        <f>VLOOKUP(YouTube_University_Data_Final[[#This Row],[Title]],[1]!YouTube_University_Data_Final[[Title]:[Title_language]],2,FALSE)</f>
        <v>English</v>
      </c>
      <c r="E2146" t="s">
        <v>2019</v>
      </c>
      <c r="F2146">
        <v>27</v>
      </c>
      <c r="G2146" s="1">
        <v>44572</v>
      </c>
      <c r="H2146">
        <v>2541</v>
      </c>
      <c r="I2146" t="s">
        <v>2944</v>
      </c>
      <c r="J2146">
        <v>258</v>
      </c>
      <c r="K2146">
        <v>17</v>
      </c>
      <c r="L2146">
        <v>0</v>
      </c>
      <c r="M2146">
        <v>0</v>
      </c>
      <c r="N2146" t="s">
        <v>93</v>
      </c>
      <c r="O2146">
        <v>2022</v>
      </c>
      <c r="P2146" t="s">
        <v>18</v>
      </c>
    </row>
    <row r="2147" spans="1:16" x14ac:dyDescent="0.3">
      <c r="A2147">
        <v>92</v>
      </c>
      <c r="B2147" t="s">
        <v>1921</v>
      </c>
      <c r="C2147" t="s">
        <v>2020</v>
      </c>
      <c r="D2147" t="str">
        <f>VLOOKUP(YouTube_University_Data_Final[[#This Row],[Title]],[1]!YouTube_University_Data_Final[[Title]:[Title_language]],2,FALSE)</f>
        <v>English</v>
      </c>
      <c r="E2147" t="s">
        <v>2021</v>
      </c>
      <c r="F2147">
        <v>27</v>
      </c>
      <c r="G2147" s="1">
        <v>44572</v>
      </c>
      <c r="H2147">
        <v>3445</v>
      </c>
      <c r="I2147" t="s">
        <v>2944</v>
      </c>
      <c r="J2147">
        <v>129</v>
      </c>
      <c r="K2147">
        <v>2</v>
      </c>
      <c r="L2147">
        <v>0</v>
      </c>
      <c r="M2147">
        <v>0</v>
      </c>
      <c r="N2147" t="s">
        <v>93</v>
      </c>
      <c r="O2147">
        <v>2022</v>
      </c>
      <c r="P2147" t="s">
        <v>18</v>
      </c>
    </row>
    <row r="2148" spans="1:16" x14ac:dyDescent="0.3">
      <c r="A2148">
        <v>93</v>
      </c>
      <c r="B2148" t="s">
        <v>1921</v>
      </c>
      <c r="C2148" t="s">
        <v>2022</v>
      </c>
      <c r="D2148" t="str">
        <f>VLOOKUP(YouTube_University_Data_Final[[#This Row],[Title]],[1]!YouTube_University_Data_Final[[Title]:[Title_language]],2,FALSE)</f>
        <v>English</v>
      </c>
      <c r="E2148" t="s">
        <v>2023</v>
      </c>
      <c r="F2148">
        <v>27</v>
      </c>
      <c r="G2148" s="1">
        <v>44572</v>
      </c>
      <c r="H2148">
        <v>2841</v>
      </c>
      <c r="I2148" t="s">
        <v>2944</v>
      </c>
      <c r="J2148">
        <v>178</v>
      </c>
      <c r="K2148">
        <v>9</v>
      </c>
      <c r="L2148">
        <v>0</v>
      </c>
      <c r="M2148">
        <v>0</v>
      </c>
      <c r="N2148" t="s">
        <v>93</v>
      </c>
      <c r="O2148">
        <v>2022</v>
      </c>
      <c r="P2148" t="s">
        <v>18</v>
      </c>
    </row>
    <row r="2149" spans="1:16" x14ac:dyDescent="0.3">
      <c r="A2149">
        <v>94</v>
      </c>
      <c r="B2149" t="s">
        <v>1921</v>
      </c>
      <c r="C2149" t="s">
        <v>4814</v>
      </c>
      <c r="D2149" t="str">
        <f>VLOOKUP(YouTube_University_Data_Final[[#This Row],[Title]],[1]!YouTube_University_Data_Final[[Title]:[Title_language]],2,FALSE)</f>
        <v>English</v>
      </c>
      <c r="E2149" t="s">
        <v>4815</v>
      </c>
      <c r="F2149">
        <v>27</v>
      </c>
      <c r="G2149" s="1">
        <v>44562</v>
      </c>
      <c r="H2149">
        <v>191</v>
      </c>
      <c r="I2149" t="s">
        <v>2944</v>
      </c>
      <c r="J2149">
        <v>3162</v>
      </c>
      <c r="K2149">
        <v>41</v>
      </c>
      <c r="L2149">
        <v>0</v>
      </c>
      <c r="M2149">
        <v>0</v>
      </c>
      <c r="N2149" t="s">
        <v>93</v>
      </c>
      <c r="O2149">
        <v>2022</v>
      </c>
      <c r="P2149" t="s">
        <v>18</v>
      </c>
    </row>
    <row r="2150" spans="1:16" x14ac:dyDescent="0.3">
      <c r="A2150">
        <v>95</v>
      </c>
      <c r="B2150" t="s">
        <v>1921</v>
      </c>
      <c r="C2150" t="s">
        <v>4816</v>
      </c>
      <c r="D2150" t="str">
        <f>VLOOKUP(YouTube_University_Data_Final[[#This Row],[Title]],[1]!YouTube_University_Data_Final[[Title]:[Title_language]],2,FALSE)</f>
        <v>Chinese</v>
      </c>
      <c r="E2150" t="s">
        <v>4817</v>
      </c>
      <c r="F2150">
        <v>27</v>
      </c>
      <c r="G2150" s="1">
        <v>44551</v>
      </c>
      <c r="H2150">
        <v>375</v>
      </c>
      <c r="I2150" t="s">
        <v>2944</v>
      </c>
      <c r="J2150">
        <v>124</v>
      </c>
      <c r="K2150">
        <v>0</v>
      </c>
      <c r="L2150">
        <v>0</v>
      </c>
      <c r="M2150">
        <v>0</v>
      </c>
      <c r="N2150" t="s">
        <v>98</v>
      </c>
      <c r="O2150">
        <v>2021</v>
      </c>
      <c r="P2150" t="s">
        <v>18</v>
      </c>
    </row>
    <row r="2151" spans="1:16" x14ac:dyDescent="0.3">
      <c r="A2151">
        <v>96</v>
      </c>
      <c r="B2151" t="s">
        <v>1921</v>
      </c>
      <c r="C2151" t="s">
        <v>4818</v>
      </c>
      <c r="D2151" t="str">
        <f>VLOOKUP(YouTube_University_Data_Final[[#This Row],[Title]],[1]!YouTube_University_Data_Final[[Title]:[Title_language]],2,FALSE)</f>
        <v>Chinese</v>
      </c>
      <c r="E2151" t="s">
        <v>4819</v>
      </c>
      <c r="F2151">
        <v>27</v>
      </c>
      <c r="G2151" s="1">
        <v>44551</v>
      </c>
      <c r="H2151">
        <v>300</v>
      </c>
      <c r="I2151" t="s">
        <v>2944</v>
      </c>
      <c r="J2151">
        <v>30</v>
      </c>
      <c r="K2151">
        <v>0</v>
      </c>
      <c r="L2151">
        <v>0</v>
      </c>
      <c r="M2151">
        <v>0</v>
      </c>
      <c r="N2151" t="s">
        <v>98</v>
      </c>
      <c r="O2151">
        <v>2021</v>
      </c>
      <c r="P2151" t="s">
        <v>18</v>
      </c>
    </row>
    <row r="2152" spans="1:16" x14ac:dyDescent="0.3">
      <c r="A2152">
        <v>97</v>
      </c>
      <c r="B2152" t="s">
        <v>1921</v>
      </c>
      <c r="C2152" t="s">
        <v>4820</v>
      </c>
      <c r="D2152" t="str">
        <f>VLOOKUP(YouTube_University_Data_Final[[#This Row],[Title]],[1]!YouTube_University_Data_Final[[Title]:[Title_language]],2,FALSE)</f>
        <v>Chinese</v>
      </c>
      <c r="E2152" t="s">
        <v>4821</v>
      </c>
      <c r="F2152">
        <v>27</v>
      </c>
      <c r="G2152" s="1">
        <v>44551</v>
      </c>
      <c r="H2152">
        <v>402</v>
      </c>
      <c r="I2152" t="s">
        <v>2944</v>
      </c>
      <c r="J2152">
        <v>81</v>
      </c>
      <c r="K2152">
        <v>0</v>
      </c>
      <c r="L2152">
        <v>0</v>
      </c>
      <c r="M2152">
        <v>0</v>
      </c>
      <c r="N2152" t="s">
        <v>98</v>
      </c>
      <c r="O2152">
        <v>2021</v>
      </c>
      <c r="P2152" t="s">
        <v>18</v>
      </c>
    </row>
    <row r="2153" spans="1:16" x14ac:dyDescent="0.3">
      <c r="A2153">
        <v>98</v>
      </c>
      <c r="B2153" t="s">
        <v>1921</v>
      </c>
      <c r="C2153" t="s">
        <v>4822</v>
      </c>
      <c r="D2153" t="str">
        <f>VLOOKUP(YouTube_University_Data_Final[[#This Row],[Title]],[1]!YouTube_University_Data_Final[[Title]:[Title_language]],2,FALSE)</f>
        <v>Chinese</v>
      </c>
      <c r="E2153" t="s">
        <v>4823</v>
      </c>
      <c r="F2153">
        <v>27</v>
      </c>
      <c r="G2153" s="1">
        <v>44551</v>
      </c>
      <c r="H2153">
        <v>318</v>
      </c>
      <c r="I2153" t="s">
        <v>2944</v>
      </c>
      <c r="J2153">
        <v>53</v>
      </c>
      <c r="K2153">
        <v>0</v>
      </c>
      <c r="L2153">
        <v>0</v>
      </c>
      <c r="M2153">
        <v>0</v>
      </c>
      <c r="N2153" t="s">
        <v>98</v>
      </c>
      <c r="O2153">
        <v>2021</v>
      </c>
      <c r="P2153" t="s">
        <v>18</v>
      </c>
    </row>
    <row r="2154" spans="1:16" x14ac:dyDescent="0.3">
      <c r="A2154">
        <v>99</v>
      </c>
      <c r="B2154" t="s">
        <v>1921</v>
      </c>
      <c r="C2154" t="s">
        <v>4824</v>
      </c>
      <c r="D2154" t="str">
        <f>VLOOKUP(YouTube_University_Data_Final[[#This Row],[Title]],[1]!YouTube_University_Data_Final[[Title]:[Title_language]],2,FALSE)</f>
        <v>Chinese</v>
      </c>
      <c r="E2154" t="s">
        <v>4825</v>
      </c>
      <c r="F2154">
        <v>27</v>
      </c>
      <c r="G2154" s="1">
        <v>44551</v>
      </c>
      <c r="H2154">
        <v>315</v>
      </c>
      <c r="I2154" t="s">
        <v>2944</v>
      </c>
      <c r="J2154">
        <v>36</v>
      </c>
      <c r="K2154">
        <v>0</v>
      </c>
      <c r="L2154">
        <v>0</v>
      </c>
      <c r="M2154">
        <v>0</v>
      </c>
      <c r="N2154" t="s">
        <v>98</v>
      </c>
      <c r="O2154">
        <v>2021</v>
      </c>
      <c r="P2154" t="s">
        <v>18</v>
      </c>
    </row>
    <row r="2155" spans="1:16" x14ac:dyDescent="0.3">
      <c r="A2155">
        <v>100</v>
      </c>
      <c r="B2155" t="s">
        <v>1921</v>
      </c>
      <c r="C2155" t="s">
        <v>4826</v>
      </c>
      <c r="D2155" t="str">
        <f>VLOOKUP(YouTube_University_Data_Final[[#This Row],[Title]],[1]!YouTube_University_Data_Final[[Title]:[Title_language]],2,FALSE)</f>
        <v>Chinese</v>
      </c>
      <c r="E2155" t="s">
        <v>4827</v>
      </c>
      <c r="F2155">
        <v>27</v>
      </c>
      <c r="G2155" s="1">
        <v>44551</v>
      </c>
      <c r="H2155">
        <v>219</v>
      </c>
      <c r="I2155" t="s">
        <v>2944</v>
      </c>
      <c r="J2155">
        <v>38</v>
      </c>
      <c r="K2155">
        <v>0</v>
      </c>
      <c r="L2155">
        <v>0</v>
      </c>
      <c r="M2155">
        <v>0</v>
      </c>
      <c r="N2155" t="s">
        <v>98</v>
      </c>
      <c r="O2155">
        <v>2021</v>
      </c>
      <c r="P2155" t="s">
        <v>18</v>
      </c>
    </row>
    <row r="2156" spans="1:16" x14ac:dyDescent="0.3">
      <c r="A2156">
        <v>101</v>
      </c>
      <c r="B2156" t="s">
        <v>1921</v>
      </c>
      <c r="C2156" t="s">
        <v>4828</v>
      </c>
      <c r="D2156" t="str">
        <f>VLOOKUP(YouTube_University_Data_Final[[#This Row],[Title]],[1]!YouTube_University_Data_Final[[Title]:[Title_language]],2,FALSE)</f>
        <v>Chinese</v>
      </c>
      <c r="E2156" t="s">
        <v>4829</v>
      </c>
      <c r="F2156">
        <v>27</v>
      </c>
      <c r="G2156" s="1">
        <v>44551</v>
      </c>
      <c r="H2156">
        <v>232</v>
      </c>
      <c r="I2156" t="s">
        <v>2944</v>
      </c>
      <c r="J2156">
        <v>23</v>
      </c>
      <c r="K2156">
        <v>0</v>
      </c>
      <c r="L2156">
        <v>0</v>
      </c>
      <c r="M2156">
        <v>0</v>
      </c>
      <c r="N2156" t="s">
        <v>98</v>
      </c>
      <c r="O2156">
        <v>2021</v>
      </c>
      <c r="P2156" t="s">
        <v>18</v>
      </c>
    </row>
    <row r="2157" spans="1:16" x14ac:dyDescent="0.3">
      <c r="A2157">
        <v>102</v>
      </c>
      <c r="B2157" t="s">
        <v>1921</v>
      </c>
      <c r="C2157" t="s">
        <v>4830</v>
      </c>
      <c r="D2157" t="str">
        <f>VLOOKUP(YouTube_University_Data_Final[[#This Row],[Title]],[1]!YouTube_University_Data_Final[[Title]:[Title_language]],2,FALSE)</f>
        <v>Chinese</v>
      </c>
      <c r="E2157" t="s">
        <v>4831</v>
      </c>
      <c r="F2157">
        <v>27</v>
      </c>
      <c r="G2157" s="1">
        <v>44551</v>
      </c>
      <c r="H2157">
        <v>18</v>
      </c>
      <c r="I2157" t="s">
        <v>2944</v>
      </c>
      <c r="J2157">
        <v>31</v>
      </c>
      <c r="K2157">
        <v>0</v>
      </c>
      <c r="L2157">
        <v>0</v>
      </c>
      <c r="M2157">
        <v>0</v>
      </c>
      <c r="N2157" t="s">
        <v>98</v>
      </c>
      <c r="O2157">
        <v>2021</v>
      </c>
      <c r="P2157" t="s">
        <v>18</v>
      </c>
    </row>
    <row r="2158" spans="1:16" x14ac:dyDescent="0.3">
      <c r="A2158">
        <v>103</v>
      </c>
      <c r="B2158" t="s">
        <v>1921</v>
      </c>
      <c r="C2158" t="s">
        <v>4832</v>
      </c>
      <c r="D2158" t="str">
        <f>VLOOKUP(YouTube_University_Data_Final[[#This Row],[Title]],[1]!YouTube_University_Data_Final[[Title]:[Title_language]],2,FALSE)</f>
        <v>Chinese</v>
      </c>
      <c r="E2158" t="s">
        <v>4833</v>
      </c>
      <c r="F2158">
        <v>27</v>
      </c>
      <c r="G2158" s="1">
        <v>44551</v>
      </c>
      <c r="H2158">
        <v>256</v>
      </c>
      <c r="I2158" t="s">
        <v>2944</v>
      </c>
      <c r="J2158">
        <v>65</v>
      </c>
      <c r="K2158">
        <v>0</v>
      </c>
      <c r="L2158">
        <v>0</v>
      </c>
      <c r="M2158">
        <v>0</v>
      </c>
      <c r="N2158" t="s">
        <v>98</v>
      </c>
      <c r="O2158">
        <v>2021</v>
      </c>
      <c r="P2158" t="s">
        <v>18</v>
      </c>
    </row>
    <row r="2159" spans="1:16" x14ac:dyDescent="0.3">
      <c r="A2159">
        <v>104</v>
      </c>
      <c r="B2159" t="s">
        <v>1921</v>
      </c>
      <c r="C2159" t="s">
        <v>4834</v>
      </c>
      <c r="D2159" t="str">
        <f>VLOOKUP(YouTube_University_Data_Final[[#This Row],[Title]],[1]!YouTube_University_Data_Final[[Title]:[Title_language]],2,FALSE)</f>
        <v>Chinese</v>
      </c>
      <c r="E2159" t="s">
        <v>4835</v>
      </c>
      <c r="F2159">
        <v>27</v>
      </c>
      <c r="G2159" s="1">
        <v>44551</v>
      </c>
      <c r="H2159">
        <v>274</v>
      </c>
      <c r="I2159" t="s">
        <v>2944</v>
      </c>
      <c r="J2159">
        <v>90</v>
      </c>
      <c r="K2159">
        <v>1</v>
      </c>
      <c r="L2159">
        <v>0</v>
      </c>
      <c r="M2159">
        <v>0</v>
      </c>
      <c r="N2159" t="s">
        <v>98</v>
      </c>
      <c r="O2159">
        <v>2021</v>
      </c>
      <c r="P2159" t="s">
        <v>18</v>
      </c>
    </row>
    <row r="2160" spans="1:16" x14ac:dyDescent="0.3">
      <c r="A2160">
        <v>105</v>
      </c>
      <c r="B2160" t="s">
        <v>1921</v>
      </c>
      <c r="C2160" t="s">
        <v>4836</v>
      </c>
      <c r="D2160" t="str">
        <f>VLOOKUP(YouTube_University_Data_Final[[#This Row],[Title]],[1]!YouTube_University_Data_Final[[Title]:[Title_language]],2,FALSE)</f>
        <v>Bilingual</v>
      </c>
      <c r="E2160" t="s">
        <v>4837</v>
      </c>
      <c r="F2160">
        <v>27</v>
      </c>
      <c r="G2160" s="1">
        <v>44551</v>
      </c>
      <c r="H2160">
        <v>409</v>
      </c>
      <c r="I2160" t="s">
        <v>2944</v>
      </c>
      <c r="J2160">
        <v>78</v>
      </c>
      <c r="K2160">
        <v>0</v>
      </c>
      <c r="L2160">
        <v>0</v>
      </c>
      <c r="M2160">
        <v>0</v>
      </c>
      <c r="N2160" t="s">
        <v>98</v>
      </c>
      <c r="O2160">
        <v>2021</v>
      </c>
      <c r="P2160" t="s">
        <v>18</v>
      </c>
    </row>
    <row r="2161" spans="1:16" x14ac:dyDescent="0.3">
      <c r="A2161">
        <v>106</v>
      </c>
      <c r="B2161" t="s">
        <v>1921</v>
      </c>
      <c r="C2161" t="s">
        <v>2024</v>
      </c>
      <c r="D2161" t="str">
        <f>VLOOKUP(YouTube_University_Data_Final[[#This Row],[Title]],[1]!YouTube_University_Data_Final[[Title]:[Title_language]],2,FALSE)</f>
        <v>English</v>
      </c>
      <c r="E2161" t="s">
        <v>4838</v>
      </c>
      <c r="F2161">
        <v>27</v>
      </c>
      <c r="G2161" s="1">
        <v>44547</v>
      </c>
      <c r="H2161">
        <v>480</v>
      </c>
      <c r="I2161" t="s">
        <v>2944</v>
      </c>
      <c r="J2161">
        <v>1376</v>
      </c>
      <c r="K2161">
        <v>7</v>
      </c>
      <c r="L2161">
        <v>0</v>
      </c>
      <c r="M2161">
        <v>0</v>
      </c>
      <c r="N2161" t="s">
        <v>98</v>
      </c>
      <c r="O2161">
        <v>2021</v>
      </c>
      <c r="P2161" t="s">
        <v>18</v>
      </c>
    </row>
    <row r="2162" spans="1:16" x14ac:dyDescent="0.3">
      <c r="A2162">
        <v>107</v>
      </c>
      <c r="B2162" t="s">
        <v>1921</v>
      </c>
      <c r="C2162" t="s">
        <v>2025</v>
      </c>
      <c r="D2162" t="str">
        <f>VLOOKUP(YouTube_University_Data_Final[[#This Row],[Title]],[1]!YouTube_University_Data_Final[[Title]:[Title_language]],2,FALSE)</f>
        <v>English</v>
      </c>
      <c r="E2162" t="s">
        <v>2026</v>
      </c>
      <c r="F2162">
        <v>27</v>
      </c>
      <c r="G2162" s="1">
        <v>44546</v>
      </c>
      <c r="H2162">
        <v>215</v>
      </c>
      <c r="I2162" t="s">
        <v>2027</v>
      </c>
      <c r="J2162">
        <v>262</v>
      </c>
      <c r="K2162">
        <v>3</v>
      </c>
      <c r="L2162">
        <v>0</v>
      </c>
      <c r="M2162">
        <v>0</v>
      </c>
      <c r="N2162" t="s">
        <v>98</v>
      </c>
      <c r="O2162">
        <v>2021</v>
      </c>
      <c r="P2162" t="s">
        <v>18</v>
      </c>
    </row>
    <row r="2163" spans="1:16" x14ac:dyDescent="0.3">
      <c r="A2163">
        <v>108</v>
      </c>
      <c r="B2163" t="s">
        <v>1921</v>
      </c>
      <c r="C2163" t="s">
        <v>2028</v>
      </c>
      <c r="D2163" t="str">
        <f>VLOOKUP(YouTube_University_Data_Final[[#This Row],[Title]],[1]!YouTube_University_Data_Final[[Title]:[Title_language]],2,FALSE)</f>
        <v>English</v>
      </c>
      <c r="E2163" t="s">
        <v>4839</v>
      </c>
      <c r="F2163">
        <v>27</v>
      </c>
      <c r="G2163" s="1">
        <v>44546</v>
      </c>
      <c r="H2163">
        <v>205</v>
      </c>
      <c r="I2163" t="s">
        <v>2029</v>
      </c>
      <c r="J2163">
        <v>260196</v>
      </c>
      <c r="K2163">
        <v>50</v>
      </c>
      <c r="L2163">
        <v>0</v>
      </c>
      <c r="M2163">
        <v>0</v>
      </c>
      <c r="N2163" t="s">
        <v>98</v>
      </c>
      <c r="O2163">
        <v>2021</v>
      </c>
      <c r="P2163" t="s">
        <v>18</v>
      </c>
    </row>
    <row r="2164" spans="1:16" x14ac:dyDescent="0.3">
      <c r="A2164">
        <v>109</v>
      </c>
      <c r="B2164" t="s">
        <v>1921</v>
      </c>
      <c r="C2164" t="s">
        <v>4840</v>
      </c>
      <c r="D2164" t="str">
        <f>VLOOKUP(YouTube_University_Data_Final[[#This Row],[Title]],[1]!YouTube_University_Data_Final[[Title]:[Title_language]],2,FALSE)</f>
        <v>Bilingual</v>
      </c>
      <c r="E2164" t="s">
        <v>4841</v>
      </c>
      <c r="F2164">
        <v>27</v>
      </c>
      <c r="G2164" s="1">
        <v>44546</v>
      </c>
      <c r="H2164">
        <v>220</v>
      </c>
      <c r="I2164" t="s">
        <v>2029</v>
      </c>
      <c r="J2164">
        <v>801</v>
      </c>
      <c r="K2164">
        <v>8</v>
      </c>
      <c r="L2164">
        <v>0</v>
      </c>
      <c r="M2164">
        <v>0</v>
      </c>
      <c r="N2164" t="s">
        <v>98</v>
      </c>
      <c r="O2164">
        <v>2021</v>
      </c>
      <c r="P2164" t="s">
        <v>18</v>
      </c>
    </row>
    <row r="2165" spans="1:16" x14ac:dyDescent="0.3">
      <c r="A2165">
        <v>110</v>
      </c>
      <c r="B2165" t="s">
        <v>1921</v>
      </c>
      <c r="C2165" t="s">
        <v>4842</v>
      </c>
      <c r="D2165" t="str">
        <f>VLOOKUP(YouTube_University_Data_Final[[#This Row],[Title]],[1]!YouTube_University_Data_Final[[Title]:[Title_language]],2,FALSE)</f>
        <v>Chinese</v>
      </c>
      <c r="E2165" t="s">
        <v>4843</v>
      </c>
      <c r="F2165">
        <v>25</v>
      </c>
      <c r="G2165" s="1">
        <v>44543</v>
      </c>
      <c r="H2165">
        <v>791</v>
      </c>
      <c r="I2165" t="s">
        <v>2030</v>
      </c>
      <c r="J2165">
        <v>454</v>
      </c>
      <c r="K2165">
        <v>9</v>
      </c>
      <c r="L2165">
        <v>0</v>
      </c>
      <c r="M2165">
        <v>0</v>
      </c>
      <c r="N2165" t="s">
        <v>98</v>
      </c>
      <c r="O2165">
        <v>2021</v>
      </c>
      <c r="P2165" t="s">
        <v>2031</v>
      </c>
    </row>
    <row r="2166" spans="1:16" x14ac:dyDescent="0.3">
      <c r="A2166">
        <v>111</v>
      </c>
      <c r="B2166" t="s">
        <v>1921</v>
      </c>
      <c r="C2166" t="s">
        <v>4844</v>
      </c>
      <c r="D2166" t="str">
        <f>VLOOKUP(YouTube_University_Data_Final[[#This Row],[Title]],[1]!YouTube_University_Data_Final[[Title]:[Title_language]],2,FALSE)</f>
        <v>Chinese</v>
      </c>
      <c r="E2166" t="s">
        <v>4845</v>
      </c>
      <c r="F2166">
        <v>25</v>
      </c>
      <c r="G2166" s="1">
        <v>44535</v>
      </c>
      <c r="H2166">
        <v>8048</v>
      </c>
      <c r="I2166" t="s">
        <v>2030</v>
      </c>
      <c r="J2166">
        <v>4272</v>
      </c>
      <c r="K2166">
        <v>111</v>
      </c>
      <c r="L2166">
        <v>0</v>
      </c>
      <c r="M2166">
        <v>0</v>
      </c>
      <c r="N2166" t="s">
        <v>98</v>
      </c>
      <c r="O2166">
        <v>2021</v>
      </c>
      <c r="P2166" t="s">
        <v>2031</v>
      </c>
    </row>
    <row r="2167" spans="1:16" x14ac:dyDescent="0.3">
      <c r="A2167">
        <v>112</v>
      </c>
      <c r="B2167" t="s">
        <v>1921</v>
      </c>
      <c r="C2167" t="s">
        <v>4846</v>
      </c>
      <c r="D2167" t="str">
        <f>VLOOKUP(YouTube_University_Data_Final[[#This Row],[Title]],[1]!YouTube_University_Data_Final[[Title]:[Title_language]],2,FALSE)</f>
        <v>English</v>
      </c>
      <c r="E2167" t="s">
        <v>4847</v>
      </c>
      <c r="F2167">
        <v>27</v>
      </c>
      <c r="G2167" s="1">
        <v>44526</v>
      </c>
      <c r="H2167">
        <v>156</v>
      </c>
      <c r="I2167" t="s">
        <v>2944</v>
      </c>
      <c r="J2167">
        <v>213</v>
      </c>
      <c r="K2167">
        <v>0</v>
      </c>
      <c r="L2167">
        <v>0</v>
      </c>
      <c r="M2167">
        <v>0</v>
      </c>
      <c r="N2167" t="s">
        <v>101</v>
      </c>
      <c r="O2167">
        <v>2021</v>
      </c>
      <c r="P2167" t="s">
        <v>18</v>
      </c>
    </row>
    <row r="2168" spans="1:16" x14ac:dyDescent="0.3">
      <c r="A2168">
        <v>113</v>
      </c>
      <c r="B2168" t="s">
        <v>1921</v>
      </c>
      <c r="C2168" t="s">
        <v>4848</v>
      </c>
      <c r="D2168" t="str">
        <f>VLOOKUP(YouTube_University_Data_Final[[#This Row],[Title]],[1]!YouTube_University_Data_Final[[Title]:[Title_language]],2,FALSE)</f>
        <v>Bilingual</v>
      </c>
      <c r="E2168" t="s">
        <v>4849</v>
      </c>
      <c r="F2168">
        <v>27</v>
      </c>
      <c r="G2168" s="1">
        <v>44525</v>
      </c>
      <c r="H2168">
        <v>4729</v>
      </c>
      <c r="I2168" t="s">
        <v>2029</v>
      </c>
      <c r="J2168">
        <v>7746</v>
      </c>
      <c r="K2168">
        <v>83</v>
      </c>
      <c r="L2168">
        <v>0</v>
      </c>
      <c r="M2168">
        <v>0</v>
      </c>
      <c r="N2168" t="s">
        <v>101</v>
      </c>
      <c r="O2168">
        <v>2021</v>
      </c>
      <c r="P2168" t="s">
        <v>18</v>
      </c>
    </row>
    <row r="2169" spans="1:16" x14ac:dyDescent="0.3">
      <c r="A2169">
        <v>114</v>
      </c>
      <c r="B2169" t="s">
        <v>1921</v>
      </c>
      <c r="C2169" t="s">
        <v>2032</v>
      </c>
      <c r="D2169" t="str">
        <f>VLOOKUP(YouTube_University_Data_Final[[#This Row],[Title]],[1]!YouTube_University_Data_Final[[Title]:[Title_language]],2,FALSE)</f>
        <v>English</v>
      </c>
      <c r="E2169" t="s">
        <v>4850</v>
      </c>
      <c r="F2169">
        <v>27</v>
      </c>
      <c r="G2169" s="1">
        <v>44524</v>
      </c>
      <c r="H2169">
        <v>64</v>
      </c>
      <c r="I2169" t="s">
        <v>2033</v>
      </c>
      <c r="J2169">
        <v>1019</v>
      </c>
      <c r="K2169">
        <v>9</v>
      </c>
      <c r="L2169">
        <v>0</v>
      </c>
      <c r="M2169">
        <v>0</v>
      </c>
      <c r="N2169" t="s">
        <v>101</v>
      </c>
      <c r="O2169">
        <v>2021</v>
      </c>
      <c r="P2169" t="s">
        <v>18</v>
      </c>
    </row>
    <row r="2170" spans="1:16" x14ac:dyDescent="0.3">
      <c r="A2170">
        <v>115</v>
      </c>
      <c r="B2170" t="s">
        <v>1921</v>
      </c>
      <c r="C2170" t="s">
        <v>2034</v>
      </c>
      <c r="D2170" t="str">
        <f>VLOOKUP(YouTube_University_Data_Final[[#This Row],[Title]],[1]!YouTube_University_Data_Final[[Title]:[Title_language]],2,FALSE)</f>
        <v>English</v>
      </c>
      <c r="E2170" t="s">
        <v>2035</v>
      </c>
      <c r="F2170">
        <v>27</v>
      </c>
      <c r="G2170" s="1">
        <v>44523</v>
      </c>
      <c r="H2170">
        <v>105</v>
      </c>
      <c r="I2170" t="s">
        <v>2944</v>
      </c>
      <c r="J2170">
        <v>164</v>
      </c>
      <c r="K2170">
        <v>2</v>
      </c>
      <c r="L2170">
        <v>0</v>
      </c>
      <c r="M2170">
        <v>0</v>
      </c>
      <c r="N2170" t="s">
        <v>101</v>
      </c>
      <c r="O2170">
        <v>2021</v>
      </c>
      <c r="P2170" t="s">
        <v>18</v>
      </c>
    </row>
    <row r="2171" spans="1:16" x14ac:dyDescent="0.3">
      <c r="A2171">
        <v>116</v>
      </c>
      <c r="B2171" t="s">
        <v>1921</v>
      </c>
      <c r="C2171" t="s">
        <v>4851</v>
      </c>
      <c r="D2171" t="str">
        <f>VLOOKUP(YouTube_University_Data_Final[[#This Row],[Title]],[1]!YouTube_University_Data_Final[[Title]:[Title_language]],2,FALSE)</f>
        <v>English</v>
      </c>
      <c r="E2171" t="s">
        <v>4852</v>
      </c>
      <c r="F2171">
        <v>27</v>
      </c>
      <c r="G2171" s="1">
        <v>44522</v>
      </c>
      <c r="H2171">
        <v>125</v>
      </c>
      <c r="I2171" t="s">
        <v>2944</v>
      </c>
      <c r="J2171">
        <v>178</v>
      </c>
      <c r="K2171">
        <v>1</v>
      </c>
      <c r="L2171">
        <v>0</v>
      </c>
      <c r="M2171">
        <v>0</v>
      </c>
      <c r="N2171" t="s">
        <v>101</v>
      </c>
      <c r="O2171">
        <v>2021</v>
      </c>
      <c r="P2171" t="s">
        <v>18</v>
      </c>
    </row>
    <row r="2172" spans="1:16" x14ac:dyDescent="0.3">
      <c r="A2172">
        <v>117</v>
      </c>
      <c r="B2172" t="s">
        <v>1921</v>
      </c>
      <c r="C2172" t="s">
        <v>4853</v>
      </c>
      <c r="D2172" t="str">
        <f>VLOOKUP(YouTube_University_Data_Final[[#This Row],[Title]],[1]!YouTube_University_Data_Final[[Title]:[Title_language]],2,FALSE)</f>
        <v>Chinese</v>
      </c>
      <c r="E2172" t="s">
        <v>4854</v>
      </c>
      <c r="F2172">
        <v>27</v>
      </c>
      <c r="G2172" s="1">
        <v>44522</v>
      </c>
      <c r="H2172">
        <v>198</v>
      </c>
      <c r="I2172" t="s">
        <v>2944</v>
      </c>
      <c r="J2172">
        <v>121</v>
      </c>
      <c r="K2172">
        <v>1</v>
      </c>
      <c r="L2172">
        <v>0</v>
      </c>
      <c r="M2172">
        <v>0</v>
      </c>
      <c r="N2172" t="s">
        <v>101</v>
      </c>
      <c r="O2172">
        <v>2021</v>
      </c>
      <c r="P2172" t="s">
        <v>18</v>
      </c>
    </row>
    <row r="2173" spans="1:16" x14ac:dyDescent="0.3">
      <c r="A2173">
        <v>118</v>
      </c>
      <c r="B2173" t="s">
        <v>1921</v>
      </c>
      <c r="C2173" t="s">
        <v>4855</v>
      </c>
      <c r="D2173" t="str">
        <f>VLOOKUP(YouTube_University_Data_Final[[#This Row],[Title]],[1]!YouTube_University_Data_Final[[Title]:[Title_language]],2,FALSE)</f>
        <v>English</v>
      </c>
      <c r="E2173" t="s">
        <v>2036</v>
      </c>
      <c r="F2173">
        <v>27</v>
      </c>
      <c r="G2173" s="1">
        <v>44522</v>
      </c>
      <c r="H2173">
        <v>158</v>
      </c>
      <c r="I2173" t="s">
        <v>2944</v>
      </c>
      <c r="J2173">
        <v>2329</v>
      </c>
      <c r="K2173">
        <v>163</v>
      </c>
      <c r="L2173">
        <v>0</v>
      </c>
      <c r="M2173">
        <v>0</v>
      </c>
      <c r="N2173" t="s">
        <v>101</v>
      </c>
      <c r="O2173">
        <v>2021</v>
      </c>
      <c r="P2173" t="s">
        <v>18</v>
      </c>
    </row>
    <row r="2174" spans="1:16" x14ac:dyDescent="0.3">
      <c r="A2174">
        <v>119</v>
      </c>
      <c r="B2174" t="s">
        <v>1921</v>
      </c>
      <c r="C2174" t="s">
        <v>2037</v>
      </c>
      <c r="D2174" t="str">
        <f>VLOOKUP(YouTube_University_Data_Final[[#This Row],[Title]],[1]!YouTube_University_Data_Final[[Title]:[Title_language]],2,FALSE)</f>
        <v>English</v>
      </c>
      <c r="E2174" t="s">
        <v>4856</v>
      </c>
      <c r="F2174">
        <v>27</v>
      </c>
      <c r="G2174" s="1">
        <v>44489</v>
      </c>
      <c r="H2174">
        <v>130</v>
      </c>
      <c r="I2174" t="s">
        <v>2038</v>
      </c>
      <c r="J2174">
        <v>161</v>
      </c>
      <c r="K2174">
        <v>1</v>
      </c>
      <c r="L2174">
        <v>0</v>
      </c>
      <c r="M2174">
        <v>0</v>
      </c>
      <c r="N2174" t="s">
        <v>17</v>
      </c>
      <c r="O2174">
        <v>2021</v>
      </c>
      <c r="P2174" t="s">
        <v>18</v>
      </c>
    </row>
    <row r="2175" spans="1:16" x14ac:dyDescent="0.3">
      <c r="A2175">
        <v>120</v>
      </c>
      <c r="B2175" t="s">
        <v>1921</v>
      </c>
      <c r="C2175" t="s">
        <v>2039</v>
      </c>
      <c r="D2175" t="str">
        <f>VLOOKUP(YouTube_University_Data_Final[[#This Row],[Title]],[1]!YouTube_University_Data_Final[[Title]:[Title_language]],2,FALSE)</f>
        <v>English</v>
      </c>
      <c r="E2175" t="s">
        <v>2040</v>
      </c>
      <c r="F2175">
        <v>27</v>
      </c>
      <c r="G2175" s="1">
        <v>44489</v>
      </c>
      <c r="H2175">
        <v>116</v>
      </c>
      <c r="I2175" t="s">
        <v>2038</v>
      </c>
      <c r="J2175">
        <v>111</v>
      </c>
      <c r="K2175">
        <v>1</v>
      </c>
      <c r="L2175">
        <v>0</v>
      </c>
      <c r="M2175">
        <v>0</v>
      </c>
      <c r="N2175" t="s">
        <v>17</v>
      </c>
      <c r="O2175">
        <v>2021</v>
      </c>
      <c r="P2175" t="s">
        <v>18</v>
      </c>
    </row>
    <row r="2176" spans="1:16" x14ac:dyDescent="0.3">
      <c r="A2176">
        <v>121</v>
      </c>
      <c r="B2176" t="s">
        <v>1921</v>
      </c>
      <c r="C2176" t="s">
        <v>2041</v>
      </c>
      <c r="D2176" t="str">
        <f>VLOOKUP(YouTube_University_Data_Final[[#This Row],[Title]],[1]!YouTube_University_Data_Final[[Title]:[Title_language]],2,FALSE)</f>
        <v>English</v>
      </c>
      <c r="E2176" t="s">
        <v>2042</v>
      </c>
      <c r="F2176">
        <v>27</v>
      </c>
      <c r="G2176" s="1">
        <v>44489</v>
      </c>
      <c r="H2176">
        <v>113</v>
      </c>
      <c r="I2176" t="s">
        <v>2038</v>
      </c>
      <c r="J2176">
        <v>80</v>
      </c>
      <c r="K2176">
        <v>0</v>
      </c>
      <c r="L2176">
        <v>0</v>
      </c>
      <c r="M2176">
        <v>0</v>
      </c>
      <c r="N2176" t="s">
        <v>17</v>
      </c>
      <c r="O2176">
        <v>2021</v>
      </c>
      <c r="P2176" t="s">
        <v>18</v>
      </c>
    </row>
    <row r="2177" spans="1:16" x14ac:dyDescent="0.3">
      <c r="A2177">
        <v>122</v>
      </c>
      <c r="B2177" t="s">
        <v>1921</v>
      </c>
      <c r="C2177" t="s">
        <v>2043</v>
      </c>
      <c r="D2177" t="str">
        <f>VLOOKUP(YouTube_University_Data_Final[[#This Row],[Title]],[1]!YouTube_University_Data_Final[[Title]:[Title_language]],2,FALSE)</f>
        <v>English</v>
      </c>
      <c r="E2177" t="s">
        <v>2044</v>
      </c>
      <c r="F2177">
        <v>27</v>
      </c>
      <c r="G2177" s="1">
        <v>44489</v>
      </c>
      <c r="H2177">
        <v>104</v>
      </c>
      <c r="I2177" t="s">
        <v>2038</v>
      </c>
      <c r="J2177">
        <v>217</v>
      </c>
      <c r="K2177">
        <v>1</v>
      </c>
      <c r="L2177">
        <v>0</v>
      </c>
      <c r="M2177">
        <v>0</v>
      </c>
      <c r="N2177" t="s">
        <v>17</v>
      </c>
      <c r="O2177">
        <v>2021</v>
      </c>
      <c r="P2177" t="s">
        <v>18</v>
      </c>
    </row>
    <row r="2178" spans="1:16" x14ac:dyDescent="0.3">
      <c r="A2178">
        <v>123</v>
      </c>
      <c r="B2178" t="s">
        <v>1921</v>
      </c>
      <c r="C2178" t="s">
        <v>2045</v>
      </c>
      <c r="D2178" t="str">
        <f>VLOOKUP(YouTube_University_Data_Final[[#This Row],[Title]],[1]!YouTube_University_Data_Final[[Title]:[Title_language]],2,FALSE)</f>
        <v>English</v>
      </c>
      <c r="E2178" t="s">
        <v>2046</v>
      </c>
      <c r="F2178">
        <v>27</v>
      </c>
      <c r="G2178" s="1">
        <v>44489</v>
      </c>
      <c r="H2178">
        <v>118</v>
      </c>
      <c r="I2178" t="s">
        <v>2038</v>
      </c>
      <c r="J2178">
        <v>75</v>
      </c>
      <c r="K2178">
        <v>0</v>
      </c>
      <c r="L2178">
        <v>0</v>
      </c>
      <c r="M2178">
        <v>0</v>
      </c>
      <c r="N2178" t="s">
        <v>17</v>
      </c>
      <c r="O2178">
        <v>2021</v>
      </c>
      <c r="P2178" t="s">
        <v>18</v>
      </c>
    </row>
    <row r="2179" spans="1:16" x14ac:dyDescent="0.3">
      <c r="A2179">
        <v>124</v>
      </c>
      <c r="B2179" t="s">
        <v>1921</v>
      </c>
      <c r="C2179" t="s">
        <v>2047</v>
      </c>
      <c r="D2179" t="str">
        <f>VLOOKUP(YouTube_University_Data_Final[[#This Row],[Title]],[1]!YouTube_University_Data_Final[[Title]:[Title_language]],2,FALSE)</f>
        <v>English</v>
      </c>
      <c r="E2179" t="s">
        <v>2048</v>
      </c>
      <c r="F2179">
        <v>27</v>
      </c>
      <c r="G2179" s="1">
        <v>44489</v>
      </c>
      <c r="H2179">
        <v>105</v>
      </c>
      <c r="I2179" t="s">
        <v>2038</v>
      </c>
      <c r="J2179">
        <v>142</v>
      </c>
      <c r="K2179">
        <v>1</v>
      </c>
      <c r="L2179">
        <v>0</v>
      </c>
      <c r="M2179">
        <v>0</v>
      </c>
      <c r="N2179" t="s">
        <v>17</v>
      </c>
      <c r="O2179">
        <v>2021</v>
      </c>
      <c r="P2179" t="s">
        <v>18</v>
      </c>
    </row>
    <row r="2180" spans="1:16" x14ac:dyDescent="0.3">
      <c r="A2180">
        <v>125</v>
      </c>
      <c r="B2180" t="s">
        <v>1921</v>
      </c>
      <c r="C2180" t="s">
        <v>2049</v>
      </c>
      <c r="D2180" t="str">
        <f>VLOOKUP(YouTube_University_Data_Final[[#This Row],[Title]],[1]!YouTube_University_Data_Final[[Title]:[Title_language]],2,FALSE)</f>
        <v>English</v>
      </c>
      <c r="E2180" t="s">
        <v>2050</v>
      </c>
      <c r="F2180">
        <v>27</v>
      </c>
      <c r="G2180" s="1">
        <v>44489</v>
      </c>
      <c r="H2180">
        <v>118</v>
      </c>
      <c r="I2180" t="s">
        <v>2038</v>
      </c>
      <c r="J2180">
        <v>97</v>
      </c>
      <c r="K2180">
        <v>0</v>
      </c>
      <c r="L2180">
        <v>0</v>
      </c>
      <c r="M2180">
        <v>0</v>
      </c>
      <c r="N2180" t="s">
        <v>17</v>
      </c>
      <c r="O2180">
        <v>2021</v>
      </c>
      <c r="P2180" t="s">
        <v>18</v>
      </c>
    </row>
    <row r="2181" spans="1:16" x14ac:dyDescent="0.3">
      <c r="A2181">
        <v>126</v>
      </c>
      <c r="B2181" t="s">
        <v>1921</v>
      </c>
      <c r="C2181" t="s">
        <v>2051</v>
      </c>
      <c r="D2181" t="str">
        <f>VLOOKUP(YouTube_University_Data_Final[[#This Row],[Title]],[1]!YouTube_University_Data_Final[[Title]:[Title_language]],2,FALSE)</f>
        <v>English</v>
      </c>
      <c r="E2181" t="s">
        <v>2052</v>
      </c>
      <c r="F2181">
        <v>27</v>
      </c>
      <c r="G2181" s="1">
        <v>44489</v>
      </c>
      <c r="H2181">
        <v>110</v>
      </c>
      <c r="I2181" t="s">
        <v>2038</v>
      </c>
      <c r="J2181">
        <v>123</v>
      </c>
      <c r="K2181">
        <v>0</v>
      </c>
      <c r="L2181">
        <v>0</v>
      </c>
      <c r="M2181">
        <v>0</v>
      </c>
      <c r="N2181" t="s">
        <v>17</v>
      </c>
      <c r="O2181">
        <v>2021</v>
      </c>
      <c r="P2181" t="s">
        <v>18</v>
      </c>
    </row>
    <row r="2182" spans="1:16" x14ac:dyDescent="0.3">
      <c r="A2182">
        <v>127</v>
      </c>
      <c r="B2182" t="s">
        <v>1921</v>
      </c>
      <c r="C2182" t="s">
        <v>2053</v>
      </c>
      <c r="D2182" t="str">
        <f>VLOOKUP(YouTube_University_Data_Final[[#This Row],[Title]],[1]!YouTube_University_Data_Final[[Title]:[Title_language]],2,FALSE)</f>
        <v>English</v>
      </c>
      <c r="E2182" t="s">
        <v>2054</v>
      </c>
      <c r="F2182">
        <v>27</v>
      </c>
      <c r="G2182" s="1">
        <v>44489</v>
      </c>
      <c r="H2182">
        <v>111</v>
      </c>
      <c r="I2182" t="s">
        <v>2038</v>
      </c>
      <c r="J2182">
        <v>129</v>
      </c>
      <c r="K2182">
        <v>0</v>
      </c>
      <c r="L2182">
        <v>0</v>
      </c>
      <c r="M2182">
        <v>0</v>
      </c>
      <c r="N2182" t="s">
        <v>17</v>
      </c>
      <c r="O2182">
        <v>2021</v>
      </c>
      <c r="P2182" t="s">
        <v>18</v>
      </c>
    </row>
    <row r="2183" spans="1:16" x14ac:dyDescent="0.3">
      <c r="A2183">
        <v>128</v>
      </c>
      <c r="B2183" t="s">
        <v>1921</v>
      </c>
      <c r="C2183" t="s">
        <v>4857</v>
      </c>
      <c r="D2183" t="str">
        <f>VLOOKUP(YouTube_University_Data_Final[[#This Row],[Title]],[1]!YouTube_University_Data_Final[[Title]:[Title_language]],2,FALSE)</f>
        <v>Bilingual</v>
      </c>
      <c r="E2183" t="s">
        <v>2944</v>
      </c>
      <c r="F2183">
        <v>27</v>
      </c>
      <c r="G2183" s="1">
        <v>44473</v>
      </c>
      <c r="H2183">
        <v>355</v>
      </c>
      <c r="I2183" t="s">
        <v>2944</v>
      </c>
      <c r="J2183">
        <v>2542</v>
      </c>
      <c r="K2183">
        <v>34</v>
      </c>
      <c r="L2183">
        <v>0</v>
      </c>
      <c r="M2183">
        <v>0</v>
      </c>
      <c r="N2183" t="s">
        <v>17</v>
      </c>
      <c r="O2183">
        <v>2021</v>
      </c>
      <c r="P2183" t="s">
        <v>18</v>
      </c>
    </row>
    <row r="2184" spans="1:16" x14ac:dyDescent="0.3">
      <c r="A2184">
        <v>129</v>
      </c>
      <c r="B2184" t="s">
        <v>1921</v>
      </c>
      <c r="C2184" t="s">
        <v>4858</v>
      </c>
      <c r="D2184" t="str">
        <f>VLOOKUP(YouTube_University_Data_Final[[#This Row],[Title]],[1]!YouTube_University_Data_Final[[Title]:[Title_language]],2,FALSE)</f>
        <v>English</v>
      </c>
      <c r="E2184" t="s">
        <v>4859</v>
      </c>
      <c r="F2184">
        <v>27</v>
      </c>
      <c r="G2184" s="1">
        <v>44469</v>
      </c>
      <c r="H2184">
        <v>148</v>
      </c>
      <c r="I2184" t="s">
        <v>2944</v>
      </c>
      <c r="J2184">
        <v>108912</v>
      </c>
      <c r="K2184">
        <v>10</v>
      </c>
      <c r="L2184">
        <v>0</v>
      </c>
      <c r="M2184">
        <v>0</v>
      </c>
      <c r="N2184" t="s">
        <v>21</v>
      </c>
      <c r="O2184">
        <v>2021</v>
      </c>
      <c r="P2184" t="s">
        <v>18</v>
      </c>
    </row>
    <row r="2185" spans="1:16" x14ac:dyDescent="0.3">
      <c r="A2185">
        <v>130</v>
      </c>
      <c r="B2185" t="s">
        <v>1921</v>
      </c>
      <c r="C2185" t="s">
        <v>4860</v>
      </c>
      <c r="D2185" t="str">
        <f>VLOOKUP(YouTube_University_Data_Final[[#This Row],[Title]],[1]!YouTube_University_Data_Final[[Title]:[Title_language]],2,FALSE)</f>
        <v>English</v>
      </c>
      <c r="E2185" t="s">
        <v>4861</v>
      </c>
      <c r="F2185">
        <v>27</v>
      </c>
      <c r="G2185" s="1">
        <v>44425</v>
      </c>
      <c r="H2185">
        <v>141</v>
      </c>
      <c r="I2185" t="s">
        <v>4862</v>
      </c>
      <c r="J2185">
        <v>65981</v>
      </c>
      <c r="K2185">
        <v>53</v>
      </c>
      <c r="L2185">
        <v>0</v>
      </c>
      <c r="M2185">
        <v>0</v>
      </c>
      <c r="N2185" t="s">
        <v>48</v>
      </c>
      <c r="O2185">
        <v>2021</v>
      </c>
      <c r="P2185" t="s">
        <v>18</v>
      </c>
    </row>
    <row r="2186" spans="1:16" x14ac:dyDescent="0.3">
      <c r="A2186">
        <v>131</v>
      </c>
      <c r="B2186" t="s">
        <v>1921</v>
      </c>
      <c r="C2186" t="s">
        <v>4863</v>
      </c>
      <c r="D2186" t="str">
        <f>VLOOKUP(YouTube_University_Data_Final[[#This Row],[Title]],[1]!YouTube_University_Data_Final[[Title]:[Title_language]],2,FALSE)</f>
        <v>Chinese</v>
      </c>
      <c r="E2186" t="s">
        <v>4864</v>
      </c>
      <c r="F2186">
        <v>27</v>
      </c>
      <c r="G2186" s="1">
        <v>44376</v>
      </c>
      <c r="H2186">
        <v>11322</v>
      </c>
      <c r="I2186" t="s">
        <v>2944</v>
      </c>
      <c r="J2186">
        <v>523</v>
      </c>
      <c r="K2186">
        <v>5</v>
      </c>
      <c r="L2186">
        <v>0</v>
      </c>
      <c r="M2186">
        <v>0</v>
      </c>
      <c r="N2186" t="s">
        <v>78</v>
      </c>
      <c r="O2186">
        <v>2021</v>
      </c>
      <c r="P2186" t="s">
        <v>18</v>
      </c>
    </row>
    <row r="2187" spans="1:16" x14ac:dyDescent="0.3">
      <c r="A2187">
        <v>132</v>
      </c>
      <c r="B2187" t="s">
        <v>1921</v>
      </c>
      <c r="C2187" t="s">
        <v>4865</v>
      </c>
      <c r="D2187" t="str">
        <f>VLOOKUP(YouTube_University_Data_Final[[#This Row],[Title]],[1]!YouTube_University_Data_Final[[Title]:[Title_language]],2,FALSE)</f>
        <v>Chinese</v>
      </c>
      <c r="E2187" t="s">
        <v>4866</v>
      </c>
      <c r="F2187">
        <v>27</v>
      </c>
      <c r="G2187" s="1">
        <v>44370</v>
      </c>
      <c r="H2187">
        <v>10090</v>
      </c>
      <c r="I2187" t="s">
        <v>2944</v>
      </c>
      <c r="J2187">
        <v>5179</v>
      </c>
      <c r="K2187">
        <v>138</v>
      </c>
      <c r="L2187">
        <v>0</v>
      </c>
      <c r="M2187">
        <v>0</v>
      </c>
      <c r="N2187" t="s">
        <v>78</v>
      </c>
      <c r="O2187">
        <v>2021</v>
      </c>
      <c r="P2187" t="s">
        <v>18</v>
      </c>
    </row>
    <row r="2188" spans="1:16" x14ac:dyDescent="0.3">
      <c r="A2188">
        <v>133</v>
      </c>
      <c r="B2188" t="s">
        <v>1921</v>
      </c>
      <c r="C2188" t="s">
        <v>4867</v>
      </c>
      <c r="D2188" t="str">
        <f>VLOOKUP(YouTube_University_Data_Final[[#This Row],[Title]],[1]!YouTube_University_Data_Final[[Title]:[Title_language]],2,FALSE)</f>
        <v>Bilingual</v>
      </c>
      <c r="E2188" t="s">
        <v>4868</v>
      </c>
      <c r="F2188">
        <v>27</v>
      </c>
      <c r="G2188" s="1">
        <v>44369</v>
      </c>
      <c r="H2188">
        <v>280</v>
      </c>
      <c r="I2188" t="s">
        <v>4869</v>
      </c>
      <c r="J2188">
        <v>166</v>
      </c>
      <c r="K2188">
        <v>0</v>
      </c>
      <c r="L2188">
        <v>0</v>
      </c>
      <c r="M2188">
        <v>0</v>
      </c>
      <c r="N2188" t="s">
        <v>78</v>
      </c>
      <c r="O2188">
        <v>2021</v>
      </c>
      <c r="P2188" t="s">
        <v>18</v>
      </c>
    </row>
    <row r="2189" spans="1:16" x14ac:dyDescent="0.3">
      <c r="A2189">
        <v>134</v>
      </c>
      <c r="B2189" t="s">
        <v>1921</v>
      </c>
      <c r="C2189" t="s">
        <v>2055</v>
      </c>
      <c r="D2189" t="str">
        <f>VLOOKUP(YouTube_University_Data_Final[[#This Row],[Title]],[1]!YouTube_University_Data_Final[[Title]:[Title_language]],2,FALSE)</f>
        <v>English</v>
      </c>
      <c r="E2189" t="s">
        <v>2056</v>
      </c>
      <c r="F2189">
        <v>27</v>
      </c>
      <c r="G2189" s="1">
        <v>44369</v>
      </c>
      <c r="H2189">
        <v>280</v>
      </c>
      <c r="I2189" t="s">
        <v>4870</v>
      </c>
      <c r="J2189">
        <v>170</v>
      </c>
      <c r="K2189">
        <v>0</v>
      </c>
      <c r="L2189">
        <v>0</v>
      </c>
      <c r="M2189">
        <v>0</v>
      </c>
      <c r="N2189" t="s">
        <v>78</v>
      </c>
      <c r="O2189">
        <v>2021</v>
      </c>
      <c r="P2189" t="s">
        <v>18</v>
      </c>
    </row>
    <row r="2190" spans="1:16" x14ac:dyDescent="0.3">
      <c r="A2190">
        <v>135</v>
      </c>
      <c r="B2190" t="s">
        <v>1921</v>
      </c>
      <c r="C2190" t="s">
        <v>4871</v>
      </c>
      <c r="D2190" t="str">
        <f>VLOOKUP(YouTube_University_Data_Final[[#This Row],[Title]],[1]!YouTube_University_Data_Final[[Title]:[Title_language]],2,FALSE)</f>
        <v>English</v>
      </c>
      <c r="E2190" t="s">
        <v>4872</v>
      </c>
      <c r="F2190">
        <v>27</v>
      </c>
      <c r="G2190" s="1">
        <v>44365</v>
      </c>
      <c r="H2190">
        <v>255</v>
      </c>
      <c r="I2190" t="s">
        <v>2057</v>
      </c>
      <c r="J2190">
        <v>48008</v>
      </c>
      <c r="K2190">
        <v>8</v>
      </c>
      <c r="L2190">
        <v>0</v>
      </c>
      <c r="M2190">
        <v>0</v>
      </c>
      <c r="N2190" t="s">
        <v>78</v>
      </c>
      <c r="O2190">
        <v>2021</v>
      </c>
      <c r="P2190" t="s">
        <v>18</v>
      </c>
    </row>
    <row r="2191" spans="1:16" x14ac:dyDescent="0.3">
      <c r="A2191">
        <v>136</v>
      </c>
      <c r="B2191" t="s">
        <v>1921</v>
      </c>
      <c r="C2191" t="s">
        <v>4731</v>
      </c>
      <c r="D2191" t="str">
        <f>VLOOKUP(YouTube_University_Data_Final[[#This Row],[Title]],[1]!YouTube_University_Data_Final[[Title]:[Title_language]],2,FALSE)</f>
        <v>Bilingual</v>
      </c>
      <c r="E2191" t="s">
        <v>4873</v>
      </c>
      <c r="F2191">
        <v>27</v>
      </c>
      <c r="G2191" s="1">
        <v>44364</v>
      </c>
      <c r="H2191">
        <v>0</v>
      </c>
      <c r="I2191" t="s">
        <v>2944</v>
      </c>
      <c r="J2191">
        <v>0</v>
      </c>
      <c r="K2191">
        <v>0</v>
      </c>
      <c r="L2191">
        <v>0</v>
      </c>
      <c r="M2191">
        <v>0</v>
      </c>
      <c r="N2191" t="s">
        <v>78</v>
      </c>
      <c r="O2191">
        <v>2021</v>
      </c>
      <c r="P2191" t="s">
        <v>18</v>
      </c>
    </row>
    <row r="2192" spans="1:16" x14ac:dyDescent="0.3">
      <c r="A2192">
        <v>137</v>
      </c>
      <c r="B2192" t="s">
        <v>1921</v>
      </c>
      <c r="C2192" t="s">
        <v>2058</v>
      </c>
      <c r="D2192" t="str">
        <f>VLOOKUP(YouTube_University_Data_Final[[#This Row],[Title]],[1]!YouTube_University_Data_Final[[Title]:[Title_language]],2,FALSE)</f>
        <v>English</v>
      </c>
      <c r="E2192" t="s">
        <v>2059</v>
      </c>
      <c r="F2192">
        <v>27</v>
      </c>
      <c r="G2192" s="1">
        <v>44355</v>
      </c>
      <c r="H2192">
        <v>2516</v>
      </c>
      <c r="I2192" t="s">
        <v>4862</v>
      </c>
      <c r="J2192">
        <v>213</v>
      </c>
      <c r="K2192">
        <v>0</v>
      </c>
      <c r="L2192">
        <v>0</v>
      </c>
      <c r="M2192">
        <v>0</v>
      </c>
      <c r="N2192" t="s">
        <v>78</v>
      </c>
      <c r="O2192">
        <v>2021</v>
      </c>
      <c r="P2192" t="s">
        <v>18</v>
      </c>
    </row>
    <row r="2193" spans="1:16" x14ac:dyDescent="0.3">
      <c r="A2193">
        <v>138</v>
      </c>
      <c r="B2193" t="s">
        <v>1921</v>
      </c>
      <c r="C2193" t="s">
        <v>2060</v>
      </c>
      <c r="D2193" t="str">
        <f>VLOOKUP(YouTube_University_Data_Final[[#This Row],[Title]],[1]!YouTube_University_Data_Final[[Title]:[Title_language]],2,FALSE)</f>
        <v>English</v>
      </c>
      <c r="E2193" t="s">
        <v>2061</v>
      </c>
      <c r="F2193">
        <v>27</v>
      </c>
      <c r="G2193" s="1">
        <v>44355</v>
      </c>
      <c r="H2193">
        <v>2080</v>
      </c>
      <c r="I2193" t="s">
        <v>4862</v>
      </c>
      <c r="J2193">
        <v>249</v>
      </c>
      <c r="K2193">
        <v>3</v>
      </c>
      <c r="L2193">
        <v>0</v>
      </c>
      <c r="M2193">
        <v>0</v>
      </c>
      <c r="N2193" t="s">
        <v>78</v>
      </c>
      <c r="O2193">
        <v>2021</v>
      </c>
      <c r="P2193" t="s">
        <v>18</v>
      </c>
    </row>
    <row r="2194" spans="1:16" x14ac:dyDescent="0.3">
      <c r="A2194">
        <v>139</v>
      </c>
      <c r="B2194" t="s">
        <v>1921</v>
      </c>
      <c r="C2194" t="s">
        <v>2062</v>
      </c>
      <c r="D2194" t="str">
        <f>VLOOKUP(YouTube_University_Data_Final[[#This Row],[Title]],[1]!YouTube_University_Data_Final[[Title]:[Title_language]],2,FALSE)</f>
        <v>English</v>
      </c>
      <c r="E2194" t="s">
        <v>2063</v>
      </c>
      <c r="F2194">
        <v>27</v>
      </c>
      <c r="G2194" s="1">
        <v>44355</v>
      </c>
      <c r="H2194">
        <v>2412</v>
      </c>
      <c r="I2194" t="s">
        <v>4862</v>
      </c>
      <c r="J2194">
        <v>552</v>
      </c>
      <c r="K2194">
        <v>3</v>
      </c>
      <c r="L2194">
        <v>0</v>
      </c>
      <c r="M2194">
        <v>0</v>
      </c>
      <c r="N2194" t="s">
        <v>78</v>
      </c>
      <c r="O2194">
        <v>2021</v>
      </c>
      <c r="P2194" t="s">
        <v>18</v>
      </c>
    </row>
    <row r="2195" spans="1:16" x14ac:dyDescent="0.3">
      <c r="A2195">
        <v>140</v>
      </c>
      <c r="B2195" t="s">
        <v>1921</v>
      </c>
      <c r="C2195" t="s">
        <v>2064</v>
      </c>
      <c r="D2195" t="str">
        <f>VLOOKUP(YouTube_University_Data_Final[[#This Row],[Title]],[1]!YouTube_University_Data_Final[[Title]:[Title_language]],2,FALSE)</f>
        <v>English</v>
      </c>
      <c r="E2195" t="s">
        <v>2065</v>
      </c>
      <c r="F2195">
        <v>27</v>
      </c>
      <c r="G2195" s="1">
        <v>44355</v>
      </c>
      <c r="H2195">
        <v>2443</v>
      </c>
      <c r="I2195" t="s">
        <v>4862</v>
      </c>
      <c r="J2195">
        <v>289</v>
      </c>
      <c r="K2195">
        <v>1</v>
      </c>
      <c r="L2195">
        <v>0</v>
      </c>
      <c r="M2195">
        <v>0</v>
      </c>
      <c r="N2195" t="s">
        <v>78</v>
      </c>
      <c r="O2195">
        <v>2021</v>
      </c>
      <c r="P2195" t="s">
        <v>18</v>
      </c>
    </row>
    <row r="2196" spans="1:16" x14ac:dyDescent="0.3">
      <c r="A2196">
        <v>141</v>
      </c>
      <c r="B2196" t="s">
        <v>1921</v>
      </c>
      <c r="C2196" t="s">
        <v>4874</v>
      </c>
      <c r="D2196" t="str">
        <f>VLOOKUP(YouTube_University_Data_Final[[#This Row],[Title]],[1]!YouTube_University_Data_Final[[Title]:[Title_language]],2,FALSE)</f>
        <v>English</v>
      </c>
      <c r="E2196" t="s">
        <v>2066</v>
      </c>
      <c r="F2196">
        <v>27</v>
      </c>
      <c r="G2196" s="1">
        <v>44355</v>
      </c>
      <c r="H2196">
        <v>2756</v>
      </c>
      <c r="I2196" t="s">
        <v>4862</v>
      </c>
      <c r="J2196">
        <v>100</v>
      </c>
      <c r="K2196">
        <v>0</v>
      </c>
      <c r="L2196">
        <v>0</v>
      </c>
      <c r="M2196">
        <v>0</v>
      </c>
      <c r="N2196" t="s">
        <v>78</v>
      </c>
      <c r="O2196">
        <v>2021</v>
      </c>
      <c r="P2196" t="s">
        <v>18</v>
      </c>
    </row>
    <row r="2197" spans="1:16" x14ac:dyDescent="0.3">
      <c r="A2197">
        <v>142</v>
      </c>
      <c r="B2197" t="s">
        <v>1921</v>
      </c>
      <c r="C2197" t="s">
        <v>2067</v>
      </c>
      <c r="D2197" t="str">
        <f>VLOOKUP(YouTube_University_Data_Final[[#This Row],[Title]],[1]!YouTube_University_Data_Final[[Title]:[Title_language]],2,FALSE)</f>
        <v>English</v>
      </c>
      <c r="E2197" t="s">
        <v>2068</v>
      </c>
      <c r="F2197">
        <v>27</v>
      </c>
      <c r="G2197" s="1">
        <v>44355</v>
      </c>
      <c r="H2197">
        <v>2422</v>
      </c>
      <c r="I2197" t="s">
        <v>4862</v>
      </c>
      <c r="J2197">
        <v>316</v>
      </c>
      <c r="K2197">
        <v>0</v>
      </c>
      <c r="L2197">
        <v>0</v>
      </c>
      <c r="M2197">
        <v>0</v>
      </c>
      <c r="N2197" t="s">
        <v>78</v>
      </c>
      <c r="O2197">
        <v>2021</v>
      </c>
      <c r="P2197" t="s">
        <v>18</v>
      </c>
    </row>
    <row r="2198" spans="1:16" x14ac:dyDescent="0.3">
      <c r="A2198">
        <v>143</v>
      </c>
      <c r="B2198" t="s">
        <v>1921</v>
      </c>
      <c r="C2198" t="s">
        <v>2069</v>
      </c>
      <c r="D2198" t="str">
        <f>VLOOKUP(YouTube_University_Data_Final[[#This Row],[Title]],[1]!YouTube_University_Data_Final[[Title]:[Title_language]],2,FALSE)</f>
        <v>English</v>
      </c>
      <c r="E2198" t="s">
        <v>2070</v>
      </c>
      <c r="F2198">
        <v>27</v>
      </c>
      <c r="G2198" s="1">
        <v>44355</v>
      </c>
      <c r="H2198">
        <v>2317</v>
      </c>
      <c r="I2198" t="s">
        <v>4862</v>
      </c>
      <c r="J2198">
        <v>279</v>
      </c>
      <c r="K2198">
        <v>2</v>
      </c>
      <c r="L2198">
        <v>0</v>
      </c>
      <c r="M2198">
        <v>0</v>
      </c>
      <c r="N2198" t="s">
        <v>78</v>
      </c>
      <c r="O2198">
        <v>2021</v>
      </c>
      <c r="P2198" t="s">
        <v>18</v>
      </c>
    </row>
    <row r="2199" spans="1:16" x14ac:dyDescent="0.3">
      <c r="A2199">
        <v>144</v>
      </c>
      <c r="B2199" t="s">
        <v>1921</v>
      </c>
      <c r="C2199" t="s">
        <v>4875</v>
      </c>
      <c r="D2199" t="str">
        <f>VLOOKUP(YouTube_University_Data_Final[[#This Row],[Title]],[1]!YouTube_University_Data_Final[[Title]:[Title_language]],2,FALSE)</f>
        <v>English</v>
      </c>
      <c r="E2199" t="s">
        <v>2071</v>
      </c>
      <c r="F2199">
        <v>27</v>
      </c>
      <c r="G2199" s="1">
        <v>44344</v>
      </c>
      <c r="H2199">
        <v>121</v>
      </c>
      <c r="I2199" t="s">
        <v>2072</v>
      </c>
      <c r="J2199">
        <v>91226</v>
      </c>
      <c r="K2199">
        <v>14</v>
      </c>
      <c r="L2199">
        <v>0</v>
      </c>
      <c r="M2199">
        <v>0</v>
      </c>
      <c r="N2199" t="s">
        <v>81</v>
      </c>
      <c r="O2199">
        <v>2021</v>
      </c>
      <c r="P2199" t="s">
        <v>18</v>
      </c>
    </row>
    <row r="2200" spans="1:16" x14ac:dyDescent="0.3">
      <c r="A2200">
        <v>145</v>
      </c>
      <c r="B2200" t="s">
        <v>1921</v>
      </c>
      <c r="C2200" t="s">
        <v>4876</v>
      </c>
      <c r="D2200" t="str">
        <f>VLOOKUP(YouTube_University_Data_Final[[#This Row],[Title]],[1]!YouTube_University_Data_Final[[Title]:[Title_language]],2,FALSE)</f>
        <v>Chinese</v>
      </c>
      <c r="E2200" t="s">
        <v>4877</v>
      </c>
      <c r="F2200">
        <v>27</v>
      </c>
      <c r="G2200" s="1">
        <v>44342</v>
      </c>
      <c r="H2200">
        <v>1324</v>
      </c>
      <c r="I2200" t="s">
        <v>2073</v>
      </c>
      <c r="J2200">
        <v>11670</v>
      </c>
      <c r="K2200">
        <v>74</v>
      </c>
      <c r="L2200">
        <v>0</v>
      </c>
      <c r="M2200">
        <v>0</v>
      </c>
      <c r="N2200" t="s">
        <v>81</v>
      </c>
      <c r="O2200">
        <v>2021</v>
      </c>
      <c r="P2200" t="s">
        <v>18</v>
      </c>
    </row>
    <row r="2201" spans="1:16" x14ac:dyDescent="0.3">
      <c r="A2201">
        <v>146</v>
      </c>
      <c r="B2201" t="s">
        <v>1921</v>
      </c>
      <c r="C2201" t="s">
        <v>4878</v>
      </c>
      <c r="D2201" t="str">
        <f>VLOOKUP(YouTube_University_Data_Final[[#This Row],[Title]],[1]!YouTube_University_Data_Final[[Title]:[Title_language]],2,FALSE)</f>
        <v>English</v>
      </c>
      <c r="E2201" t="s">
        <v>4879</v>
      </c>
      <c r="F2201">
        <v>27</v>
      </c>
      <c r="G2201" s="1">
        <v>44330</v>
      </c>
      <c r="H2201">
        <v>111</v>
      </c>
      <c r="I2201" t="s">
        <v>2074</v>
      </c>
      <c r="J2201">
        <v>86015</v>
      </c>
      <c r="K2201">
        <v>8</v>
      </c>
      <c r="L2201">
        <v>0</v>
      </c>
      <c r="M2201">
        <v>0</v>
      </c>
      <c r="N2201" t="s">
        <v>81</v>
      </c>
      <c r="O2201">
        <v>2021</v>
      </c>
      <c r="P2201" t="s">
        <v>18</v>
      </c>
    </row>
    <row r="2202" spans="1:16" x14ac:dyDescent="0.3">
      <c r="A2202">
        <v>147</v>
      </c>
      <c r="B2202" t="s">
        <v>1921</v>
      </c>
      <c r="C2202" t="s">
        <v>4880</v>
      </c>
      <c r="D2202" t="str">
        <f>VLOOKUP(YouTube_University_Data_Final[[#This Row],[Title]],[1]!YouTube_University_Data_Final[[Title]:[Title_language]],2,FALSE)</f>
        <v>English</v>
      </c>
      <c r="E2202" t="s">
        <v>4881</v>
      </c>
      <c r="F2202">
        <v>27</v>
      </c>
      <c r="G2202" s="1">
        <v>44316</v>
      </c>
      <c r="H2202">
        <v>120</v>
      </c>
      <c r="I2202" t="s">
        <v>2075</v>
      </c>
      <c r="J2202">
        <v>64655</v>
      </c>
      <c r="K2202">
        <v>16</v>
      </c>
      <c r="L2202">
        <v>0</v>
      </c>
      <c r="M2202">
        <v>0</v>
      </c>
      <c r="N2202" t="s">
        <v>87</v>
      </c>
      <c r="O2202">
        <v>2021</v>
      </c>
      <c r="P2202" t="s">
        <v>18</v>
      </c>
    </row>
    <row r="2203" spans="1:16" x14ac:dyDescent="0.3">
      <c r="A2203">
        <v>148</v>
      </c>
      <c r="B2203" t="s">
        <v>1921</v>
      </c>
      <c r="C2203" t="s">
        <v>2076</v>
      </c>
      <c r="D2203" t="str">
        <f>VLOOKUP(YouTube_University_Data_Final[[#This Row],[Title]],[1]!YouTube_University_Data_Final[[Title]:[Title_language]],2,FALSE)</f>
        <v>English</v>
      </c>
      <c r="E2203" t="s">
        <v>2077</v>
      </c>
      <c r="F2203">
        <v>27</v>
      </c>
      <c r="G2203" s="1">
        <v>44299</v>
      </c>
      <c r="H2203">
        <v>84</v>
      </c>
      <c r="I2203" t="s">
        <v>2078</v>
      </c>
      <c r="J2203">
        <v>243</v>
      </c>
      <c r="K2203">
        <v>3</v>
      </c>
      <c r="L2203">
        <v>0</v>
      </c>
      <c r="M2203">
        <v>0</v>
      </c>
      <c r="N2203" t="s">
        <v>87</v>
      </c>
      <c r="O2203">
        <v>2021</v>
      </c>
      <c r="P2203" t="s">
        <v>18</v>
      </c>
    </row>
    <row r="2204" spans="1:16" x14ac:dyDescent="0.3">
      <c r="A2204">
        <v>149</v>
      </c>
      <c r="B2204" t="s">
        <v>1921</v>
      </c>
      <c r="C2204" t="s">
        <v>2079</v>
      </c>
      <c r="D2204" t="str">
        <f>VLOOKUP(YouTube_University_Data_Final[[#This Row],[Title]],[1]!YouTube_University_Data_Final[[Title]:[Title_language]],2,FALSE)</f>
        <v>English</v>
      </c>
      <c r="E2204" t="s">
        <v>2080</v>
      </c>
      <c r="F2204">
        <v>27</v>
      </c>
      <c r="G2204" s="1">
        <v>44294</v>
      </c>
      <c r="H2204">
        <v>90</v>
      </c>
      <c r="I2204" t="s">
        <v>2081</v>
      </c>
      <c r="J2204">
        <v>487</v>
      </c>
      <c r="K2204">
        <v>3</v>
      </c>
      <c r="L2204">
        <v>0</v>
      </c>
      <c r="M2204">
        <v>0</v>
      </c>
      <c r="N2204" t="s">
        <v>87</v>
      </c>
      <c r="O2204">
        <v>2021</v>
      </c>
      <c r="P2204" t="s">
        <v>18</v>
      </c>
    </row>
    <row r="2205" spans="1:16" x14ac:dyDescent="0.3">
      <c r="A2205">
        <v>150</v>
      </c>
      <c r="B2205" t="s">
        <v>1921</v>
      </c>
      <c r="C2205" t="s">
        <v>4882</v>
      </c>
      <c r="D2205" t="str">
        <f>VLOOKUP(YouTube_University_Data_Final[[#This Row],[Title]],[1]!YouTube_University_Data_Final[[Title]:[Title_language]],2,FALSE)</f>
        <v>English</v>
      </c>
      <c r="E2205" t="s">
        <v>4883</v>
      </c>
      <c r="F2205">
        <v>27</v>
      </c>
      <c r="G2205" s="1">
        <v>44287</v>
      </c>
      <c r="H2205">
        <v>119</v>
      </c>
      <c r="I2205" t="s">
        <v>2082</v>
      </c>
      <c r="J2205">
        <v>26359</v>
      </c>
      <c r="K2205">
        <v>26</v>
      </c>
      <c r="L2205">
        <v>0</v>
      </c>
      <c r="M2205">
        <v>0</v>
      </c>
      <c r="N2205" t="s">
        <v>87</v>
      </c>
      <c r="O2205">
        <v>2021</v>
      </c>
      <c r="P2205" t="s">
        <v>18</v>
      </c>
    </row>
    <row r="2206" spans="1:16" x14ac:dyDescent="0.3">
      <c r="A2206">
        <v>151</v>
      </c>
      <c r="B2206" t="s">
        <v>1921</v>
      </c>
      <c r="C2206" t="s">
        <v>2083</v>
      </c>
      <c r="D2206" t="str">
        <f>VLOOKUP(YouTube_University_Data_Final[[#This Row],[Title]],[1]!YouTube_University_Data_Final[[Title]:[Title_language]],2,FALSE)</f>
        <v>English</v>
      </c>
      <c r="E2206" t="s">
        <v>2084</v>
      </c>
      <c r="F2206">
        <v>27</v>
      </c>
      <c r="G2206" s="1">
        <v>44229</v>
      </c>
      <c r="H2206">
        <v>102</v>
      </c>
      <c r="I2206" t="s">
        <v>2081</v>
      </c>
      <c r="J2206">
        <v>734</v>
      </c>
      <c r="K2206">
        <v>7</v>
      </c>
      <c r="L2206">
        <v>0</v>
      </c>
      <c r="M2206">
        <v>0</v>
      </c>
      <c r="N2206" t="s">
        <v>162</v>
      </c>
      <c r="O2206">
        <v>2021</v>
      </c>
      <c r="P2206" t="s">
        <v>18</v>
      </c>
    </row>
    <row r="2207" spans="1:16" x14ac:dyDescent="0.3">
      <c r="A2207">
        <v>152</v>
      </c>
      <c r="B2207" t="s">
        <v>1921</v>
      </c>
      <c r="C2207" t="s">
        <v>2085</v>
      </c>
      <c r="D2207" t="str">
        <f>VLOOKUP(YouTube_University_Data_Final[[#This Row],[Title]],[1]!YouTube_University_Data_Final[[Title]:[Title_language]],2,FALSE)</f>
        <v>English</v>
      </c>
      <c r="E2207" t="s">
        <v>2086</v>
      </c>
      <c r="F2207">
        <v>27</v>
      </c>
      <c r="G2207" s="1">
        <v>44229</v>
      </c>
      <c r="H2207">
        <v>91</v>
      </c>
      <c r="I2207" t="s">
        <v>2081</v>
      </c>
      <c r="J2207">
        <v>544</v>
      </c>
      <c r="K2207">
        <v>2</v>
      </c>
      <c r="L2207">
        <v>0</v>
      </c>
      <c r="M2207">
        <v>0</v>
      </c>
      <c r="N2207" t="s">
        <v>162</v>
      </c>
      <c r="O2207">
        <v>2021</v>
      </c>
      <c r="P2207" t="s">
        <v>18</v>
      </c>
    </row>
    <row r="2208" spans="1:16" x14ac:dyDescent="0.3">
      <c r="A2208">
        <v>153</v>
      </c>
      <c r="B2208" t="s">
        <v>1921</v>
      </c>
      <c r="C2208" t="s">
        <v>2079</v>
      </c>
      <c r="D2208" t="str">
        <f>VLOOKUP(YouTube_University_Data_Final[[#This Row],[Title]],[1]!YouTube_University_Data_Final[[Title]:[Title_language]],2,FALSE)</f>
        <v>English</v>
      </c>
      <c r="E2208" t="s">
        <v>2080</v>
      </c>
      <c r="F2208">
        <v>27</v>
      </c>
      <c r="G2208" s="1">
        <v>44229</v>
      </c>
      <c r="H2208">
        <v>90</v>
      </c>
      <c r="I2208" t="s">
        <v>2081</v>
      </c>
      <c r="J2208">
        <v>589</v>
      </c>
      <c r="K2208">
        <v>2</v>
      </c>
      <c r="L2208">
        <v>0</v>
      </c>
      <c r="M2208">
        <v>0</v>
      </c>
      <c r="N2208" t="s">
        <v>162</v>
      </c>
      <c r="O2208">
        <v>2021</v>
      </c>
      <c r="P2208" t="s">
        <v>18</v>
      </c>
    </row>
    <row r="2209" spans="1:16" x14ac:dyDescent="0.3">
      <c r="A2209">
        <v>154</v>
      </c>
      <c r="B2209" t="s">
        <v>1921</v>
      </c>
      <c r="C2209" t="s">
        <v>2087</v>
      </c>
      <c r="D2209" t="str">
        <f>VLOOKUP(YouTube_University_Data_Final[[#This Row],[Title]],[1]!YouTube_University_Data_Final[[Title]:[Title_language]],2,FALSE)</f>
        <v>English</v>
      </c>
      <c r="E2209" t="s">
        <v>4884</v>
      </c>
      <c r="F2209">
        <v>27</v>
      </c>
      <c r="G2209" s="1">
        <v>44229</v>
      </c>
      <c r="H2209">
        <v>93</v>
      </c>
      <c r="I2209" t="s">
        <v>2081</v>
      </c>
      <c r="J2209">
        <v>341</v>
      </c>
      <c r="K2209">
        <v>1</v>
      </c>
      <c r="L2209">
        <v>0</v>
      </c>
      <c r="M2209">
        <v>0</v>
      </c>
      <c r="N2209" t="s">
        <v>162</v>
      </c>
      <c r="O2209">
        <v>2021</v>
      </c>
      <c r="P2209" t="s">
        <v>18</v>
      </c>
    </row>
    <row r="2210" spans="1:16" x14ac:dyDescent="0.3">
      <c r="A2210">
        <v>155</v>
      </c>
      <c r="B2210" t="s">
        <v>1921</v>
      </c>
      <c r="C2210" t="s">
        <v>2088</v>
      </c>
      <c r="D2210" t="str">
        <f>VLOOKUP(YouTube_University_Data_Final[[#This Row],[Title]],[1]!YouTube_University_Data_Final[[Title]:[Title_language]],2,FALSE)</f>
        <v>English</v>
      </c>
      <c r="E2210" t="s">
        <v>2089</v>
      </c>
      <c r="F2210">
        <v>27</v>
      </c>
      <c r="G2210" s="1">
        <v>44229</v>
      </c>
      <c r="H2210">
        <v>99</v>
      </c>
      <c r="I2210" t="s">
        <v>2081</v>
      </c>
      <c r="J2210">
        <v>481</v>
      </c>
      <c r="K2210">
        <v>3</v>
      </c>
      <c r="L2210">
        <v>0</v>
      </c>
      <c r="M2210">
        <v>0</v>
      </c>
      <c r="N2210" t="s">
        <v>162</v>
      </c>
      <c r="O2210">
        <v>2021</v>
      </c>
      <c r="P2210" t="s">
        <v>18</v>
      </c>
    </row>
    <row r="2211" spans="1:16" x14ac:dyDescent="0.3">
      <c r="A2211">
        <v>156</v>
      </c>
      <c r="B2211" t="s">
        <v>1921</v>
      </c>
      <c r="C2211" t="s">
        <v>2090</v>
      </c>
      <c r="D2211" t="str">
        <f>VLOOKUP(YouTube_University_Data_Final[[#This Row],[Title]],[1]!YouTube_University_Data_Final[[Title]:[Title_language]],2,FALSE)</f>
        <v>English</v>
      </c>
      <c r="E2211" t="s">
        <v>2091</v>
      </c>
      <c r="F2211">
        <v>27</v>
      </c>
      <c r="G2211" s="1">
        <v>44229</v>
      </c>
      <c r="H2211">
        <v>106</v>
      </c>
      <c r="I2211" t="s">
        <v>2081</v>
      </c>
      <c r="J2211">
        <v>402</v>
      </c>
      <c r="K2211">
        <v>0</v>
      </c>
      <c r="L2211">
        <v>0</v>
      </c>
      <c r="M2211">
        <v>0</v>
      </c>
      <c r="N2211" t="s">
        <v>162</v>
      </c>
      <c r="O2211">
        <v>2021</v>
      </c>
      <c r="P2211" t="s">
        <v>18</v>
      </c>
    </row>
    <row r="2212" spans="1:16" x14ac:dyDescent="0.3">
      <c r="A2212">
        <v>157</v>
      </c>
      <c r="B2212" t="s">
        <v>1921</v>
      </c>
      <c r="C2212" t="s">
        <v>2092</v>
      </c>
      <c r="D2212" t="str">
        <f>VLOOKUP(YouTube_University_Data_Final[[#This Row],[Title]],[1]!YouTube_University_Data_Final[[Title]:[Title_language]],2,FALSE)</f>
        <v>English</v>
      </c>
      <c r="E2212" t="s">
        <v>2093</v>
      </c>
      <c r="F2212">
        <v>27</v>
      </c>
      <c r="G2212" s="1">
        <v>44229</v>
      </c>
      <c r="H2212">
        <v>95</v>
      </c>
      <c r="I2212" t="s">
        <v>2081</v>
      </c>
      <c r="J2212">
        <v>468</v>
      </c>
      <c r="K2212">
        <v>3</v>
      </c>
      <c r="L2212">
        <v>0</v>
      </c>
      <c r="M2212">
        <v>0</v>
      </c>
      <c r="N2212" t="s">
        <v>162</v>
      </c>
      <c r="O2212">
        <v>2021</v>
      </c>
      <c r="P2212" t="s">
        <v>18</v>
      </c>
    </row>
    <row r="2213" spans="1:16" x14ac:dyDescent="0.3">
      <c r="A2213">
        <v>158</v>
      </c>
      <c r="B2213" t="s">
        <v>1921</v>
      </c>
      <c r="C2213" t="s">
        <v>2094</v>
      </c>
      <c r="D2213" t="str">
        <f>VLOOKUP(YouTube_University_Data_Final[[#This Row],[Title]],[1]!YouTube_University_Data_Final[[Title]:[Title_language]],2,FALSE)</f>
        <v>English</v>
      </c>
      <c r="E2213" t="s">
        <v>2095</v>
      </c>
      <c r="F2213">
        <v>27</v>
      </c>
      <c r="G2213" s="1">
        <v>44229</v>
      </c>
      <c r="H2213">
        <v>101</v>
      </c>
      <c r="I2213" t="s">
        <v>2081</v>
      </c>
      <c r="J2213">
        <v>616</v>
      </c>
      <c r="K2213">
        <v>8</v>
      </c>
      <c r="L2213">
        <v>0</v>
      </c>
      <c r="M2213">
        <v>0</v>
      </c>
      <c r="N2213" t="s">
        <v>162</v>
      </c>
      <c r="O2213">
        <v>2021</v>
      </c>
      <c r="P2213" t="s">
        <v>18</v>
      </c>
    </row>
    <row r="2214" spans="1:16" x14ac:dyDescent="0.3">
      <c r="A2214">
        <v>159</v>
      </c>
      <c r="B2214" t="s">
        <v>1921</v>
      </c>
      <c r="C2214" t="s">
        <v>2096</v>
      </c>
      <c r="D2214" t="str">
        <f>VLOOKUP(YouTube_University_Data_Final[[#This Row],[Title]],[1]!YouTube_University_Data_Final[[Title]:[Title_language]],2,FALSE)</f>
        <v>English</v>
      </c>
      <c r="E2214" t="s">
        <v>4885</v>
      </c>
      <c r="F2214">
        <v>27</v>
      </c>
      <c r="G2214" s="1">
        <v>44217</v>
      </c>
      <c r="H2214">
        <v>95</v>
      </c>
      <c r="I2214" t="s">
        <v>2097</v>
      </c>
      <c r="J2214">
        <v>25710</v>
      </c>
      <c r="K2214">
        <v>0</v>
      </c>
      <c r="L2214">
        <v>0</v>
      </c>
      <c r="M2214">
        <v>0</v>
      </c>
      <c r="N2214" t="s">
        <v>93</v>
      </c>
      <c r="O2214">
        <v>2021</v>
      </c>
      <c r="P2214" t="s">
        <v>18</v>
      </c>
    </row>
    <row r="2215" spans="1:16" x14ac:dyDescent="0.3">
      <c r="A2215">
        <v>160</v>
      </c>
      <c r="B2215" t="s">
        <v>1921</v>
      </c>
      <c r="C2215" t="s">
        <v>2098</v>
      </c>
      <c r="D2215" t="str">
        <f>VLOOKUP(YouTube_University_Data_Final[[#This Row],[Title]],[1]!YouTube_University_Data_Final[[Title]:[Title_language]],2,FALSE)</f>
        <v>English</v>
      </c>
      <c r="E2215" t="s">
        <v>4886</v>
      </c>
      <c r="F2215">
        <v>27</v>
      </c>
      <c r="G2215" s="1">
        <v>44209</v>
      </c>
      <c r="H2215">
        <v>52</v>
      </c>
      <c r="I2215" t="s">
        <v>2099</v>
      </c>
      <c r="J2215">
        <v>504</v>
      </c>
      <c r="K2215">
        <v>2</v>
      </c>
      <c r="L2215">
        <v>0</v>
      </c>
      <c r="M2215">
        <v>0</v>
      </c>
      <c r="N2215" t="s">
        <v>93</v>
      </c>
      <c r="O2215">
        <v>2021</v>
      </c>
      <c r="P2215" t="s">
        <v>18</v>
      </c>
    </row>
    <row r="2216" spans="1:16" x14ac:dyDescent="0.3">
      <c r="A2216">
        <v>161</v>
      </c>
      <c r="B2216" t="s">
        <v>1921</v>
      </c>
      <c r="C2216" t="s">
        <v>4887</v>
      </c>
      <c r="D2216" t="str">
        <f>VLOOKUP(YouTube_University_Data_Final[[#This Row],[Title]],[1]!YouTube_University_Data_Final[[Title]:[Title_language]],2,FALSE)</f>
        <v>English</v>
      </c>
      <c r="E2216" t="s">
        <v>4888</v>
      </c>
      <c r="F2216">
        <v>27</v>
      </c>
      <c r="G2216" s="1">
        <v>44194</v>
      </c>
      <c r="H2216">
        <v>227</v>
      </c>
      <c r="I2216" t="s">
        <v>2100</v>
      </c>
      <c r="J2216">
        <v>51797</v>
      </c>
      <c r="K2216">
        <v>9</v>
      </c>
      <c r="L2216">
        <v>0</v>
      </c>
      <c r="M2216">
        <v>0</v>
      </c>
      <c r="N2216" t="s">
        <v>98</v>
      </c>
      <c r="O2216">
        <v>2020</v>
      </c>
      <c r="P2216" t="s">
        <v>18</v>
      </c>
    </row>
    <row r="2217" spans="1:16" x14ac:dyDescent="0.3">
      <c r="A2217">
        <v>162</v>
      </c>
      <c r="B2217" t="s">
        <v>1921</v>
      </c>
      <c r="C2217" t="s">
        <v>4889</v>
      </c>
      <c r="D2217" t="str">
        <f>VLOOKUP(YouTube_University_Data_Final[[#This Row],[Title]],[1]!YouTube_University_Data_Final[[Title]:[Title_language]],2,FALSE)</f>
        <v>Chinese</v>
      </c>
      <c r="E2217" t="s">
        <v>4890</v>
      </c>
      <c r="F2217">
        <v>27</v>
      </c>
      <c r="G2217" s="1">
        <v>44194</v>
      </c>
      <c r="H2217">
        <v>113</v>
      </c>
      <c r="I2217" t="s">
        <v>2101</v>
      </c>
      <c r="J2217">
        <v>555</v>
      </c>
      <c r="K2217">
        <v>7</v>
      </c>
      <c r="L2217">
        <v>0</v>
      </c>
      <c r="M2217">
        <v>0</v>
      </c>
      <c r="N2217" t="s">
        <v>98</v>
      </c>
      <c r="O2217">
        <v>2020</v>
      </c>
      <c r="P2217" t="s">
        <v>18</v>
      </c>
    </row>
    <row r="2218" spans="1:16" x14ac:dyDescent="0.3">
      <c r="A2218">
        <v>163</v>
      </c>
      <c r="B2218" t="s">
        <v>1921</v>
      </c>
      <c r="C2218" t="s">
        <v>4891</v>
      </c>
      <c r="D2218" t="str">
        <f>VLOOKUP(YouTube_University_Data_Final[[#This Row],[Title]],[1]!YouTube_University_Data_Final[[Title]:[Title_language]],2,FALSE)</f>
        <v>Bilingual</v>
      </c>
      <c r="E2218" t="s">
        <v>4892</v>
      </c>
      <c r="F2218">
        <v>27</v>
      </c>
      <c r="G2218" s="1">
        <v>44189</v>
      </c>
      <c r="H2218">
        <v>103</v>
      </c>
      <c r="I2218" t="s">
        <v>4893</v>
      </c>
      <c r="J2218">
        <v>379</v>
      </c>
      <c r="K2218">
        <v>3</v>
      </c>
      <c r="L2218">
        <v>0</v>
      </c>
      <c r="M2218">
        <v>0</v>
      </c>
      <c r="N2218" t="s">
        <v>98</v>
      </c>
      <c r="O2218">
        <v>2020</v>
      </c>
      <c r="P2218" t="s">
        <v>18</v>
      </c>
    </row>
    <row r="2219" spans="1:16" x14ac:dyDescent="0.3">
      <c r="A2219">
        <v>164</v>
      </c>
      <c r="B2219" t="s">
        <v>1921</v>
      </c>
      <c r="C2219" t="s">
        <v>4894</v>
      </c>
      <c r="D2219" t="str">
        <f>VLOOKUP(YouTube_University_Data_Final[[#This Row],[Title]],[1]!YouTube_University_Data_Final[[Title]:[Title_language]],2,FALSE)</f>
        <v>Bilingual</v>
      </c>
      <c r="E2219" t="s">
        <v>4892</v>
      </c>
      <c r="F2219">
        <v>27</v>
      </c>
      <c r="G2219" s="1">
        <v>44189</v>
      </c>
      <c r="H2219">
        <v>103</v>
      </c>
      <c r="I2219" t="s">
        <v>4895</v>
      </c>
      <c r="J2219">
        <v>317</v>
      </c>
      <c r="K2219">
        <v>3</v>
      </c>
      <c r="L2219">
        <v>0</v>
      </c>
      <c r="M2219">
        <v>0</v>
      </c>
      <c r="N2219" t="s">
        <v>98</v>
      </c>
      <c r="O2219">
        <v>2020</v>
      </c>
      <c r="P2219" t="s">
        <v>18</v>
      </c>
    </row>
    <row r="2220" spans="1:16" x14ac:dyDescent="0.3">
      <c r="A2220">
        <v>165</v>
      </c>
      <c r="B2220" t="s">
        <v>1921</v>
      </c>
      <c r="C2220" t="s">
        <v>4896</v>
      </c>
      <c r="D2220" t="str">
        <f>VLOOKUP(YouTube_University_Data_Final[[#This Row],[Title]],[1]!YouTube_University_Data_Final[[Title]:[Title_language]],2,FALSE)</f>
        <v>English</v>
      </c>
      <c r="E2220" t="s">
        <v>4892</v>
      </c>
      <c r="F2220">
        <v>27</v>
      </c>
      <c r="G2220" s="1">
        <v>44189</v>
      </c>
      <c r="H2220">
        <v>103</v>
      </c>
      <c r="I2220" t="s">
        <v>2102</v>
      </c>
      <c r="J2220">
        <v>828</v>
      </c>
      <c r="K2220">
        <v>6</v>
      </c>
      <c r="L2220">
        <v>0</v>
      </c>
      <c r="M2220">
        <v>0</v>
      </c>
      <c r="N2220" t="s">
        <v>98</v>
      </c>
      <c r="O2220">
        <v>2020</v>
      </c>
      <c r="P2220" t="s">
        <v>18</v>
      </c>
    </row>
    <row r="2221" spans="1:16" x14ac:dyDescent="0.3">
      <c r="A2221">
        <v>166</v>
      </c>
      <c r="B2221" t="s">
        <v>1921</v>
      </c>
      <c r="C2221" t="s">
        <v>2103</v>
      </c>
      <c r="D2221" t="str">
        <f>VLOOKUP(YouTube_University_Data_Final[[#This Row],[Title]],[1]!YouTube_University_Data_Final[[Title]:[Title_language]],2,FALSE)</f>
        <v>English</v>
      </c>
      <c r="E2221" t="s">
        <v>2104</v>
      </c>
      <c r="F2221">
        <v>27</v>
      </c>
      <c r="G2221" s="1">
        <v>44169</v>
      </c>
      <c r="H2221">
        <v>267</v>
      </c>
      <c r="I2221" t="s">
        <v>2105</v>
      </c>
      <c r="J2221">
        <v>1951</v>
      </c>
      <c r="K2221">
        <v>12</v>
      </c>
      <c r="L2221">
        <v>0</v>
      </c>
      <c r="M2221">
        <v>0</v>
      </c>
      <c r="N2221" t="s">
        <v>98</v>
      </c>
      <c r="O2221">
        <v>2020</v>
      </c>
      <c r="P2221" t="s">
        <v>18</v>
      </c>
    </row>
    <row r="2222" spans="1:16" x14ac:dyDescent="0.3">
      <c r="A2222">
        <v>167</v>
      </c>
      <c r="B2222" t="s">
        <v>1921</v>
      </c>
      <c r="C2222" t="s">
        <v>4897</v>
      </c>
      <c r="D2222" t="str">
        <f>VLOOKUP(YouTube_University_Data_Final[[#This Row],[Title]],[1]!YouTube_University_Data_Final[[Title]:[Title_language]],2,FALSE)</f>
        <v>English</v>
      </c>
      <c r="E2222" t="s">
        <v>4898</v>
      </c>
      <c r="F2222">
        <v>17</v>
      </c>
      <c r="G2222" s="1">
        <v>44169</v>
      </c>
      <c r="H2222">
        <v>142</v>
      </c>
      <c r="I2222" t="s">
        <v>4899</v>
      </c>
      <c r="J2222">
        <v>59769</v>
      </c>
      <c r="K2222">
        <v>24</v>
      </c>
      <c r="L2222">
        <v>0</v>
      </c>
      <c r="M2222">
        <v>0</v>
      </c>
      <c r="N2222" t="s">
        <v>98</v>
      </c>
      <c r="O2222">
        <v>2020</v>
      </c>
      <c r="P2222" t="s">
        <v>2106</v>
      </c>
    </row>
    <row r="2223" spans="1:16" x14ac:dyDescent="0.3">
      <c r="A2223">
        <v>168</v>
      </c>
      <c r="B2223" t="s">
        <v>1921</v>
      </c>
      <c r="C2223" t="s">
        <v>2107</v>
      </c>
      <c r="D2223" t="str">
        <f>VLOOKUP(YouTube_University_Data_Final[[#This Row],[Title]],[1]!YouTube_University_Data_Final[[Title]:[Title_language]],2,FALSE)</f>
        <v>English</v>
      </c>
      <c r="E2223" t="s">
        <v>4900</v>
      </c>
      <c r="F2223">
        <v>27</v>
      </c>
      <c r="G2223" s="1">
        <v>44119</v>
      </c>
      <c r="H2223">
        <v>270</v>
      </c>
      <c r="I2223" t="s">
        <v>2108</v>
      </c>
      <c r="J2223">
        <v>1021</v>
      </c>
      <c r="K2223">
        <v>10</v>
      </c>
      <c r="L2223">
        <v>0</v>
      </c>
      <c r="M2223">
        <v>0</v>
      </c>
      <c r="N2223" t="s">
        <v>17</v>
      </c>
      <c r="O2223">
        <v>2020</v>
      </c>
      <c r="P2223" t="s">
        <v>18</v>
      </c>
    </row>
    <row r="2224" spans="1:16" x14ac:dyDescent="0.3">
      <c r="A2224">
        <v>169</v>
      </c>
      <c r="B2224" t="s">
        <v>1921</v>
      </c>
      <c r="C2224" t="s">
        <v>2109</v>
      </c>
      <c r="D2224" t="str">
        <f>VLOOKUP(YouTube_University_Data_Final[[#This Row],[Title]],[1]!YouTube_University_Data_Final[[Title]:[Title_language]],2,FALSE)</f>
        <v>English</v>
      </c>
      <c r="E2224" t="s">
        <v>4901</v>
      </c>
      <c r="F2224">
        <v>27</v>
      </c>
      <c r="G2224" s="1">
        <v>44119</v>
      </c>
      <c r="H2224">
        <v>341</v>
      </c>
      <c r="I2224" t="s">
        <v>2110</v>
      </c>
      <c r="J2224">
        <v>535</v>
      </c>
      <c r="K2224">
        <v>6</v>
      </c>
      <c r="L2224">
        <v>0</v>
      </c>
      <c r="M2224">
        <v>0</v>
      </c>
      <c r="N2224" t="s">
        <v>17</v>
      </c>
      <c r="O2224">
        <v>2020</v>
      </c>
      <c r="P2224" t="s">
        <v>18</v>
      </c>
    </row>
    <row r="2225" spans="1:16" x14ac:dyDescent="0.3">
      <c r="A2225">
        <v>170</v>
      </c>
      <c r="B2225" t="s">
        <v>1921</v>
      </c>
      <c r="C2225" t="s">
        <v>2111</v>
      </c>
      <c r="D2225" t="str">
        <f>VLOOKUP(YouTube_University_Data_Final[[#This Row],[Title]],[1]!YouTube_University_Data_Final[[Title]:[Title_language]],2,FALSE)</f>
        <v>English</v>
      </c>
      <c r="E2225" t="s">
        <v>2112</v>
      </c>
      <c r="F2225">
        <v>27</v>
      </c>
      <c r="G2225" s="1">
        <v>44109</v>
      </c>
      <c r="H2225">
        <v>163</v>
      </c>
      <c r="I2225" t="s">
        <v>2113</v>
      </c>
      <c r="J2225">
        <v>544</v>
      </c>
      <c r="K2225">
        <v>3</v>
      </c>
      <c r="L2225">
        <v>0</v>
      </c>
      <c r="M2225">
        <v>0</v>
      </c>
      <c r="N2225" t="s">
        <v>17</v>
      </c>
      <c r="O2225">
        <v>2020</v>
      </c>
      <c r="P2225" t="s">
        <v>18</v>
      </c>
    </row>
    <row r="2226" spans="1:16" x14ac:dyDescent="0.3">
      <c r="A2226">
        <v>171</v>
      </c>
      <c r="B2226" t="s">
        <v>1921</v>
      </c>
      <c r="C2226" t="s">
        <v>2114</v>
      </c>
      <c r="D2226" t="str">
        <f>VLOOKUP(YouTube_University_Data_Final[[#This Row],[Title]],[1]!YouTube_University_Data_Final[[Title]:[Title_language]],2,FALSE)</f>
        <v>English</v>
      </c>
      <c r="E2226" t="s">
        <v>4902</v>
      </c>
      <c r="F2226">
        <v>27</v>
      </c>
      <c r="G2226" s="1">
        <v>44032</v>
      </c>
      <c r="H2226">
        <v>74</v>
      </c>
      <c r="I2226" t="s">
        <v>2115</v>
      </c>
      <c r="J2226">
        <v>11963</v>
      </c>
      <c r="K2226">
        <v>135</v>
      </c>
      <c r="L2226">
        <v>0</v>
      </c>
      <c r="M2226">
        <v>0</v>
      </c>
      <c r="N2226" t="s">
        <v>56</v>
      </c>
      <c r="O2226">
        <v>2020</v>
      </c>
      <c r="P2226" t="s">
        <v>18</v>
      </c>
    </row>
    <row r="2227" spans="1:16" x14ac:dyDescent="0.3">
      <c r="A2227">
        <v>172</v>
      </c>
      <c r="B2227" t="s">
        <v>1921</v>
      </c>
      <c r="C2227" t="s">
        <v>4903</v>
      </c>
      <c r="D2227" t="str">
        <f>VLOOKUP(YouTube_University_Data_Final[[#This Row],[Title]],[1]!YouTube_University_Data_Final[[Title]:[Title_language]],2,FALSE)</f>
        <v>English</v>
      </c>
      <c r="E2227" t="s">
        <v>2116</v>
      </c>
      <c r="F2227">
        <v>27</v>
      </c>
      <c r="G2227" s="1">
        <v>44026</v>
      </c>
      <c r="H2227">
        <v>63</v>
      </c>
      <c r="I2227" t="s">
        <v>2117</v>
      </c>
      <c r="J2227">
        <v>3766</v>
      </c>
      <c r="K2227">
        <v>138</v>
      </c>
      <c r="L2227">
        <v>0</v>
      </c>
      <c r="M2227">
        <v>0</v>
      </c>
      <c r="N2227" t="s">
        <v>56</v>
      </c>
      <c r="O2227">
        <v>2020</v>
      </c>
      <c r="P2227" t="s">
        <v>18</v>
      </c>
    </row>
    <row r="2228" spans="1:16" x14ac:dyDescent="0.3">
      <c r="A2228">
        <v>173</v>
      </c>
      <c r="B2228" t="s">
        <v>1921</v>
      </c>
      <c r="C2228" t="s">
        <v>2118</v>
      </c>
      <c r="D2228" t="str">
        <f>VLOOKUP(YouTube_University_Data_Final[[#This Row],[Title]],[1]!YouTube_University_Data_Final[[Title]:[Title_language]],2,FALSE)</f>
        <v>English</v>
      </c>
      <c r="E2228" t="s">
        <v>2119</v>
      </c>
      <c r="F2228">
        <v>27</v>
      </c>
      <c r="G2228" s="1">
        <v>43978</v>
      </c>
      <c r="H2228">
        <v>1459</v>
      </c>
      <c r="I2228" t="s">
        <v>2120</v>
      </c>
      <c r="J2228">
        <v>1111</v>
      </c>
      <c r="K2228">
        <v>17</v>
      </c>
      <c r="L2228">
        <v>0</v>
      </c>
      <c r="M2228">
        <v>0</v>
      </c>
      <c r="N2228" t="s">
        <v>81</v>
      </c>
      <c r="O2228">
        <v>2020</v>
      </c>
      <c r="P2228" t="s">
        <v>18</v>
      </c>
    </row>
    <row r="2229" spans="1:16" x14ac:dyDescent="0.3">
      <c r="A2229">
        <v>174</v>
      </c>
      <c r="B2229" t="s">
        <v>1921</v>
      </c>
      <c r="C2229" t="s">
        <v>2121</v>
      </c>
      <c r="D2229" t="str">
        <f>VLOOKUP(YouTube_University_Data_Final[[#This Row],[Title]],[1]!YouTube_University_Data_Final[[Title]:[Title_language]],2,FALSE)</f>
        <v>English</v>
      </c>
      <c r="E2229" t="s">
        <v>2122</v>
      </c>
      <c r="F2229">
        <v>27</v>
      </c>
      <c r="G2229" s="1">
        <v>43978</v>
      </c>
      <c r="H2229">
        <v>3426</v>
      </c>
      <c r="I2229" t="s">
        <v>2123</v>
      </c>
      <c r="J2229">
        <v>415</v>
      </c>
      <c r="K2229">
        <v>3</v>
      </c>
      <c r="L2229">
        <v>0</v>
      </c>
      <c r="M2229">
        <v>0</v>
      </c>
      <c r="N2229" t="s">
        <v>81</v>
      </c>
      <c r="O2229">
        <v>2020</v>
      </c>
      <c r="P2229" t="s">
        <v>18</v>
      </c>
    </row>
    <row r="2230" spans="1:16" x14ac:dyDescent="0.3">
      <c r="A2230">
        <v>175</v>
      </c>
      <c r="B2230" t="s">
        <v>1921</v>
      </c>
      <c r="C2230" t="s">
        <v>2124</v>
      </c>
      <c r="D2230" t="str">
        <f>VLOOKUP(YouTube_University_Data_Final[[#This Row],[Title]],[1]!YouTube_University_Data_Final[[Title]:[Title_language]],2,FALSE)</f>
        <v>English</v>
      </c>
      <c r="E2230" t="s">
        <v>2125</v>
      </c>
      <c r="F2230">
        <v>27</v>
      </c>
      <c r="G2230" s="1">
        <v>43978</v>
      </c>
      <c r="H2230">
        <v>2796</v>
      </c>
      <c r="I2230" t="s">
        <v>2126</v>
      </c>
      <c r="J2230">
        <v>690</v>
      </c>
      <c r="K2230">
        <v>8</v>
      </c>
      <c r="L2230">
        <v>0</v>
      </c>
      <c r="M2230">
        <v>0</v>
      </c>
      <c r="N2230" t="s">
        <v>81</v>
      </c>
      <c r="O2230">
        <v>2020</v>
      </c>
      <c r="P2230" t="s">
        <v>18</v>
      </c>
    </row>
    <row r="2231" spans="1:16" x14ac:dyDescent="0.3">
      <c r="A2231">
        <v>176</v>
      </c>
      <c r="B2231" t="s">
        <v>1921</v>
      </c>
      <c r="C2231" t="s">
        <v>2127</v>
      </c>
      <c r="D2231" t="str">
        <f>VLOOKUP(YouTube_University_Data_Final[[#This Row],[Title]],[1]!YouTube_University_Data_Final[[Title]:[Title_language]],2,FALSE)</f>
        <v>English</v>
      </c>
      <c r="E2231" t="s">
        <v>2128</v>
      </c>
      <c r="F2231">
        <v>27</v>
      </c>
      <c r="G2231" s="1">
        <v>43978</v>
      </c>
      <c r="H2231">
        <v>3424</v>
      </c>
      <c r="I2231" t="s">
        <v>2129</v>
      </c>
      <c r="J2231">
        <v>1079</v>
      </c>
      <c r="K2231">
        <v>16</v>
      </c>
      <c r="L2231">
        <v>0</v>
      </c>
      <c r="M2231">
        <v>0</v>
      </c>
      <c r="N2231" t="s">
        <v>81</v>
      </c>
      <c r="O2231">
        <v>2020</v>
      </c>
      <c r="P2231" t="s">
        <v>18</v>
      </c>
    </row>
    <row r="2232" spans="1:16" x14ac:dyDescent="0.3">
      <c r="A2232">
        <v>177</v>
      </c>
      <c r="B2232" t="s">
        <v>1921</v>
      </c>
      <c r="C2232" t="s">
        <v>2130</v>
      </c>
      <c r="D2232" t="str">
        <f>VLOOKUP(YouTube_University_Data_Final[[#This Row],[Title]],[1]!YouTube_University_Data_Final[[Title]:[Title_language]],2,FALSE)</f>
        <v>English</v>
      </c>
      <c r="E2232" t="s">
        <v>2131</v>
      </c>
      <c r="F2232">
        <v>27</v>
      </c>
      <c r="G2232" s="1">
        <v>43978</v>
      </c>
      <c r="H2232">
        <v>2704</v>
      </c>
      <c r="I2232" t="s">
        <v>2132</v>
      </c>
      <c r="J2232">
        <v>440</v>
      </c>
      <c r="K2232">
        <v>2</v>
      </c>
      <c r="L2232">
        <v>0</v>
      </c>
      <c r="M2232">
        <v>0</v>
      </c>
      <c r="N2232" t="s">
        <v>81</v>
      </c>
      <c r="O2232">
        <v>2020</v>
      </c>
      <c r="P2232" t="s">
        <v>18</v>
      </c>
    </row>
    <row r="2233" spans="1:16" x14ac:dyDescent="0.3">
      <c r="A2233">
        <v>178</v>
      </c>
      <c r="B2233" t="s">
        <v>1921</v>
      </c>
      <c r="C2233" t="s">
        <v>2133</v>
      </c>
      <c r="D2233" t="str">
        <f>VLOOKUP(YouTube_University_Data_Final[[#This Row],[Title]],[1]!YouTube_University_Data_Final[[Title]:[Title_language]],2,FALSE)</f>
        <v>English</v>
      </c>
      <c r="E2233" t="s">
        <v>2134</v>
      </c>
      <c r="F2233">
        <v>27</v>
      </c>
      <c r="G2233" s="1">
        <v>43978</v>
      </c>
      <c r="H2233">
        <v>2888</v>
      </c>
      <c r="I2233" t="s">
        <v>2135</v>
      </c>
      <c r="J2233">
        <v>1879</v>
      </c>
      <c r="K2233">
        <v>26</v>
      </c>
      <c r="L2233">
        <v>0</v>
      </c>
      <c r="M2233">
        <v>0</v>
      </c>
      <c r="N2233" t="s">
        <v>81</v>
      </c>
      <c r="O2233">
        <v>2020</v>
      </c>
      <c r="P2233" t="s">
        <v>18</v>
      </c>
    </row>
    <row r="2234" spans="1:16" x14ac:dyDescent="0.3">
      <c r="A2234">
        <v>179</v>
      </c>
      <c r="B2234" t="s">
        <v>1921</v>
      </c>
      <c r="C2234" t="s">
        <v>2136</v>
      </c>
      <c r="D2234" t="str">
        <f>VLOOKUP(YouTube_University_Data_Final[[#This Row],[Title]],[1]!YouTube_University_Data_Final[[Title]:[Title_language]],2,FALSE)</f>
        <v>English</v>
      </c>
      <c r="E2234" t="s">
        <v>2137</v>
      </c>
      <c r="F2234">
        <v>27</v>
      </c>
      <c r="G2234" s="1">
        <v>43978</v>
      </c>
      <c r="H2234">
        <v>2214</v>
      </c>
      <c r="I2234" t="s">
        <v>2138</v>
      </c>
      <c r="J2234">
        <v>344</v>
      </c>
      <c r="K2234">
        <v>2</v>
      </c>
      <c r="L2234">
        <v>0</v>
      </c>
      <c r="M2234">
        <v>0</v>
      </c>
      <c r="N2234" t="s">
        <v>81</v>
      </c>
      <c r="O2234">
        <v>2020</v>
      </c>
      <c r="P2234" t="s">
        <v>18</v>
      </c>
    </row>
    <row r="2235" spans="1:16" x14ac:dyDescent="0.3">
      <c r="A2235">
        <v>180</v>
      </c>
      <c r="B2235" t="s">
        <v>1921</v>
      </c>
      <c r="C2235" t="s">
        <v>2139</v>
      </c>
      <c r="D2235" t="str">
        <f>VLOOKUP(YouTube_University_Data_Final[[#This Row],[Title]],[1]!YouTube_University_Data_Final[[Title]:[Title_language]],2,FALSE)</f>
        <v>English</v>
      </c>
      <c r="E2235" t="s">
        <v>2140</v>
      </c>
      <c r="F2235">
        <v>27</v>
      </c>
      <c r="G2235" s="1">
        <v>43978</v>
      </c>
      <c r="H2235">
        <v>3392</v>
      </c>
      <c r="I2235" t="s">
        <v>2141</v>
      </c>
      <c r="J2235">
        <v>674</v>
      </c>
      <c r="K2235">
        <v>5</v>
      </c>
      <c r="L2235">
        <v>0</v>
      </c>
      <c r="M2235">
        <v>0</v>
      </c>
      <c r="N2235" t="s">
        <v>81</v>
      </c>
      <c r="O2235">
        <v>2020</v>
      </c>
      <c r="P2235" t="s">
        <v>18</v>
      </c>
    </row>
    <row r="2236" spans="1:16" x14ac:dyDescent="0.3">
      <c r="A2236">
        <v>181</v>
      </c>
      <c r="B2236" t="s">
        <v>1921</v>
      </c>
      <c r="C2236" t="s">
        <v>2142</v>
      </c>
      <c r="D2236" t="str">
        <f>VLOOKUP(YouTube_University_Data_Final[[#This Row],[Title]],[1]!YouTube_University_Data_Final[[Title]:[Title_language]],2,FALSE)</f>
        <v>English</v>
      </c>
      <c r="E2236" t="s">
        <v>2143</v>
      </c>
      <c r="F2236">
        <v>27</v>
      </c>
      <c r="G2236" s="1">
        <v>43978</v>
      </c>
      <c r="H2236">
        <v>3176</v>
      </c>
      <c r="I2236" t="s">
        <v>2144</v>
      </c>
      <c r="J2236">
        <v>846</v>
      </c>
      <c r="K2236">
        <v>3</v>
      </c>
      <c r="L2236">
        <v>0</v>
      </c>
      <c r="M2236">
        <v>0</v>
      </c>
      <c r="N2236" t="s">
        <v>81</v>
      </c>
      <c r="O2236">
        <v>2020</v>
      </c>
      <c r="P2236" t="s">
        <v>18</v>
      </c>
    </row>
    <row r="2237" spans="1:16" x14ac:dyDescent="0.3">
      <c r="A2237">
        <v>182</v>
      </c>
      <c r="B2237" t="s">
        <v>1921</v>
      </c>
      <c r="C2237" t="s">
        <v>2145</v>
      </c>
      <c r="D2237" t="str">
        <f>VLOOKUP(YouTube_University_Data_Final[[#This Row],[Title]],[1]!YouTube_University_Data_Final[[Title]:[Title_language]],2,FALSE)</f>
        <v>English</v>
      </c>
      <c r="E2237" t="s">
        <v>4904</v>
      </c>
      <c r="F2237">
        <v>27</v>
      </c>
      <c r="G2237" s="1">
        <v>43945</v>
      </c>
      <c r="H2237">
        <v>375</v>
      </c>
      <c r="I2237" t="s">
        <v>2944</v>
      </c>
      <c r="J2237">
        <v>8680</v>
      </c>
      <c r="K2237">
        <v>16</v>
      </c>
      <c r="L2237">
        <v>0</v>
      </c>
      <c r="M2237">
        <v>0</v>
      </c>
      <c r="N2237" t="s">
        <v>87</v>
      </c>
      <c r="O2237">
        <v>2020</v>
      </c>
      <c r="P2237" t="s">
        <v>18</v>
      </c>
    </row>
    <row r="2238" spans="1:16" x14ac:dyDescent="0.3">
      <c r="A2238">
        <v>183</v>
      </c>
      <c r="B2238" t="s">
        <v>1921</v>
      </c>
      <c r="C2238" t="s">
        <v>2146</v>
      </c>
      <c r="D2238" t="str">
        <f>VLOOKUP(YouTube_University_Data_Final[[#This Row],[Title]],[1]!YouTube_University_Data_Final[[Title]:[Title_language]],2,FALSE)</f>
        <v>English</v>
      </c>
      <c r="E2238" t="s">
        <v>4905</v>
      </c>
      <c r="F2238">
        <v>27</v>
      </c>
      <c r="G2238" s="1">
        <v>43942</v>
      </c>
      <c r="H2238">
        <v>293</v>
      </c>
      <c r="I2238" t="s">
        <v>2147</v>
      </c>
      <c r="J2238">
        <v>31569</v>
      </c>
      <c r="K2238">
        <v>21</v>
      </c>
      <c r="L2238">
        <v>0</v>
      </c>
      <c r="M2238">
        <v>0</v>
      </c>
      <c r="N2238" t="s">
        <v>87</v>
      </c>
      <c r="O2238">
        <v>2020</v>
      </c>
      <c r="P2238" t="s">
        <v>18</v>
      </c>
    </row>
    <row r="2239" spans="1:16" x14ac:dyDescent="0.3">
      <c r="A2239">
        <v>184</v>
      </c>
      <c r="B2239" t="s">
        <v>1921</v>
      </c>
      <c r="C2239" t="s">
        <v>2148</v>
      </c>
      <c r="D2239" t="str">
        <f>VLOOKUP(YouTube_University_Data_Final[[#This Row],[Title]],[1]!YouTube_University_Data_Final[[Title]:[Title_language]],2,FALSE)</f>
        <v>English</v>
      </c>
      <c r="E2239" t="s">
        <v>2149</v>
      </c>
      <c r="F2239">
        <v>27</v>
      </c>
      <c r="G2239" s="1">
        <v>43941</v>
      </c>
      <c r="H2239">
        <v>242</v>
      </c>
      <c r="I2239" t="s">
        <v>2150</v>
      </c>
      <c r="J2239">
        <v>305</v>
      </c>
      <c r="K2239">
        <v>5</v>
      </c>
      <c r="L2239">
        <v>0</v>
      </c>
      <c r="M2239">
        <v>0</v>
      </c>
      <c r="N2239" t="s">
        <v>87</v>
      </c>
      <c r="O2239">
        <v>2020</v>
      </c>
      <c r="P2239" t="s">
        <v>18</v>
      </c>
    </row>
    <row r="2240" spans="1:16" x14ac:dyDescent="0.3">
      <c r="A2240">
        <v>185</v>
      </c>
      <c r="B2240" t="s">
        <v>1921</v>
      </c>
      <c r="C2240" t="s">
        <v>2151</v>
      </c>
      <c r="D2240" t="str">
        <f>VLOOKUP(YouTube_University_Data_Final[[#This Row],[Title]],[1]!YouTube_University_Data_Final[[Title]:[Title_language]],2,FALSE)</f>
        <v>English</v>
      </c>
      <c r="E2240" t="s">
        <v>4906</v>
      </c>
      <c r="F2240">
        <v>27</v>
      </c>
      <c r="G2240" s="1">
        <v>43929</v>
      </c>
      <c r="H2240">
        <v>83</v>
      </c>
      <c r="I2240" t="s">
        <v>2152</v>
      </c>
      <c r="J2240">
        <v>1817</v>
      </c>
      <c r="K2240">
        <v>10</v>
      </c>
      <c r="L2240">
        <v>0</v>
      </c>
      <c r="M2240">
        <v>0</v>
      </c>
      <c r="N2240" t="s">
        <v>87</v>
      </c>
      <c r="O2240">
        <v>2020</v>
      </c>
      <c r="P2240" t="s">
        <v>18</v>
      </c>
    </row>
    <row r="2241" spans="1:16" x14ac:dyDescent="0.3">
      <c r="A2241">
        <v>186</v>
      </c>
      <c r="B2241" t="s">
        <v>1921</v>
      </c>
      <c r="C2241" t="s">
        <v>2153</v>
      </c>
      <c r="D2241" t="str">
        <f>VLOOKUP(YouTube_University_Data_Final[[#This Row],[Title]],[1]!YouTube_University_Data_Final[[Title]:[Title_language]],2,FALSE)</f>
        <v>English</v>
      </c>
      <c r="E2241" t="s">
        <v>2154</v>
      </c>
      <c r="F2241">
        <v>27</v>
      </c>
      <c r="G2241" s="1">
        <v>43922</v>
      </c>
      <c r="H2241">
        <v>62</v>
      </c>
      <c r="I2241" t="s">
        <v>2155</v>
      </c>
      <c r="J2241">
        <v>1064</v>
      </c>
      <c r="K2241">
        <v>14</v>
      </c>
      <c r="L2241">
        <v>0</v>
      </c>
      <c r="M2241">
        <v>0</v>
      </c>
      <c r="N2241" t="s">
        <v>87</v>
      </c>
      <c r="O2241">
        <v>2020</v>
      </c>
      <c r="P2241" t="s">
        <v>18</v>
      </c>
    </row>
    <row r="2242" spans="1:16" x14ac:dyDescent="0.3">
      <c r="A2242">
        <v>187</v>
      </c>
      <c r="B2242" t="s">
        <v>1921</v>
      </c>
      <c r="C2242" t="s">
        <v>4907</v>
      </c>
      <c r="D2242" t="str">
        <f>VLOOKUP(YouTube_University_Data_Final[[#This Row],[Title]],[1]!YouTube_University_Data_Final[[Title]:[Title_language]],2,FALSE)</f>
        <v>Bilingual</v>
      </c>
      <c r="E2242" t="s">
        <v>4908</v>
      </c>
      <c r="F2242">
        <v>27</v>
      </c>
      <c r="G2242" s="1">
        <v>43917</v>
      </c>
      <c r="H2242">
        <v>117</v>
      </c>
      <c r="I2242" t="s">
        <v>2156</v>
      </c>
      <c r="J2242">
        <v>1756</v>
      </c>
      <c r="K2242">
        <v>17</v>
      </c>
      <c r="L2242">
        <v>0</v>
      </c>
      <c r="M2242">
        <v>0</v>
      </c>
      <c r="N2242" t="s">
        <v>90</v>
      </c>
      <c r="O2242">
        <v>2020</v>
      </c>
      <c r="P2242" t="s">
        <v>18</v>
      </c>
    </row>
    <row r="2243" spans="1:16" x14ac:dyDescent="0.3">
      <c r="A2243">
        <v>188</v>
      </c>
      <c r="B2243" t="s">
        <v>1921</v>
      </c>
      <c r="C2243" t="s">
        <v>2157</v>
      </c>
      <c r="D2243" t="str">
        <f>VLOOKUP(YouTube_University_Data_Final[[#This Row],[Title]],[1]!YouTube_University_Data_Final[[Title]:[Title_language]],2,FALSE)</f>
        <v>English</v>
      </c>
      <c r="E2243" t="s">
        <v>2158</v>
      </c>
      <c r="F2243">
        <v>27</v>
      </c>
      <c r="G2243" s="1">
        <v>43910</v>
      </c>
      <c r="H2243">
        <v>60</v>
      </c>
      <c r="I2243" t="s">
        <v>2159</v>
      </c>
      <c r="J2243">
        <v>7757</v>
      </c>
      <c r="K2243">
        <v>45</v>
      </c>
      <c r="L2243">
        <v>0</v>
      </c>
      <c r="M2243">
        <v>0</v>
      </c>
      <c r="N2243" t="s">
        <v>90</v>
      </c>
      <c r="O2243">
        <v>2020</v>
      </c>
      <c r="P2243" t="s">
        <v>18</v>
      </c>
    </row>
    <row r="2244" spans="1:16" x14ac:dyDescent="0.3">
      <c r="A2244">
        <v>189</v>
      </c>
      <c r="B2244" t="s">
        <v>1921</v>
      </c>
      <c r="C2244" t="s">
        <v>2160</v>
      </c>
      <c r="D2244" t="str">
        <f>VLOOKUP(YouTube_University_Data_Final[[#This Row],[Title]],[1]!YouTube_University_Data_Final[[Title]:[Title_language]],2,FALSE)</f>
        <v>English</v>
      </c>
      <c r="E2244" t="s">
        <v>2161</v>
      </c>
      <c r="F2244">
        <v>27</v>
      </c>
      <c r="G2244" s="1">
        <v>43910</v>
      </c>
      <c r="H2244">
        <v>203</v>
      </c>
      <c r="I2244" t="s">
        <v>2162</v>
      </c>
      <c r="J2244">
        <v>7386</v>
      </c>
      <c r="K2244">
        <v>184</v>
      </c>
      <c r="L2244">
        <v>0</v>
      </c>
      <c r="M2244">
        <v>0</v>
      </c>
      <c r="N2244" t="s">
        <v>90</v>
      </c>
      <c r="O2244">
        <v>2020</v>
      </c>
      <c r="P2244" t="s">
        <v>18</v>
      </c>
    </row>
    <row r="2245" spans="1:16" x14ac:dyDescent="0.3">
      <c r="A2245">
        <v>190</v>
      </c>
      <c r="B2245" t="s">
        <v>1921</v>
      </c>
      <c r="C2245" t="s">
        <v>2163</v>
      </c>
      <c r="D2245" t="str">
        <f>VLOOKUP(YouTube_University_Data_Final[[#This Row],[Title]],[1]!YouTube_University_Data_Final[[Title]:[Title_language]],2,FALSE)</f>
        <v>English</v>
      </c>
      <c r="E2245" t="s">
        <v>2164</v>
      </c>
      <c r="F2245">
        <v>27</v>
      </c>
      <c r="G2245" s="1">
        <v>43910</v>
      </c>
      <c r="H2245">
        <v>47</v>
      </c>
      <c r="I2245" t="s">
        <v>2165</v>
      </c>
      <c r="J2245">
        <v>5318</v>
      </c>
      <c r="K2245">
        <v>208</v>
      </c>
      <c r="L2245">
        <v>0</v>
      </c>
      <c r="M2245">
        <v>0</v>
      </c>
      <c r="N2245" t="s">
        <v>90</v>
      </c>
      <c r="O2245">
        <v>2020</v>
      </c>
      <c r="P2245" t="s">
        <v>18</v>
      </c>
    </row>
    <row r="2246" spans="1:16" x14ac:dyDescent="0.3">
      <c r="A2246">
        <v>191</v>
      </c>
      <c r="B2246" t="s">
        <v>1921</v>
      </c>
      <c r="C2246" t="s">
        <v>2166</v>
      </c>
      <c r="D2246" t="str">
        <f>VLOOKUP(YouTube_University_Data_Final[[#This Row],[Title]],[1]!YouTube_University_Data_Final[[Title]:[Title_language]],2,FALSE)</f>
        <v>English</v>
      </c>
      <c r="E2246" t="s">
        <v>4909</v>
      </c>
      <c r="F2246">
        <v>27</v>
      </c>
      <c r="G2246" s="1">
        <v>43754</v>
      </c>
      <c r="H2246">
        <v>73</v>
      </c>
      <c r="I2246" t="s">
        <v>2167</v>
      </c>
      <c r="J2246">
        <v>467</v>
      </c>
      <c r="K2246">
        <v>2</v>
      </c>
      <c r="L2246">
        <v>0</v>
      </c>
      <c r="M2246">
        <v>0</v>
      </c>
      <c r="N2246" t="s">
        <v>17</v>
      </c>
      <c r="O2246">
        <v>2019</v>
      </c>
      <c r="P2246" t="s">
        <v>18</v>
      </c>
    </row>
    <row r="2247" spans="1:16" x14ac:dyDescent="0.3">
      <c r="A2247">
        <v>192</v>
      </c>
      <c r="B2247" t="s">
        <v>1921</v>
      </c>
      <c r="C2247" t="s">
        <v>2168</v>
      </c>
      <c r="D2247" t="str">
        <f>VLOOKUP(YouTube_University_Data_Final[[#This Row],[Title]],[1]!YouTube_University_Data_Final[[Title]:[Title_language]],2,FALSE)</f>
        <v>English</v>
      </c>
      <c r="E2247" t="s">
        <v>2169</v>
      </c>
      <c r="F2247">
        <v>27</v>
      </c>
      <c r="G2247" s="1">
        <v>43711</v>
      </c>
      <c r="H2247">
        <v>200</v>
      </c>
      <c r="I2247" t="s">
        <v>2170</v>
      </c>
      <c r="J2247">
        <v>1319</v>
      </c>
      <c r="K2247">
        <v>5</v>
      </c>
      <c r="L2247">
        <v>0</v>
      </c>
      <c r="M2247">
        <v>0</v>
      </c>
      <c r="N2247" t="s">
        <v>21</v>
      </c>
      <c r="O2247">
        <v>2019</v>
      </c>
      <c r="P2247" t="s">
        <v>18</v>
      </c>
    </row>
    <row r="2248" spans="1:16" x14ac:dyDescent="0.3">
      <c r="A2248">
        <v>193</v>
      </c>
      <c r="B2248" t="s">
        <v>1921</v>
      </c>
      <c r="C2248" t="s">
        <v>2171</v>
      </c>
      <c r="D2248" t="str">
        <f>VLOOKUP(YouTube_University_Data_Final[[#This Row],[Title]],[1]!YouTube_University_Data_Final[[Title]:[Title_language]],2,FALSE)</f>
        <v>English</v>
      </c>
      <c r="E2248" t="s">
        <v>2172</v>
      </c>
      <c r="F2248">
        <v>27</v>
      </c>
      <c r="G2248" s="1">
        <v>43711</v>
      </c>
      <c r="H2248">
        <v>110</v>
      </c>
      <c r="I2248" t="s">
        <v>2173</v>
      </c>
      <c r="J2248">
        <v>843</v>
      </c>
      <c r="K2248">
        <v>6</v>
      </c>
      <c r="L2248">
        <v>0</v>
      </c>
      <c r="M2248">
        <v>0</v>
      </c>
      <c r="N2248" t="s">
        <v>21</v>
      </c>
      <c r="O2248">
        <v>2019</v>
      </c>
      <c r="P2248" t="s">
        <v>18</v>
      </c>
    </row>
    <row r="2249" spans="1:16" x14ac:dyDescent="0.3">
      <c r="A2249">
        <v>194</v>
      </c>
      <c r="B2249" t="s">
        <v>1921</v>
      </c>
      <c r="C2249" t="s">
        <v>2174</v>
      </c>
      <c r="D2249" t="str">
        <f>VLOOKUP(YouTube_University_Data_Final[[#This Row],[Title]],[1]!YouTube_University_Data_Final[[Title]:[Title_language]],2,FALSE)</f>
        <v>English</v>
      </c>
      <c r="E2249" t="s">
        <v>2175</v>
      </c>
      <c r="F2249">
        <v>27</v>
      </c>
      <c r="G2249" s="1">
        <v>43711</v>
      </c>
      <c r="H2249">
        <v>119</v>
      </c>
      <c r="I2249" t="s">
        <v>2176</v>
      </c>
      <c r="J2249">
        <v>1241</v>
      </c>
      <c r="K2249">
        <v>9</v>
      </c>
      <c r="L2249">
        <v>0</v>
      </c>
      <c r="M2249">
        <v>0</v>
      </c>
      <c r="N2249" t="s">
        <v>21</v>
      </c>
      <c r="O2249">
        <v>2019</v>
      </c>
      <c r="P2249" t="s">
        <v>18</v>
      </c>
    </row>
    <row r="2250" spans="1:16" x14ac:dyDescent="0.3">
      <c r="A2250">
        <v>195</v>
      </c>
      <c r="B2250" t="s">
        <v>1921</v>
      </c>
      <c r="C2250" t="s">
        <v>2177</v>
      </c>
      <c r="D2250" t="str">
        <f>VLOOKUP(YouTube_University_Data_Final[[#This Row],[Title]],[1]!YouTube_University_Data_Final[[Title]:[Title_language]],2,FALSE)</f>
        <v>English</v>
      </c>
      <c r="E2250" t="s">
        <v>2178</v>
      </c>
      <c r="F2250">
        <v>27</v>
      </c>
      <c r="G2250" s="1">
        <v>43711</v>
      </c>
      <c r="H2250">
        <v>301</v>
      </c>
      <c r="I2250" t="s">
        <v>2179</v>
      </c>
      <c r="J2250">
        <v>395</v>
      </c>
      <c r="K2250">
        <v>3</v>
      </c>
      <c r="L2250">
        <v>0</v>
      </c>
      <c r="M2250">
        <v>0</v>
      </c>
      <c r="N2250" t="s">
        <v>21</v>
      </c>
      <c r="O2250">
        <v>2019</v>
      </c>
      <c r="P2250" t="s">
        <v>18</v>
      </c>
    </row>
    <row r="2251" spans="1:16" x14ac:dyDescent="0.3">
      <c r="A2251">
        <v>196</v>
      </c>
      <c r="B2251" t="s">
        <v>1921</v>
      </c>
      <c r="C2251" t="s">
        <v>2180</v>
      </c>
      <c r="D2251" t="str">
        <f>VLOOKUP(YouTube_University_Data_Final[[#This Row],[Title]],[1]!YouTube_University_Data_Final[[Title]:[Title_language]],2,FALSE)</f>
        <v>English</v>
      </c>
      <c r="E2251" t="s">
        <v>2181</v>
      </c>
      <c r="F2251">
        <v>27</v>
      </c>
      <c r="G2251" s="1">
        <v>43661</v>
      </c>
      <c r="H2251">
        <v>137</v>
      </c>
      <c r="I2251" t="s">
        <v>2038</v>
      </c>
      <c r="J2251">
        <v>186</v>
      </c>
      <c r="K2251">
        <v>0</v>
      </c>
      <c r="L2251">
        <v>0</v>
      </c>
      <c r="M2251">
        <v>0</v>
      </c>
      <c r="N2251" t="s">
        <v>56</v>
      </c>
      <c r="O2251">
        <v>2019</v>
      </c>
      <c r="P2251" t="s">
        <v>18</v>
      </c>
    </row>
    <row r="2252" spans="1:16" x14ac:dyDescent="0.3">
      <c r="A2252">
        <v>197</v>
      </c>
      <c r="B2252" t="s">
        <v>1921</v>
      </c>
      <c r="C2252" t="s">
        <v>2182</v>
      </c>
      <c r="D2252" t="str">
        <f>VLOOKUP(YouTube_University_Data_Final[[#This Row],[Title]],[1]!YouTube_University_Data_Final[[Title]:[Title_language]],2,FALSE)</f>
        <v>English</v>
      </c>
      <c r="E2252" t="s">
        <v>2183</v>
      </c>
      <c r="F2252">
        <v>27</v>
      </c>
      <c r="G2252" s="1">
        <v>43661</v>
      </c>
      <c r="H2252">
        <v>149</v>
      </c>
      <c r="I2252" t="s">
        <v>2038</v>
      </c>
      <c r="J2252">
        <v>178</v>
      </c>
      <c r="K2252">
        <v>0</v>
      </c>
      <c r="L2252">
        <v>0</v>
      </c>
      <c r="M2252">
        <v>0</v>
      </c>
      <c r="N2252" t="s">
        <v>56</v>
      </c>
      <c r="O2252">
        <v>2019</v>
      </c>
      <c r="P2252" t="s">
        <v>18</v>
      </c>
    </row>
    <row r="2253" spans="1:16" x14ac:dyDescent="0.3">
      <c r="A2253">
        <v>198</v>
      </c>
      <c r="B2253" t="s">
        <v>1921</v>
      </c>
      <c r="C2253" t="s">
        <v>2184</v>
      </c>
      <c r="D2253" t="str">
        <f>VLOOKUP(YouTube_University_Data_Final[[#This Row],[Title]],[1]!YouTube_University_Data_Final[[Title]:[Title_language]],2,FALSE)</f>
        <v>English</v>
      </c>
      <c r="E2253" t="s">
        <v>2185</v>
      </c>
      <c r="F2253">
        <v>27</v>
      </c>
      <c r="G2253" s="1">
        <v>43661</v>
      </c>
      <c r="H2253">
        <v>153</v>
      </c>
      <c r="I2253" t="s">
        <v>2038</v>
      </c>
      <c r="J2253">
        <v>842</v>
      </c>
      <c r="K2253">
        <v>8</v>
      </c>
      <c r="L2253">
        <v>0</v>
      </c>
      <c r="M2253">
        <v>0</v>
      </c>
      <c r="N2253" t="s">
        <v>56</v>
      </c>
      <c r="O2253">
        <v>2019</v>
      </c>
      <c r="P2253" t="s">
        <v>18</v>
      </c>
    </row>
    <row r="2254" spans="1:16" x14ac:dyDescent="0.3">
      <c r="A2254">
        <v>199</v>
      </c>
      <c r="B2254" t="s">
        <v>1921</v>
      </c>
      <c r="C2254" t="s">
        <v>2186</v>
      </c>
      <c r="D2254" t="str">
        <f>VLOOKUP(YouTube_University_Data_Final[[#This Row],[Title]],[1]!YouTube_University_Data_Final[[Title]:[Title_language]],2,FALSE)</f>
        <v>English</v>
      </c>
      <c r="E2254" t="s">
        <v>2187</v>
      </c>
      <c r="F2254">
        <v>27</v>
      </c>
      <c r="G2254" s="1">
        <v>43661</v>
      </c>
      <c r="H2254">
        <v>149</v>
      </c>
      <c r="I2254" t="s">
        <v>2038</v>
      </c>
      <c r="J2254">
        <v>118</v>
      </c>
      <c r="K2254">
        <v>1</v>
      </c>
      <c r="L2254">
        <v>0</v>
      </c>
      <c r="M2254">
        <v>0</v>
      </c>
      <c r="N2254" t="s">
        <v>56</v>
      </c>
      <c r="O2254">
        <v>2019</v>
      </c>
      <c r="P2254" t="s">
        <v>18</v>
      </c>
    </row>
    <row r="2255" spans="1:16" x14ac:dyDescent="0.3">
      <c r="A2255">
        <v>200</v>
      </c>
      <c r="B2255" t="s">
        <v>1921</v>
      </c>
      <c r="C2255" t="s">
        <v>2188</v>
      </c>
      <c r="D2255" t="str">
        <f>VLOOKUP(YouTube_University_Data_Final[[#This Row],[Title]],[1]!YouTube_University_Data_Final[[Title]:[Title_language]],2,FALSE)</f>
        <v>English</v>
      </c>
      <c r="E2255" t="s">
        <v>2189</v>
      </c>
      <c r="F2255">
        <v>27</v>
      </c>
      <c r="G2255" s="1">
        <v>43661</v>
      </c>
      <c r="H2255">
        <v>151</v>
      </c>
      <c r="I2255" t="s">
        <v>2038</v>
      </c>
      <c r="J2255">
        <v>164</v>
      </c>
      <c r="K2255">
        <v>0</v>
      </c>
      <c r="L2255">
        <v>0</v>
      </c>
      <c r="M2255">
        <v>0</v>
      </c>
      <c r="N2255" t="s">
        <v>56</v>
      </c>
      <c r="O2255">
        <v>2019</v>
      </c>
      <c r="P2255" t="s">
        <v>18</v>
      </c>
    </row>
    <row r="2256" spans="1:16" x14ac:dyDescent="0.3">
      <c r="A2256">
        <v>201</v>
      </c>
      <c r="B2256" t="s">
        <v>1921</v>
      </c>
      <c r="C2256" t="s">
        <v>2190</v>
      </c>
      <c r="D2256" t="str">
        <f>VLOOKUP(YouTube_University_Data_Final[[#This Row],[Title]],[1]!YouTube_University_Data_Final[[Title]:[Title_language]],2,FALSE)</f>
        <v>English</v>
      </c>
      <c r="E2256" t="s">
        <v>2191</v>
      </c>
      <c r="F2256">
        <v>27</v>
      </c>
      <c r="G2256" s="1">
        <v>43661</v>
      </c>
      <c r="H2256">
        <v>140</v>
      </c>
      <c r="I2256" t="s">
        <v>2038</v>
      </c>
      <c r="J2256">
        <v>109</v>
      </c>
      <c r="K2256">
        <v>1</v>
      </c>
      <c r="L2256">
        <v>0</v>
      </c>
      <c r="M2256">
        <v>0</v>
      </c>
      <c r="N2256" t="s">
        <v>56</v>
      </c>
      <c r="O2256">
        <v>2019</v>
      </c>
      <c r="P2256" t="s">
        <v>18</v>
      </c>
    </row>
    <row r="2257" spans="1:16" x14ac:dyDescent="0.3">
      <c r="A2257">
        <v>202</v>
      </c>
      <c r="B2257" t="s">
        <v>1921</v>
      </c>
      <c r="C2257" t="s">
        <v>2192</v>
      </c>
      <c r="D2257" t="str">
        <f>VLOOKUP(YouTube_University_Data_Final[[#This Row],[Title]],[1]!YouTube_University_Data_Final[[Title]:[Title_language]],2,FALSE)</f>
        <v>English</v>
      </c>
      <c r="E2257" t="s">
        <v>2193</v>
      </c>
      <c r="F2257">
        <v>27</v>
      </c>
      <c r="G2257" s="1">
        <v>43661</v>
      </c>
      <c r="H2257">
        <v>164</v>
      </c>
      <c r="I2257" t="s">
        <v>2038</v>
      </c>
      <c r="J2257">
        <v>489</v>
      </c>
      <c r="K2257">
        <v>5</v>
      </c>
      <c r="L2257">
        <v>0</v>
      </c>
      <c r="M2257">
        <v>0</v>
      </c>
      <c r="N2257" t="s">
        <v>56</v>
      </c>
      <c r="O2257">
        <v>2019</v>
      </c>
      <c r="P2257" t="s">
        <v>18</v>
      </c>
    </row>
    <row r="2258" spans="1:16" x14ac:dyDescent="0.3">
      <c r="A2258">
        <v>203</v>
      </c>
      <c r="B2258" t="s">
        <v>1921</v>
      </c>
      <c r="C2258" t="s">
        <v>2194</v>
      </c>
      <c r="D2258" t="str">
        <f>VLOOKUP(YouTube_University_Data_Final[[#This Row],[Title]],[1]!YouTube_University_Data_Final[[Title]:[Title_language]],2,FALSE)</f>
        <v>English</v>
      </c>
      <c r="E2258" t="s">
        <v>2195</v>
      </c>
      <c r="F2258">
        <v>27</v>
      </c>
      <c r="G2258" s="1">
        <v>43661</v>
      </c>
      <c r="H2258">
        <v>155</v>
      </c>
      <c r="I2258" t="s">
        <v>2038</v>
      </c>
      <c r="J2258">
        <v>310</v>
      </c>
      <c r="K2258">
        <v>1</v>
      </c>
      <c r="L2258">
        <v>0</v>
      </c>
      <c r="M2258">
        <v>0</v>
      </c>
      <c r="N2258" t="s">
        <v>56</v>
      </c>
      <c r="O2258">
        <v>2019</v>
      </c>
      <c r="P2258" t="s">
        <v>18</v>
      </c>
    </row>
    <row r="2259" spans="1:16" x14ac:dyDescent="0.3">
      <c r="A2259">
        <v>204</v>
      </c>
      <c r="B2259" t="s">
        <v>1921</v>
      </c>
      <c r="C2259" t="s">
        <v>2196</v>
      </c>
      <c r="D2259" t="str">
        <f>VLOOKUP(YouTube_University_Data_Final[[#This Row],[Title]],[1]!YouTube_University_Data_Final[[Title]:[Title_language]],2,FALSE)</f>
        <v>English</v>
      </c>
      <c r="E2259" t="s">
        <v>2197</v>
      </c>
      <c r="F2259">
        <v>27</v>
      </c>
      <c r="G2259" s="1">
        <v>43661</v>
      </c>
      <c r="H2259">
        <v>145</v>
      </c>
      <c r="I2259" t="s">
        <v>2038</v>
      </c>
      <c r="J2259">
        <v>189</v>
      </c>
      <c r="K2259">
        <v>2</v>
      </c>
      <c r="L2259">
        <v>0</v>
      </c>
      <c r="M2259">
        <v>0</v>
      </c>
      <c r="N2259" t="s">
        <v>56</v>
      </c>
      <c r="O2259">
        <v>2019</v>
      </c>
      <c r="P2259" t="s">
        <v>18</v>
      </c>
    </row>
    <row r="2260" spans="1:16" x14ac:dyDescent="0.3">
      <c r="A2260">
        <v>205</v>
      </c>
      <c r="B2260" t="s">
        <v>1921</v>
      </c>
      <c r="C2260" t="s">
        <v>2198</v>
      </c>
      <c r="D2260" t="str">
        <f>VLOOKUP(YouTube_University_Data_Final[[#This Row],[Title]],[1]!YouTube_University_Data_Final[[Title]:[Title_language]],2,FALSE)</f>
        <v>English</v>
      </c>
      <c r="E2260" t="s">
        <v>2199</v>
      </c>
      <c r="F2260">
        <v>27</v>
      </c>
      <c r="G2260" s="1">
        <v>43648</v>
      </c>
      <c r="H2260">
        <v>152</v>
      </c>
      <c r="I2260" t="s">
        <v>2200</v>
      </c>
      <c r="J2260">
        <v>1424</v>
      </c>
      <c r="K2260">
        <v>17</v>
      </c>
      <c r="L2260">
        <v>0</v>
      </c>
      <c r="M2260">
        <v>0</v>
      </c>
      <c r="N2260" t="s">
        <v>56</v>
      </c>
      <c r="O2260">
        <v>2019</v>
      </c>
      <c r="P2260" t="s">
        <v>18</v>
      </c>
    </row>
    <row r="2261" spans="1:16" x14ac:dyDescent="0.3">
      <c r="A2261">
        <v>206</v>
      </c>
      <c r="B2261" t="s">
        <v>1921</v>
      </c>
      <c r="C2261" t="s">
        <v>2201</v>
      </c>
      <c r="D2261" t="str">
        <f>VLOOKUP(YouTube_University_Data_Final[[#This Row],[Title]],[1]!YouTube_University_Data_Final[[Title]:[Title_language]],2,FALSE)</f>
        <v>English</v>
      </c>
      <c r="E2261" t="s">
        <v>4910</v>
      </c>
      <c r="F2261">
        <v>27</v>
      </c>
      <c r="G2261" s="1">
        <v>43636</v>
      </c>
      <c r="H2261">
        <v>131</v>
      </c>
      <c r="I2261" t="s">
        <v>2202</v>
      </c>
      <c r="J2261">
        <v>2039</v>
      </c>
      <c r="K2261">
        <v>10</v>
      </c>
      <c r="L2261">
        <v>0</v>
      </c>
      <c r="M2261">
        <v>0</v>
      </c>
      <c r="N2261" t="s">
        <v>78</v>
      </c>
      <c r="O2261">
        <v>2019</v>
      </c>
      <c r="P2261" t="s">
        <v>18</v>
      </c>
    </row>
    <row r="2262" spans="1:16" x14ac:dyDescent="0.3">
      <c r="A2262">
        <v>207</v>
      </c>
      <c r="B2262" t="s">
        <v>1921</v>
      </c>
      <c r="C2262" t="s">
        <v>4911</v>
      </c>
      <c r="D2262" t="str">
        <f>VLOOKUP(YouTube_University_Data_Final[[#This Row],[Title]],[1]!YouTube_University_Data_Final[[Title]:[Title_language]],2,FALSE)</f>
        <v>English</v>
      </c>
      <c r="E2262" t="s">
        <v>2203</v>
      </c>
      <c r="F2262">
        <v>27</v>
      </c>
      <c r="G2262" s="1">
        <v>43630</v>
      </c>
      <c r="H2262">
        <v>128</v>
      </c>
      <c r="I2262" t="s">
        <v>2204</v>
      </c>
      <c r="J2262">
        <v>539</v>
      </c>
      <c r="K2262">
        <v>0</v>
      </c>
      <c r="L2262">
        <v>0</v>
      </c>
      <c r="M2262">
        <v>0</v>
      </c>
      <c r="N2262" t="s">
        <v>78</v>
      </c>
      <c r="O2262">
        <v>2019</v>
      </c>
      <c r="P2262" t="s">
        <v>18</v>
      </c>
    </row>
    <row r="2263" spans="1:16" x14ac:dyDescent="0.3">
      <c r="A2263">
        <v>208</v>
      </c>
      <c r="B2263" t="s">
        <v>1921</v>
      </c>
      <c r="C2263" t="s">
        <v>2205</v>
      </c>
      <c r="D2263" t="str">
        <f>VLOOKUP(YouTube_University_Data_Final[[#This Row],[Title]],[1]!YouTube_University_Data_Final[[Title]:[Title_language]],2,FALSE)</f>
        <v>English</v>
      </c>
      <c r="E2263" t="s">
        <v>2206</v>
      </c>
      <c r="F2263">
        <v>27</v>
      </c>
      <c r="G2263" s="1">
        <v>43622</v>
      </c>
      <c r="H2263">
        <v>128</v>
      </c>
      <c r="I2263" t="s">
        <v>2207</v>
      </c>
      <c r="J2263">
        <v>5119</v>
      </c>
      <c r="K2263">
        <v>35</v>
      </c>
      <c r="L2263">
        <v>0</v>
      </c>
      <c r="M2263">
        <v>0</v>
      </c>
      <c r="N2263" t="s">
        <v>78</v>
      </c>
      <c r="O2263">
        <v>2019</v>
      </c>
      <c r="P2263" t="s">
        <v>18</v>
      </c>
    </row>
    <row r="2264" spans="1:16" x14ac:dyDescent="0.3">
      <c r="A2264">
        <v>209</v>
      </c>
      <c r="B2264" t="s">
        <v>1921</v>
      </c>
      <c r="C2264" t="s">
        <v>2208</v>
      </c>
      <c r="D2264" t="str">
        <f>VLOOKUP(YouTube_University_Data_Final[[#This Row],[Title]],[1]!YouTube_University_Data_Final[[Title]:[Title_language]],2,FALSE)</f>
        <v>English</v>
      </c>
      <c r="E2264" t="s">
        <v>2209</v>
      </c>
      <c r="F2264">
        <v>27</v>
      </c>
      <c r="G2264" s="1">
        <v>43608</v>
      </c>
      <c r="H2264">
        <v>4</v>
      </c>
      <c r="I2264" t="s">
        <v>2210</v>
      </c>
      <c r="J2264">
        <v>3777</v>
      </c>
      <c r="K2264">
        <v>30</v>
      </c>
      <c r="L2264">
        <v>0</v>
      </c>
      <c r="M2264">
        <v>0</v>
      </c>
      <c r="N2264" t="s">
        <v>81</v>
      </c>
      <c r="O2264">
        <v>2019</v>
      </c>
      <c r="P2264" t="s">
        <v>18</v>
      </c>
    </row>
    <row r="2265" spans="1:16" x14ac:dyDescent="0.3">
      <c r="A2265">
        <v>210</v>
      </c>
      <c r="B2265" t="s">
        <v>1921</v>
      </c>
      <c r="C2265" t="s">
        <v>2211</v>
      </c>
      <c r="D2265" t="str">
        <f>VLOOKUP(YouTube_University_Data_Final[[#This Row],[Title]],[1]!YouTube_University_Data_Final[[Title]:[Title_language]],2,FALSE)</f>
        <v>English</v>
      </c>
      <c r="E2265" t="s">
        <v>2212</v>
      </c>
      <c r="F2265">
        <v>27</v>
      </c>
      <c r="G2265" s="1">
        <v>43592</v>
      </c>
      <c r="H2265">
        <v>88</v>
      </c>
      <c r="I2265" t="s">
        <v>2213</v>
      </c>
      <c r="J2265">
        <v>1498</v>
      </c>
      <c r="K2265">
        <v>6</v>
      </c>
      <c r="L2265">
        <v>0</v>
      </c>
      <c r="M2265">
        <v>0</v>
      </c>
      <c r="N2265" t="s">
        <v>81</v>
      </c>
      <c r="O2265">
        <v>2019</v>
      </c>
      <c r="P2265" t="s">
        <v>18</v>
      </c>
    </row>
    <row r="2266" spans="1:16" x14ac:dyDescent="0.3">
      <c r="A2266">
        <v>211</v>
      </c>
      <c r="B2266" t="s">
        <v>1921</v>
      </c>
      <c r="C2266" t="s">
        <v>2214</v>
      </c>
      <c r="D2266" t="str">
        <f>VLOOKUP(YouTube_University_Data_Final[[#This Row],[Title]],[1]!YouTube_University_Data_Final[[Title]:[Title_language]],2,FALSE)</f>
        <v>English</v>
      </c>
      <c r="E2266" t="s">
        <v>2215</v>
      </c>
      <c r="F2266">
        <v>27</v>
      </c>
      <c r="G2266" s="1">
        <v>43587</v>
      </c>
      <c r="H2266">
        <v>143</v>
      </c>
      <c r="I2266" t="s">
        <v>2216</v>
      </c>
      <c r="J2266">
        <v>2023</v>
      </c>
      <c r="K2266">
        <v>12</v>
      </c>
      <c r="L2266">
        <v>0</v>
      </c>
      <c r="M2266">
        <v>0</v>
      </c>
      <c r="N2266" t="s">
        <v>81</v>
      </c>
      <c r="O2266">
        <v>2019</v>
      </c>
      <c r="P2266" t="s">
        <v>18</v>
      </c>
    </row>
    <row r="2267" spans="1:16" x14ac:dyDescent="0.3">
      <c r="A2267">
        <v>212</v>
      </c>
      <c r="B2267" t="s">
        <v>1921</v>
      </c>
      <c r="C2267" t="s">
        <v>2217</v>
      </c>
      <c r="D2267" t="str">
        <f>VLOOKUP(YouTube_University_Data_Final[[#This Row],[Title]],[1]!YouTube_University_Data_Final[[Title]:[Title_language]],2,FALSE)</f>
        <v>English</v>
      </c>
      <c r="E2267" t="s">
        <v>2218</v>
      </c>
      <c r="F2267">
        <v>27</v>
      </c>
      <c r="G2267" s="1">
        <v>43584</v>
      </c>
      <c r="H2267">
        <v>130</v>
      </c>
      <c r="I2267" t="s">
        <v>2219</v>
      </c>
      <c r="J2267">
        <v>12320</v>
      </c>
      <c r="K2267">
        <v>125</v>
      </c>
      <c r="L2267">
        <v>0</v>
      </c>
      <c r="M2267">
        <v>0</v>
      </c>
      <c r="N2267" t="s">
        <v>87</v>
      </c>
      <c r="O2267">
        <v>2019</v>
      </c>
      <c r="P2267" t="s">
        <v>18</v>
      </c>
    </row>
    <row r="2268" spans="1:16" x14ac:dyDescent="0.3">
      <c r="A2268">
        <v>213</v>
      </c>
      <c r="B2268" t="s">
        <v>1921</v>
      </c>
      <c r="C2268" t="s">
        <v>2220</v>
      </c>
      <c r="D2268" t="str">
        <f>VLOOKUP(YouTube_University_Data_Final[[#This Row],[Title]],[1]!YouTube_University_Data_Final[[Title]:[Title_language]],2,FALSE)</f>
        <v>English</v>
      </c>
      <c r="E2268" t="s">
        <v>2221</v>
      </c>
      <c r="F2268">
        <v>27</v>
      </c>
      <c r="G2268" s="1">
        <v>43570</v>
      </c>
      <c r="H2268">
        <v>218</v>
      </c>
      <c r="I2268" t="s">
        <v>2222</v>
      </c>
      <c r="J2268">
        <v>2023</v>
      </c>
      <c r="K2268">
        <v>20</v>
      </c>
      <c r="L2268">
        <v>0</v>
      </c>
      <c r="M2268">
        <v>0</v>
      </c>
      <c r="N2268" t="s">
        <v>87</v>
      </c>
      <c r="O2268">
        <v>2019</v>
      </c>
      <c r="P2268" t="s">
        <v>18</v>
      </c>
    </row>
    <row r="2269" spans="1:16" x14ac:dyDescent="0.3">
      <c r="A2269">
        <v>214</v>
      </c>
      <c r="B2269" t="s">
        <v>1921</v>
      </c>
      <c r="C2269" t="s">
        <v>2223</v>
      </c>
      <c r="D2269" t="str">
        <f>VLOOKUP(YouTube_University_Data_Final[[#This Row],[Title]],[1]!YouTube_University_Data_Final[[Title]:[Title_language]],2,FALSE)</f>
        <v>English</v>
      </c>
      <c r="E2269" t="s">
        <v>2224</v>
      </c>
      <c r="F2269">
        <v>27</v>
      </c>
      <c r="G2269" s="1">
        <v>43559</v>
      </c>
      <c r="H2269">
        <v>123</v>
      </c>
      <c r="I2269" t="s">
        <v>2225</v>
      </c>
      <c r="J2269">
        <v>26742</v>
      </c>
      <c r="K2269">
        <v>236</v>
      </c>
      <c r="L2269">
        <v>0</v>
      </c>
      <c r="M2269">
        <v>0</v>
      </c>
      <c r="N2269" t="s">
        <v>87</v>
      </c>
      <c r="O2269">
        <v>2019</v>
      </c>
      <c r="P2269" t="s">
        <v>18</v>
      </c>
    </row>
    <row r="2270" spans="1:16" x14ac:dyDescent="0.3">
      <c r="A2270">
        <v>215</v>
      </c>
      <c r="B2270" t="s">
        <v>1921</v>
      </c>
      <c r="C2270" t="s">
        <v>2226</v>
      </c>
      <c r="D2270" t="str">
        <f>VLOOKUP(YouTube_University_Data_Final[[#This Row],[Title]],[1]!YouTube_University_Data_Final[[Title]:[Title_language]],2,FALSE)</f>
        <v>English</v>
      </c>
      <c r="E2270" t="s">
        <v>2227</v>
      </c>
      <c r="F2270">
        <v>27</v>
      </c>
      <c r="G2270" s="1">
        <v>43559</v>
      </c>
      <c r="H2270">
        <v>126</v>
      </c>
      <c r="I2270" t="s">
        <v>2228</v>
      </c>
      <c r="J2270">
        <v>3681</v>
      </c>
      <c r="K2270">
        <v>44</v>
      </c>
      <c r="L2270">
        <v>0</v>
      </c>
      <c r="M2270">
        <v>0</v>
      </c>
      <c r="N2270" t="s">
        <v>87</v>
      </c>
      <c r="O2270">
        <v>2019</v>
      </c>
      <c r="P2270" t="s">
        <v>18</v>
      </c>
    </row>
    <row r="2271" spans="1:16" x14ac:dyDescent="0.3">
      <c r="A2271">
        <v>216</v>
      </c>
      <c r="B2271" t="s">
        <v>1921</v>
      </c>
      <c r="C2271" t="s">
        <v>2229</v>
      </c>
      <c r="D2271" t="str">
        <f>VLOOKUP(YouTube_University_Data_Final[[#This Row],[Title]],[1]!YouTube_University_Data_Final[[Title]:[Title_language]],2,FALSE)</f>
        <v>English</v>
      </c>
      <c r="E2271" t="s">
        <v>4912</v>
      </c>
      <c r="F2271">
        <v>27</v>
      </c>
      <c r="G2271" s="1">
        <v>43551</v>
      </c>
      <c r="H2271">
        <v>25</v>
      </c>
      <c r="I2271" t="s">
        <v>2230</v>
      </c>
      <c r="J2271">
        <v>907</v>
      </c>
      <c r="K2271">
        <v>4</v>
      </c>
      <c r="L2271">
        <v>0</v>
      </c>
      <c r="M2271">
        <v>0</v>
      </c>
      <c r="N2271" t="s">
        <v>90</v>
      </c>
      <c r="O2271">
        <v>2019</v>
      </c>
      <c r="P2271" t="s">
        <v>18</v>
      </c>
    </row>
    <row r="2272" spans="1:16" x14ac:dyDescent="0.3">
      <c r="A2272">
        <v>217</v>
      </c>
      <c r="B2272" t="s">
        <v>1921</v>
      </c>
      <c r="C2272" t="s">
        <v>4913</v>
      </c>
      <c r="D2272" t="str">
        <f>VLOOKUP(YouTube_University_Data_Final[[#This Row],[Title]],[1]!YouTube_University_Data_Final[[Title]:[Title_language]],2,FALSE)</f>
        <v>English</v>
      </c>
      <c r="E2272" t="s">
        <v>2231</v>
      </c>
      <c r="F2272">
        <v>27</v>
      </c>
      <c r="G2272" s="1">
        <v>43529</v>
      </c>
      <c r="H2272">
        <v>111</v>
      </c>
      <c r="I2272" t="s">
        <v>2232</v>
      </c>
      <c r="J2272">
        <v>205</v>
      </c>
      <c r="K2272">
        <v>0</v>
      </c>
      <c r="L2272">
        <v>0</v>
      </c>
      <c r="M2272">
        <v>0</v>
      </c>
      <c r="N2272" t="s">
        <v>90</v>
      </c>
      <c r="O2272">
        <v>2019</v>
      </c>
      <c r="P2272" t="s">
        <v>18</v>
      </c>
    </row>
    <row r="2273" spans="1:16" x14ac:dyDescent="0.3">
      <c r="A2273">
        <v>218</v>
      </c>
      <c r="B2273" t="s">
        <v>1921</v>
      </c>
      <c r="C2273" t="s">
        <v>4914</v>
      </c>
      <c r="D2273" t="str">
        <f>VLOOKUP(YouTube_University_Data_Final[[#This Row],[Title]],[1]!YouTube_University_Data_Final[[Title]:[Title_language]],2,FALSE)</f>
        <v>English</v>
      </c>
      <c r="E2273" t="s">
        <v>4915</v>
      </c>
      <c r="F2273">
        <v>27</v>
      </c>
      <c r="G2273" s="1">
        <v>43523</v>
      </c>
      <c r="H2273">
        <v>340</v>
      </c>
      <c r="I2273" t="s">
        <v>2233</v>
      </c>
      <c r="J2273">
        <v>3457</v>
      </c>
      <c r="K2273">
        <v>24</v>
      </c>
      <c r="L2273">
        <v>0</v>
      </c>
      <c r="M2273">
        <v>0</v>
      </c>
      <c r="N2273" t="s">
        <v>162</v>
      </c>
      <c r="O2273">
        <v>2019</v>
      </c>
      <c r="P2273" t="s">
        <v>18</v>
      </c>
    </row>
    <row r="2274" spans="1:16" x14ac:dyDescent="0.3">
      <c r="A2274">
        <v>219</v>
      </c>
      <c r="B2274" t="s">
        <v>1921</v>
      </c>
      <c r="C2274" t="s">
        <v>2234</v>
      </c>
      <c r="D2274" t="str">
        <f>VLOOKUP(YouTube_University_Data_Final[[#This Row],[Title]],[1]!YouTube_University_Data_Final[[Title]:[Title_language]],2,FALSE)</f>
        <v>English</v>
      </c>
      <c r="E2274" t="s">
        <v>2235</v>
      </c>
      <c r="F2274">
        <v>27</v>
      </c>
      <c r="G2274" s="1">
        <v>43510</v>
      </c>
      <c r="H2274">
        <v>209</v>
      </c>
      <c r="I2274" t="s">
        <v>2236</v>
      </c>
      <c r="J2274">
        <v>3539</v>
      </c>
      <c r="K2274">
        <v>12</v>
      </c>
      <c r="L2274">
        <v>0</v>
      </c>
      <c r="M2274">
        <v>0</v>
      </c>
      <c r="N2274" t="s">
        <v>162</v>
      </c>
      <c r="O2274">
        <v>2019</v>
      </c>
      <c r="P2274" t="s">
        <v>18</v>
      </c>
    </row>
    <row r="2275" spans="1:16" x14ac:dyDescent="0.3">
      <c r="A2275">
        <v>220</v>
      </c>
      <c r="B2275" t="s">
        <v>1921</v>
      </c>
      <c r="C2275" t="s">
        <v>4916</v>
      </c>
      <c r="D2275" t="str">
        <f>VLOOKUP(YouTube_University_Data_Final[[#This Row],[Title]],[1]!YouTube_University_Data_Final[[Title]:[Title_language]],2,FALSE)</f>
        <v>English</v>
      </c>
      <c r="E2275" t="s">
        <v>2237</v>
      </c>
      <c r="F2275">
        <v>27</v>
      </c>
      <c r="G2275" s="1">
        <v>43495</v>
      </c>
      <c r="H2275">
        <v>308</v>
      </c>
      <c r="I2275" t="s">
        <v>2238</v>
      </c>
      <c r="J2275">
        <v>778</v>
      </c>
      <c r="K2275">
        <v>3</v>
      </c>
      <c r="L2275">
        <v>0</v>
      </c>
      <c r="M2275">
        <v>0</v>
      </c>
      <c r="N2275" t="s">
        <v>93</v>
      </c>
      <c r="O2275">
        <v>2019</v>
      </c>
      <c r="P2275" t="s">
        <v>18</v>
      </c>
    </row>
    <row r="2276" spans="1:16" x14ac:dyDescent="0.3">
      <c r="A2276">
        <v>221</v>
      </c>
      <c r="B2276" t="s">
        <v>1921</v>
      </c>
      <c r="C2276" t="s">
        <v>4917</v>
      </c>
      <c r="D2276" t="str">
        <f>VLOOKUP(YouTube_University_Data_Final[[#This Row],[Title]],[1]!YouTube_University_Data_Final[[Title]:[Title_language]],2,FALSE)</f>
        <v>English</v>
      </c>
      <c r="E2276" t="s">
        <v>2239</v>
      </c>
      <c r="F2276">
        <v>27</v>
      </c>
      <c r="G2276" s="1">
        <v>43495</v>
      </c>
      <c r="H2276">
        <v>245</v>
      </c>
      <c r="I2276" t="s">
        <v>2238</v>
      </c>
      <c r="J2276">
        <v>752</v>
      </c>
      <c r="K2276">
        <v>3</v>
      </c>
      <c r="L2276">
        <v>0</v>
      </c>
      <c r="M2276">
        <v>0</v>
      </c>
      <c r="N2276" t="s">
        <v>93</v>
      </c>
      <c r="O2276">
        <v>2019</v>
      </c>
      <c r="P2276" t="s">
        <v>18</v>
      </c>
    </row>
    <row r="2277" spans="1:16" x14ac:dyDescent="0.3">
      <c r="A2277">
        <v>222</v>
      </c>
      <c r="B2277" t="s">
        <v>1921</v>
      </c>
      <c r="C2277" t="s">
        <v>4918</v>
      </c>
      <c r="D2277" t="str">
        <f>VLOOKUP(YouTube_University_Data_Final[[#This Row],[Title]],[1]!YouTube_University_Data_Final[[Title]:[Title_language]],2,FALSE)</f>
        <v>Bilingual</v>
      </c>
      <c r="E2277" t="s">
        <v>4919</v>
      </c>
      <c r="F2277">
        <v>27</v>
      </c>
      <c r="G2277" s="1">
        <v>43468</v>
      </c>
      <c r="H2277">
        <v>69</v>
      </c>
      <c r="I2277" t="s">
        <v>2240</v>
      </c>
      <c r="J2277">
        <v>471</v>
      </c>
      <c r="K2277">
        <v>3</v>
      </c>
      <c r="L2277">
        <v>0</v>
      </c>
      <c r="M2277">
        <v>0</v>
      </c>
      <c r="N2277" t="s">
        <v>93</v>
      </c>
      <c r="O2277">
        <v>2019</v>
      </c>
      <c r="P2277" t="s">
        <v>18</v>
      </c>
    </row>
    <row r="2278" spans="1:16" x14ac:dyDescent="0.3">
      <c r="A2278">
        <v>223</v>
      </c>
      <c r="B2278" t="s">
        <v>1921</v>
      </c>
      <c r="C2278" t="s">
        <v>2241</v>
      </c>
      <c r="D2278" t="str">
        <f>VLOOKUP(YouTube_University_Data_Final[[#This Row],[Title]],[1]!YouTube_University_Data_Final[[Title]:[Title_language]],2,FALSE)</f>
        <v>English</v>
      </c>
      <c r="E2278" t="s">
        <v>4920</v>
      </c>
      <c r="F2278">
        <v>27</v>
      </c>
      <c r="G2278" s="1">
        <v>43441</v>
      </c>
      <c r="H2278">
        <v>114</v>
      </c>
      <c r="I2278" t="s">
        <v>2242</v>
      </c>
      <c r="J2278">
        <v>416</v>
      </c>
      <c r="K2278">
        <v>5</v>
      </c>
      <c r="L2278">
        <v>0</v>
      </c>
      <c r="M2278">
        <v>0</v>
      </c>
      <c r="N2278" t="s">
        <v>98</v>
      </c>
      <c r="O2278">
        <v>2018</v>
      </c>
      <c r="P2278" t="s">
        <v>18</v>
      </c>
    </row>
    <row r="2279" spans="1:16" x14ac:dyDescent="0.3">
      <c r="A2279">
        <v>224</v>
      </c>
      <c r="B2279" t="s">
        <v>1921</v>
      </c>
      <c r="C2279" t="s">
        <v>2243</v>
      </c>
      <c r="D2279" t="str">
        <f>VLOOKUP(YouTube_University_Data_Final[[#This Row],[Title]],[1]!YouTube_University_Data_Final[[Title]:[Title_language]],2,FALSE)</f>
        <v>English</v>
      </c>
      <c r="E2279" t="s">
        <v>2244</v>
      </c>
      <c r="F2279">
        <v>27</v>
      </c>
      <c r="G2279" s="1">
        <v>43427</v>
      </c>
      <c r="H2279">
        <v>197</v>
      </c>
      <c r="I2279" t="s">
        <v>2245</v>
      </c>
      <c r="J2279">
        <v>537</v>
      </c>
      <c r="K2279">
        <v>1</v>
      </c>
      <c r="L2279">
        <v>0</v>
      </c>
      <c r="M2279">
        <v>0</v>
      </c>
      <c r="N2279" t="s">
        <v>101</v>
      </c>
      <c r="O2279">
        <v>2018</v>
      </c>
      <c r="P2279" t="s">
        <v>18</v>
      </c>
    </row>
    <row r="2280" spans="1:16" x14ac:dyDescent="0.3">
      <c r="A2280">
        <v>225</v>
      </c>
      <c r="B2280" t="s">
        <v>1921</v>
      </c>
      <c r="C2280" t="s">
        <v>2246</v>
      </c>
      <c r="D2280" t="str">
        <f>VLOOKUP(YouTube_University_Data_Final[[#This Row],[Title]],[1]!YouTube_University_Data_Final[[Title]:[Title_language]],2,FALSE)</f>
        <v>English</v>
      </c>
      <c r="E2280" t="s">
        <v>4921</v>
      </c>
      <c r="F2280">
        <v>27</v>
      </c>
      <c r="G2280" s="1">
        <v>43427</v>
      </c>
      <c r="H2280">
        <v>255</v>
      </c>
      <c r="I2280" t="s">
        <v>2247</v>
      </c>
      <c r="J2280">
        <v>417</v>
      </c>
      <c r="K2280">
        <v>2</v>
      </c>
      <c r="L2280">
        <v>0</v>
      </c>
      <c r="M2280">
        <v>0</v>
      </c>
      <c r="N2280" t="s">
        <v>101</v>
      </c>
      <c r="O2280">
        <v>2018</v>
      </c>
      <c r="P2280" t="s">
        <v>18</v>
      </c>
    </row>
    <row r="2281" spans="1:16" x14ac:dyDescent="0.3">
      <c r="A2281">
        <v>226</v>
      </c>
      <c r="B2281" t="s">
        <v>1921</v>
      </c>
      <c r="C2281" t="s">
        <v>2248</v>
      </c>
      <c r="D2281" t="str">
        <f>VLOOKUP(YouTube_University_Data_Final[[#This Row],[Title]],[1]!YouTube_University_Data_Final[[Title]:[Title_language]],2,FALSE)</f>
        <v>English</v>
      </c>
      <c r="E2281" t="s">
        <v>4922</v>
      </c>
      <c r="F2281">
        <v>27</v>
      </c>
      <c r="G2281" s="1">
        <v>43402</v>
      </c>
      <c r="H2281">
        <v>72</v>
      </c>
      <c r="I2281" t="s">
        <v>2249</v>
      </c>
      <c r="J2281">
        <v>558</v>
      </c>
      <c r="K2281">
        <v>3</v>
      </c>
      <c r="L2281">
        <v>0</v>
      </c>
      <c r="M2281">
        <v>0</v>
      </c>
      <c r="N2281" t="s">
        <v>17</v>
      </c>
      <c r="O2281">
        <v>2018</v>
      </c>
      <c r="P2281" t="s">
        <v>18</v>
      </c>
    </row>
    <row r="2282" spans="1:16" x14ac:dyDescent="0.3">
      <c r="A2282">
        <v>227</v>
      </c>
      <c r="B2282" t="s">
        <v>1921</v>
      </c>
      <c r="C2282" t="s">
        <v>2250</v>
      </c>
      <c r="D2282" t="str">
        <f>VLOOKUP(YouTube_University_Data_Final[[#This Row],[Title]],[1]!YouTube_University_Data_Final[[Title]:[Title_language]],2,FALSE)</f>
        <v>English</v>
      </c>
      <c r="E2282" t="s">
        <v>4923</v>
      </c>
      <c r="F2282">
        <v>27</v>
      </c>
      <c r="G2282" s="1">
        <v>43402</v>
      </c>
      <c r="H2282">
        <v>78</v>
      </c>
      <c r="I2282" t="s">
        <v>2251</v>
      </c>
      <c r="J2282">
        <v>792</v>
      </c>
      <c r="K2282">
        <v>8</v>
      </c>
      <c r="L2282">
        <v>0</v>
      </c>
      <c r="M2282">
        <v>0</v>
      </c>
      <c r="N2282" t="s">
        <v>17</v>
      </c>
      <c r="O2282">
        <v>2018</v>
      </c>
      <c r="P2282" t="s">
        <v>18</v>
      </c>
    </row>
    <row r="2283" spans="1:16" x14ac:dyDescent="0.3">
      <c r="A2283">
        <v>228</v>
      </c>
      <c r="B2283" t="s">
        <v>1921</v>
      </c>
      <c r="C2283" t="s">
        <v>2252</v>
      </c>
      <c r="D2283" t="str">
        <f>VLOOKUP(YouTube_University_Data_Final[[#This Row],[Title]],[1]!YouTube_University_Data_Final[[Title]:[Title_language]],2,FALSE)</f>
        <v>English</v>
      </c>
      <c r="E2283" t="s">
        <v>4924</v>
      </c>
      <c r="F2283">
        <v>27</v>
      </c>
      <c r="G2283" s="1">
        <v>43402</v>
      </c>
      <c r="H2283">
        <v>66</v>
      </c>
      <c r="I2283" t="s">
        <v>2253</v>
      </c>
      <c r="J2283">
        <v>433</v>
      </c>
      <c r="K2283">
        <v>6</v>
      </c>
      <c r="L2283">
        <v>0</v>
      </c>
      <c r="M2283">
        <v>0</v>
      </c>
      <c r="N2283" t="s">
        <v>17</v>
      </c>
      <c r="O2283">
        <v>2018</v>
      </c>
      <c r="P2283" t="s">
        <v>18</v>
      </c>
    </row>
    <row r="2284" spans="1:16" x14ac:dyDescent="0.3">
      <c r="A2284">
        <v>229</v>
      </c>
      <c r="B2284" t="s">
        <v>1921</v>
      </c>
      <c r="C2284" t="s">
        <v>2254</v>
      </c>
      <c r="D2284" t="str">
        <f>VLOOKUP(YouTube_University_Data_Final[[#This Row],[Title]],[1]!YouTube_University_Data_Final[[Title]:[Title_language]],2,FALSE)</f>
        <v>English</v>
      </c>
      <c r="E2284" t="s">
        <v>4925</v>
      </c>
      <c r="F2284">
        <v>27</v>
      </c>
      <c r="G2284" s="1">
        <v>43402</v>
      </c>
      <c r="H2284">
        <v>71</v>
      </c>
      <c r="I2284" t="s">
        <v>2255</v>
      </c>
      <c r="J2284">
        <v>537</v>
      </c>
      <c r="K2284">
        <v>7</v>
      </c>
      <c r="L2284">
        <v>0</v>
      </c>
      <c r="M2284">
        <v>0</v>
      </c>
      <c r="N2284" t="s">
        <v>17</v>
      </c>
      <c r="O2284">
        <v>2018</v>
      </c>
      <c r="P2284" t="s">
        <v>18</v>
      </c>
    </row>
    <row r="2285" spans="1:16" x14ac:dyDescent="0.3">
      <c r="A2285">
        <v>230</v>
      </c>
      <c r="B2285" t="s">
        <v>1921</v>
      </c>
      <c r="C2285" t="s">
        <v>2256</v>
      </c>
      <c r="D2285" t="str">
        <f>VLOOKUP(YouTube_University_Data_Final[[#This Row],[Title]],[1]!YouTube_University_Data_Final[[Title]:[Title_language]],2,FALSE)</f>
        <v>English</v>
      </c>
      <c r="E2285" t="s">
        <v>4926</v>
      </c>
      <c r="F2285">
        <v>27</v>
      </c>
      <c r="G2285" s="1">
        <v>43402</v>
      </c>
      <c r="H2285">
        <v>69</v>
      </c>
      <c r="I2285" t="s">
        <v>2257</v>
      </c>
      <c r="J2285">
        <v>946</v>
      </c>
      <c r="K2285">
        <v>7</v>
      </c>
      <c r="L2285">
        <v>0</v>
      </c>
      <c r="M2285">
        <v>0</v>
      </c>
      <c r="N2285" t="s">
        <v>17</v>
      </c>
      <c r="O2285">
        <v>2018</v>
      </c>
      <c r="P2285" t="s">
        <v>18</v>
      </c>
    </row>
    <row r="2286" spans="1:16" x14ac:dyDescent="0.3">
      <c r="A2286">
        <v>231</v>
      </c>
      <c r="B2286" t="s">
        <v>1921</v>
      </c>
      <c r="C2286" t="s">
        <v>2258</v>
      </c>
      <c r="D2286" t="str">
        <f>VLOOKUP(YouTube_University_Data_Final[[#This Row],[Title]],[1]!YouTube_University_Data_Final[[Title]:[Title_language]],2,FALSE)</f>
        <v>English</v>
      </c>
      <c r="E2286" t="s">
        <v>4927</v>
      </c>
      <c r="F2286">
        <v>27</v>
      </c>
      <c r="G2286" s="1">
        <v>43402</v>
      </c>
      <c r="H2286">
        <v>79</v>
      </c>
      <c r="I2286" t="s">
        <v>2259</v>
      </c>
      <c r="J2286">
        <v>843</v>
      </c>
      <c r="K2286">
        <v>13</v>
      </c>
      <c r="L2286">
        <v>0</v>
      </c>
      <c r="M2286">
        <v>0</v>
      </c>
      <c r="N2286" t="s">
        <v>17</v>
      </c>
      <c r="O2286">
        <v>2018</v>
      </c>
      <c r="P2286" t="s">
        <v>18</v>
      </c>
    </row>
    <row r="2287" spans="1:16" x14ac:dyDescent="0.3">
      <c r="A2287">
        <v>232</v>
      </c>
      <c r="B2287" t="s">
        <v>1921</v>
      </c>
      <c r="C2287" t="s">
        <v>2260</v>
      </c>
      <c r="D2287" t="str">
        <f>VLOOKUP(YouTube_University_Data_Final[[#This Row],[Title]],[1]!YouTube_University_Data_Final[[Title]:[Title_language]],2,FALSE)</f>
        <v>English</v>
      </c>
      <c r="E2287" t="s">
        <v>4928</v>
      </c>
      <c r="F2287">
        <v>27</v>
      </c>
      <c r="G2287" s="1">
        <v>43402</v>
      </c>
      <c r="H2287">
        <v>59</v>
      </c>
      <c r="I2287" t="s">
        <v>2261</v>
      </c>
      <c r="J2287">
        <v>816</v>
      </c>
      <c r="K2287">
        <v>5</v>
      </c>
      <c r="L2287">
        <v>0</v>
      </c>
      <c r="M2287">
        <v>0</v>
      </c>
      <c r="N2287" t="s">
        <v>17</v>
      </c>
      <c r="O2287">
        <v>2018</v>
      </c>
      <c r="P2287" t="s">
        <v>18</v>
      </c>
    </row>
    <row r="2288" spans="1:16" x14ac:dyDescent="0.3">
      <c r="A2288">
        <v>233</v>
      </c>
      <c r="B2288" t="s">
        <v>1921</v>
      </c>
      <c r="C2288" t="s">
        <v>2262</v>
      </c>
      <c r="D2288" t="str">
        <f>VLOOKUP(YouTube_University_Data_Final[[#This Row],[Title]],[1]!YouTube_University_Data_Final[[Title]:[Title_language]],2,FALSE)</f>
        <v>English</v>
      </c>
      <c r="E2288" t="s">
        <v>4929</v>
      </c>
      <c r="F2288">
        <v>27</v>
      </c>
      <c r="G2288" s="1">
        <v>43402</v>
      </c>
      <c r="H2288">
        <v>64</v>
      </c>
      <c r="I2288" t="s">
        <v>2263</v>
      </c>
      <c r="J2288">
        <v>472</v>
      </c>
      <c r="K2288">
        <v>5</v>
      </c>
      <c r="L2288">
        <v>0</v>
      </c>
      <c r="M2288">
        <v>0</v>
      </c>
      <c r="N2288" t="s">
        <v>17</v>
      </c>
      <c r="O2288">
        <v>2018</v>
      </c>
      <c r="P2288" t="s">
        <v>18</v>
      </c>
    </row>
    <row r="2289" spans="1:16" x14ac:dyDescent="0.3">
      <c r="A2289">
        <v>234</v>
      </c>
      <c r="B2289" t="s">
        <v>1921</v>
      </c>
      <c r="C2289" t="s">
        <v>4930</v>
      </c>
      <c r="D2289" t="str">
        <f>VLOOKUP(YouTube_University_Data_Final[[#This Row],[Title]],[1]!YouTube_University_Data_Final[[Title]:[Title_language]],2,FALSE)</f>
        <v>Bilingual</v>
      </c>
      <c r="E2289" t="s">
        <v>4931</v>
      </c>
      <c r="F2289">
        <v>27</v>
      </c>
      <c r="G2289" s="1">
        <v>43376</v>
      </c>
      <c r="H2289">
        <v>169</v>
      </c>
      <c r="I2289" t="s">
        <v>2264</v>
      </c>
      <c r="J2289">
        <v>533</v>
      </c>
      <c r="K2289">
        <v>2</v>
      </c>
      <c r="L2289">
        <v>0</v>
      </c>
      <c r="M2289">
        <v>0</v>
      </c>
      <c r="N2289" t="s">
        <v>17</v>
      </c>
      <c r="O2289">
        <v>2018</v>
      </c>
      <c r="P2289" t="s">
        <v>18</v>
      </c>
    </row>
    <row r="2290" spans="1:16" x14ac:dyDescent="0.3">
      <c r="A2290">
        <v>235</v>
      </c>
      <c r="B2290" t="s">
        <v>1921</v>
      </c>
      <c r="C2290" t="s">
        <v>2265</v>
      </c>
      <c r="D2290" t="str">
        <f>VLOOKUP(YouTube_University_Data_Final[[#This Row],[Title]],[1]!YouTube_University_Data_Final[[Title]:[Title_language]],2,FALSE)</f>
        <v>English</v>
      </c>
      <c r="E2290" t="s">
        <v>2266</v>
      </c>
      <c r="F2290">
        <v>27</v>
      </c>
      <c r="G2290" s="1">
        <v>43376</v>
      </c>
      <c r="H2290">
        <v>107</v>
      </c>
      <c r="I2290" t="s">
        <v>2267</v>
      </c>
      <c r="J2290">
        <v>219</v>
      </c>
      <c r="K2290">
        <v>1</v>
      </c>
      <c r="L2290">
        <v>0</v>
      </c>
      <c r="M2290">
        <v>0</v>
      </c>
      <c r="N2290" t="s">
        <v>17</v>
      </c>
      <c r="O2290">
        <v>2018</v>
      </c>
      <c r="P2290" t="s">
        <v>18</v>
      </c>
    </row>
    <row r="2291" spans="1:16" x14ac:dyDescent="0.3">
      <c r="A2291">
        <v>236</v>
      </c>
      <c r="B2291" t="s">
        <v>1921</v>
      </c>
      <c r="C2291" t="s">
        <v>2268</v>
      </c>
      <c r="D2291" t="str">
        <f>VLOOKUP(YouTube_University_Data_Final[[#This Row],[Title]],[1]!YouTube_University_Data_Final[[Title]:[Title_language]],2,FALSE)</f>
        <v>English</v>
      </c>
      <c r="E2291" t="s">
        <v>2266</v>
      </c>
      <c r="F2291">
        <v>27</v>
      </c>
      <c r="G2291" s="1">
        <v>43376</v>
      </c>
      <c r="H2291">
        <v>98</v>
      </c>
      <c r="I2291" t="s">
        <v>2267</v>
      </c>
      <c r="J2291">
        <v>179</v>
      </c>
      <c r="K2291">
        <v>0</v>
      </c>
      <c r="L2291">
        <v>0</v>
      </c>
      <c r="M2291">
        <v>0</v>
      </c>
      <c r="N2291" t="s">
        <v>17</v>
      </c>
      <c r="O2291">
        <v>2018</v>
      </c>
      <c r="P2291" t="s">
        <v>18</v>
      </c>
    </row>
    <row r="2292" spans="1:16" x14ac:dyDescent="0.3">
      <c r="A2292">
        <v>237</v>
      </c>
      <c r="B2292" t="s">
        <v>1921</v>
      </c>
      <c r="C2292" t="s">
        <v>2269</v>
      </c>
      <c r="D2292" t="str">
        <f>VLOOKUP(YouTube_University_Data_Final[[#This Row],[Title]],[1]!YouTube_University_Data_Final[[Title]:[Title_language]],2,FALSE)</f>
        <v>English</v>
      </c>
      <c r="E2292" t="s">
        <v>2266</v>
      </c>
      <c r="F2292">
        <v>27</v>
      </c>
      <c r="G2292" s="1">
        <v>43376</v>
      </c>
      <c r="H2292">
        <v>103</v>
      </c>
      <c r="I2292" t="s">
        <v>2267</v>
      </c>
      <c r="J2292">
        <v>119</v>
      </c>
      <c r="K2292">
        <v>0</v>
      </c>
      <c r="L2292">
        <v>0</v>
      </c>
      <c r="M2292">
        <v>0</v>
      </c>
      <c r="N2292" t="s">
        <v>17</v>
      </c>
      <c r="O2292">
        <v>2018</v>
      </c>
      <c r="P2292" t="s">
        <v>18</v>
      </c>
    </row>
    <row r="2293" spans="1:16" x14ac:dyDescent="0.3">
      <c r="A2293">
        <v>238</v>
      </c>
      <c r="B2293" t="s">
        <v>1921</v>
      </c>
      <c r="C2293" t="s">
        <v>2270</v>
      </c>
      <c r="D2293" t="str">
        <f>VLOOKUP(YouTube_University_Data_Final[[#This Row],[Title]],[1]!YouTube_University_Data_Final[[Title]:[Title_language]],2,FALSE)</f>
        <v>English</v>
      </c>
      <c r="E2293" t="s">
        <v>2266</v>
      </c>
      <c r="F2293">
        <v>27</v>
      </c>
      <c r="G2293" s="1">
        <v>43376</v>
      </c>
      <c r="H2293">
        <v>107</v>
      </c>
      <c r="I2293" t="s">
        <v>2267</v>
      </c>
      <c r="J2293">
        <v>178</v>
      </c>
      <c r="K2293">
        <v>0</v>
      </c>
      <c r="L2293">
        <v>0</v>
      </c>
      <c r="M2293">
        <v>0</v>
      </c>
      <c r="N2293" t="s">
        <v>17</v>
      </c>
      <c r="O2293">
        <v>2018</v>
      </c>
      <c r="P2293" t="s">
        <v>18</v>
      </c>
    </row>
    <row r="2294" spans="1:16" x14ac:dyDescent="0.3">
      <c r="A2294">
        <v>239</v>
      </c>
      <c r="B2294" t="s">
        <v>1921</v>
      </c>
      <c r="C2294" t="s">
        <v>2271</v>
      </c>
      <c r="D2294" t="str">
        <f>VLOOKUP(YouTube_University_Data_Final[[#This Row],[Title]],[1]!YouTube_University_Data_Final[[Title]:[Title_language]],2,FALSE)</f>
        <v>English</v>
      </c>
      <c r="E2294" t="s">
        <v>2266</v>
      </c>
      <c r="F2294">
        <v>27</v>
      </c>
      <c r="G2294" s="1">
        <v>43376</v>
      </c>
      <c r="H2294">
        <v>118</v>
      </c>
      <c r="I2294" t="s">
        <v>2267</v>
      </c>
      <c r="J2294">
        <v>153</v>
      </c>
      <c r="K2294">
        <v>0</v>
      </c>
      <c r="L2294">
        <v>0</v>
      </c>
      <c r="M2294">
        <v>0</v>
      </c>
      <c r="N2294" t="s">
        <v>17</v>
      </c>
      <c r="O2294">
        <v>2018</v>
      </c>
      <c r="P2294" t="s">
        <v>18</v>
      </c>
    </row>
    <row r="2295" spans="1:16" x14ac:dyDescent="0.3">
      <c r="A2295">
        <v>240</v>
      </c>
      <c r="B2295" t="s">
        <v>1921</v>
      </c>
      <c r="C2295" t="s">
        <v>2272</v>
      </c>
      <c r="D2295" t="str">
        <f>VLOOKUP(YouTube_University_Data_Final[[#This Row],[Title]],[1]!YouTube_University_Data_Final[[Title]:[Title_language]],2,FALSE)</f>
        <v>English</v>
      </c>
      <c r="E2295" t="s">
        <v>2266</v>
      </c>
      <c r="F2295">
        <v>27</v>
      </c>
      <c r="G2295" s="1">
        <v>43376</v>
      </c>
      <c r="H2295">
        <v>104</v>
      </c>
      <c r="I2295" t="s">
        <v>2267</v>
      </c>
      <c r="J2295">
        <v>183</v>
      </c>
      <c r="K2295">
        <v>0</v>
      </c>
      <c r="L2295">
        <v>0</v>
      </c>
      <c r="M2295">
        <v>0</v>
      </c>
      <c r="N2295" t="s">
        <v>17</v>
      </c>
      <c r="O2295">
        <v>2018</v>
      </c>
      <c r="P2295" t="s">
        <v>18</v>
      </c>
    </row>
    <row r="2296" spans="1:16" x14ac:dyDescent="0.3">
      <c r="A2296">
        <v>241</v>
      </c>
      <c r="B2296" t="s">
        <v>1921</v>
      </c>
      <c r="C2296" t="s">
        <v>2273</v>
      </c>
      <c r="D2296" t="str">
        <f>VLOOKUP(YouTube_University_Data_Final[[#This Row],[Title]],[1]!YouTube_University_Data_Final[[Title]:[Title_language]],2,FALSE)</f>
        <v>English</v>
      </c>
      <c r="E2296" t="s">
        <v>2266</v>
      </c>
      <c r="F2296">
        <v>27</v>
      </c>
      <c r="G2296" s="1">
        <v>43376</v>
      </c>
      <c r="H2296">
        <v>103</v>
      </c>
      <c r="I2296" t="s">
        <v>2267</v>
      </c>
      <c r="J2296">
        <v>151</v>
      </c>
      <c r="K2296">
        <v>0</v>
      </c>
      <c r="L2296">
        <v>0</v>
      </c>
      <c r="M2296">
        <v>0</v>
      </c>
      <c r="N2296" t="s">
        <v>17</v>
      </c>
      <c r="O2296">
        <v>2018</v>
      </c>
      <c r="P2296" t="s">
        <v>18</v>
      </c>
    </row>
    <row r="2297" spans="1:16" x14ac:dyDescent="0.3">
      <c r="A2297">
        <v>242</v>
      </c>
      <c r="B2297" t="s">
        <v>1921</v>
      </c>
      <c r="C2297" t="s">
        <v>2274</v>
      </c>
      <c r="D2297" t="str">
        <f>VLOOKUP(YouTube_University_Data_Final[[#This Row],[Title]],[1]!YouTube_University_Data_Final[[Title]:[Title_language]],2,FALSE)</f>
        <v>English</v>
      </c>
      <c r="E2297" t="s">
        <v>2275</v>
      </c>
      <c r="F2297">
        <v>27</v>
      </c>
      <c r="G2297" s="1">
        <v>43376</v>
      </c>
      <c r="H2297">
        <v>74</v>
      </c>
      <c r="I2297" t="s">
        <v>2267</v>
      </c>
      <c r="J2297">
        <v>108</v>
      </c>
      <c r="K2297">
        <v>0</v>
      </c>
      <c r="L2297">
        <v>0</v>
      </c>
      <c r="M2297">
        <v>0</v>
      </c>
      <c r="N2297" t="s">
        <v>17</v>
      </c>
      <c r="O2297">
        <v>2018</v>
      </c>
      <c r="P2297" t="s">
        <v>18</v>
      </c>
    </row>
    <row r="2298" spans="1:16" x14ac:dyDescent="0.3">
      <c r="A2298">
        <v>243</v>
      </c>
      <c r="B2298" t="s">
        <v>1921</v>
      </c>
      <c r="C2298" t="s">
        <v>4932</v>
      </c>
      <c r="D2298" t="str">
        <f>VLOOKUP(YouTube_University_Data_Final[[#This Row],[Title]],[1]!YouTube_University_Data_Final[[Title]:[Title_language]],2,FALSE)</f>
        <v>Chinese</v>
      </c>
      <c r="E2298" t="s">
        <v>4933</v>
      </c>
      <c r="F2298">
        <v>27</v>
      </c>
      <c r="G2298" s="1">
        <v>43371</v>
      </c>
      <c r="H2298">
        <v>102</v>
      </c>
      <c r="I2298" t="s">
        <v>4934</v>
      </c>
      <c r="J2298">
        <v>749</v>
      </c>
      <c r="K2298">
        <v>7</v>
      </c>
      <c r="L2298">
        <v>0</v>
      </c>
      <c r="M2298">
        <v>0</v>
      </c>
      <c r="N2298" t="s">
        <v>21</v>
      </c>
      <c r="O2298">
        <v>2018</v>
      </c>
      <c r="P2298" t="s">
        <v>18</v>
      </c>
    </row>
    <row r="2299" spans="1:16" x14ac:dyDescent="0.3">
      <c r="A2299">
        <v>244</v>
      </c>
      <c r="B2299" t="s">
        <v>1921</v>
      </c>
      <c r="C2299" t="s">
        <v>4935</v>
      </c>
      <c r="D2299" t="str">
        <f>VLOOKUP(YouTube_University_Data_Final[[#This Row],[Title]],[1]!YouTube_University_Data_Final[[Title]:[Title_language]],2,FALSE)</f>
        <v>English</v>
      </c>
      <c r="E2299" t="s">
        <v>4936</v>
      </c>
      <c r="F2299">
        <v>27</v>
      </c>
      <c r="G2299" s="1">
        <v>43362</v>
      </c>
      <c r="H2299">
        <v>59</v>
      </c>
      <c r="I2299" t="s">
        <v>2276</v>
      </c>
      <c r="J2299">
        <v>277</v>
      </c>
      <c r="K2299">
        <v>0</v>
      </c>
      <c r="L2299">
        <v>0</v>
      </c>
      <c r="M2299">
        <v>0</v>
      </c>
      <c r="N2299" t="s">
        <v>21</v>
      </c>
      <c r="O2299">
        <v>2018</v>
      </c>
      <c r="P2299" t="s">
        <v>18</v>
      </c>
    </row>
    <row r="2300" spans="1:16" x14ac:dyDescent="0.3">
      <c r="A2300">
        <v>245</v>
      </c>
      <c r="B2300" t="s">
        <v>1921</v>
      </c>
      <c r="C2300" t="s">
        <v>2277</v>
      </c>
      <c r="D2300" t="str">
        <f>VLOOKUP(YouTube_University_Data_Final[[#This Row],[Title]],[1]!YouTube_University_Data_Final[[Title]:[Title_language]],2,FALSE)</f>
        <v>English</v>
      </c>
      <c r="E2300" t="s">
        <v>2278</v>
      </c>
      <c r="F2300">
        <v>27</v>
      </c>
      <c r="G2300" s="1">
        <v>43355</v>
      </c>
      <c r="H2300">
        <v>145</v>
      </c>
      <c r="I2300" t="s">
        <v>2279</v>
      </c>
      <c r="J2300">
        <v>432</v>
      </c>
      <c r="K2300">
        <v>2</v>
      </c>
      <c r="L2300">
        <v>0</v>
      </c>
      <c r="M2300">
        <v>0</v>
      </c>
      <c r="N2300" t="s">
        <v>21</v>
      </c>
      <c r="O2300">
        <v>2018</v>
      </c>
      <c r="P2300" t="s">
        <v>18</v>
      </c>
    </row>
    <row r="2301" spans="1:16" x14ac:dyDescent="0.3">
      <c r="A2301">
        <v>246</v>
      </c>
      <c r="B2301" t="s">
        <v>1921</v>
      </c>
      <c r="C2301" t="s">
        <v>2280</v>
      </c>
      <c r="D2301" t="str">
        <f>VLOOKUP(YouTube_University_Data_Final[[#This Row],[Title]],[1]!YouTube_University_Data_Final[[Title]:[Title_language]],2,FALSE)</f>
        <v>English</v>
      </c>
      <c r="E2301" t="s">
        <v>2281</v>
      </c>
      <c r="F2301">
        <v>27</v>
      </c>
      <c r="G2301" s="1">
        <v>43318</v>
      </c>
      <c r="H2301">
        <v>148</v>
      </c>
      <c r="I2301" t="s">
        <v>2282</v>
      </c>
      <c r="J2301">
        <v>3837</v>
      </c>
      <c r="K2301">
        <v>30</v>
      </c>
      <c r="L2301">
        <v>0</v>
      </c>
      <c r="M2301">
        <v>0</v>
      </c>
      <c r="N2301" t="s">
        <v>48</v>
      </c>
      <c r="O2301">
        <v>2018</v>
      </c>
      <c r="P2301" t="s">
        <v>18</v>
      </c>
    </row>
    <row r="2302" spans="1:16" x14ac:dyDescent="0.3">
      <c r="A2302">
        <v>247</v>
      </c>
      <c r="B2302" t="s">
        <v>1921</v>
      </c>
      <c r="C2302" t="s">
        <v>2283</v>
      </c>
      <c r="D2302" t="str">
        <f>VLOOKUP(YouTube_University_Data_Final[[#This Row],[Title]],[1]!YouTube_University_Data_Final[[Title]:[Title_language]],2,FALSE)</f>
        <v>English</v>
      </c>
      <c r="E2302" t="s">
        <v>2284</v>
      </c>
      <c r="F2302">
        <v>27</v>
      </c>
      <c r="G2302" s="1">
        <v>43301</v>
      </c>
      <c r="H2302">
        <v>144</v>
      </c>
      <c r="I2302" t="s">
        <v>2285</v>
      </c>
      <c r="J2302">
        <v>1244</v>
      </c>
      <c r="K2302">
        <v>2</v>
      </c>
      <c r="L2302">
        <v>0</v>
      </c>
      <c r="M2302">
        <v>0</v>
      </c>
      <c r="N2302" t="s">
        <v>56</v>
      </c>
      <c r="O2302">
        <v>2018</v>
      </c>
      <c r="P2302" t="s">
        <v>18</v>
      </c>
    </row>
    <row r="2303" spans="1:16" x14ac:dyDescent="0.3">
      <c r="A2303">
        <v>248</v>
      </c>
      <c r="B2303" t="s">
        <v>1921</v>
      </c>
      <c r="C2303" t="s">
        <v>4937</v>
      </c>
      <c r="D2303" t="str">
        <f>VLOOKUP(YouTube_University_Data_Final[[#This Row],[Title]],[1]!YouTube_University_Data_Final[[Title]:[Title_language]],2,FALSE)</f>
        <v>English</v>
      </c>
      <c r="E2303" t="s">
        <v>4937</v>
      </c>
      <c r="F2303">
        <v>27</v>
      </c>
      <c r="G2303" s="1">
        <v>43280</v>
      </c>
      <c r="H2303">
        <v>348</v>
      </c>
      <c r="I2303" t="s">
        <v>2286</v>
      </c>
      <c r="J2303">
        <v>646</v>
      </c>
      <c r="K2303">
        <v>7</v>
      </c>
      <c r="L2303">
        <v>0</v>
      </c>
      <c r="M2303">
        <v>0</v>
      </c>
      <c r="N2303" t="s">
        <v>78</v>
      </c>
      <c r="O2303">
        <v>2018</v>
      </c>
      <c r="P2303" t="s">
        <v>18</v>
      </c>
    </row>
    <row r="2304" spans="1:16" x14ac:dyDescent="0.3">
      <c r="A2304">
        <v>249</v>
      </c>
      <c r="B2304" t="s">
        <v>1921</v>
      </c>
      <c r="C2304" t="s">
        <v>2287</v>
      </c>
      <c r="D2304" t="str">
        <f>VLOOKUP(YouTube_University_Data_Final[[#This Row],[Title]],[1]!YouTube_University_Data_Final[[Title]:[Title_language]],2,FALSE)</f>
        <v>English</v>
      </c>
      <c r="E2304" t="s">
        <v>2288</v>
      </c>
      <c r="F2304">
        <v>27</v>
      </c>
      <c r="G2304" s="1">
        <v>43277</v>
      </c>
      <c r="H2304">
        <v>46</v>
      </c>
      <c r="I2304" t="s">
        <v>2289</v>
      </c>
      <c r="J2304">
        <v>348</v>
      </c>
      <c r="K2304">
        <v>2</v>
      </c>
      <c r="L2304">
        <v>0</v>
      </c>
      <c r="M2304">
        <v>0</v>
      </c>
      <c r="N2304" t="s">
        <v>78</v>
      </c>
      <c r="O2304">
        <v>2018</v>
      </c>
      <c r="P2304" t="s">
        <v>18</v>
      </c>
    </row>
    <row r="2305" spans="1:16" x14ac:dyDescent="0.3">
      <c r="A2305">
        <v>250</v>
      </c>
      <c r="B2305" t="s">
        <v>1921</v>
      </c>
      <c r="C2305" t="s">
        <v>2290</v>
      </c>
      <c r="D2305" t="str">
        <f>VLOOKUP(YouTube_University_Data_Final[[#This Row],[Title]],[1]!YouTube_University_Data_Final[[Title]:[Title_language]],2,FALSE)</f>
        <v>English</v>
      </c>
      <c r="E2305" t="s">
        <v>4938</v>
      </c>
      <c r="F2305">
        <v>27</v>
      </c>
      <c r="G2305" s="1">
        <v>43277</v>
      </c>
      <c r="H2305">
        <v>167</v>
      </c>
      <c r="I2305" t="s">
        <v>2291</v>
      </c>
      <c r="J2305">
        <v>419</v>
      </c>
      <c r="K2305">
        <v>1</v>
      </c>
      <c r="L2305">
        <v>0</v>
      </c>
      <c r="M2305">
        <v>0</v>
      </c>
      <c r="N2305" t="s">
        <v>78</v>
      </c>
      <c r="O2305">
        <v>2018</v>
      </c>
      <c r="P2305" t="s">
        <v>18</v>
      </c>
    </row>
    <row r="2306" spans="1:16" x14ac:dyDescent="0.3">
      <c r="A2306">
        <v>251</v>
      </c>
      <c r="B2306" t="s">
        <v>1921</v>
      </c>
      <c r="C2306" t="s">
        <v>2292</v>
      </c>
      <c r="D2306" t="str">
        <f>VLOOKUP(YouTube_University_Data_Final[[#This Row],[Title]],[1]!YouTube_University_Data_Final[[Title]:[Title_language]],2,FALSE)</f>
        <v>English</v>
      </c>
      <c r="E2306" t="s">
        <v>2293</v>
      </c>
      <c r="F2306">
        <v>27</v>
      </c>
      <c r="G2306" s="1">
        <v>43264</v>
      </c>
      <c r="H2306">
        <v>118</v>
      </c>
      <c r="I2306" t="s">
        <v>2294</v>
      </c>
      <c r="J2306">
        <v>694</v>
      </c>
      <c r="K2306">
        <v>2</v>
      </c>
      <c r="L2306">
        <v>0</v>
      </c>
      <c r="M2306">
        <v>0</v>
      </c>
      <c r="N2306" t="s">
        <v>78</v>
      </c>
      <c r="O2306">
        <v>2018</v>
      </c>
      <c r="P2306" t="s">
        <v>18</v>
      </c>
    </row>
    <row r="2307" spans="1:16" x14ac:dyDescent="0.3">
      <c r="A2307">
        <v>252</v>
      </c>
      <c r="B2307" t="s">
        <v>1921</v>
      </c>
      <c r="C2307" t="s">
        <v>4939</v>
      </c>
      <c r="D2307" t="str">
        <f>VLOOKUP(YouTube_University_Data_Final[[#This Row],[Title]],[1]!YouTube_University_Data_Final[[Title]:[Title_language]],2,FALSE)</f>
        <v>English</v>
      </c>
      <c r="E2307" t="s">
        <v>4940</v>
      </c>
      <c r="F2307">
        <v>27</v>
      </c>
      <c r="G2307" s="1">
        <v>43262</v>
      </c>
      <c r="H2307">
        <v>114</v>
      </c>
      <c r="I2307" t="s">
        <v>2295</v>
      </c>
      <c r="J2307">
        <v>651</v>
      </c>
      <c r="K2307">
        <v>2</v>
      </c>
      <c r="L2307">
        <v>0</v>
      </c>
      <c r="M2307">
        <v>0</v>
      </c>
      <c r="N2307" t="s">
        <v>78</v>
      </c>
      <c r="O2307">
        <v>2018</v>
      </c>
      <c r="P2307" t="s">
        <v>18</v>
      </c>
    </row>
    <row r="2308" spans="1:16" x14ac:dyDescent="0.3">
      <c r="A2308">
        <v>253</v>
      </c>
      <c r="B2308" t="s">
        <v>1921</v>
      </c>
      <c r="C2308" t="s">
        <v>2296</v>
      </c>
      <c r="D2308" t="str">
        <f>VLOOKUP(YouTube_University_Data_Final[[#This Row],[Title]],[1]!YouTube_University_Data_Final[[Title]:[Title_language]],2,FALSE)</f>
        <v>English</v>
      </c>
      <c r="E2308" t="s">
        <v>4941</v>
      </c>
      <c r="F2308">
        <v>27</v>
      </c>
      <c r="G2308" s="1">
        <v>43248</v>
      </c>
      <c r="H2308">
        <v>332</v>
      </c>
      <c r="I2308" t="s">
        <v>2297</v>
      </c>
      <c r="J2308">
        <v>2947</v>
      </c>
      <c r="K2308">
        <v>25</v>
      </c>
      <c r="L2308">
        <v>0</v>
      </c>
      <c r="M2308">
        <v>0</v>
      </c>
      <c r="N2308" t="s">
        <v>81</v>
      </c>
      <c r="O2308">
        <v>2018</v>
      </c>
      <c r="P2308" t="s">
        <v>18</v>
      </c>
    </row>
    <row r="2309" spans="1:16" x14ac:dyDescent="0.3">
      <c r="A2309">
        <v>254</v>
      </c>
      <c r="B2309" t="s">
        <v>1921</v>
      </c>
      <c r="C2309" t="s">
        <v>4942</v>
      </c>
      <c r="D2309" t="str">
        <f>VLOOKUP(YouTube_University_Data_Final[[#This Row],[Title]],[1]!YouTube_University_Data_Final[[Title]:[Title_language]],2,FALSE)</f>
        <v>Chinese</v>
      </c>
      <c r="E2309" t="s">
        <v>4941</v>
      </c>
      <c r="F2309">
        <v>27</v>
      </c>
      <c r="G2309" s="1">
        <v>43248</v>
      </c>
      <c r="H2309">
        <v>313</v>
      </c>
      <c r="I2309" t="s">
        <v>2298</v>
      </c>
      <c r="J2309">
        <v>1776</v>
      </c>
      <c r="K2309">
        <v>14</v>
      </c>
      <c r="L2309">
        <v>0</v>
      </c>
      <c r="M2309">
        <v>0</v>
      </c>
      <c r="N2309" t="s">
        <v>81</v>
      </c>
      <c r="O2309">
        <v>2018</v>
      </c>
      <c r="P2309" t="s">
        <v>18</v>
      </c>
    </row>
    <row r="2310" spans="1:16" x14ac:dyDescent="0.3">
      <c r="A2310">
        <v>255</v>
      </c>
      <c r="B2310" t="s">
        <v>1921</v>
      </c>
      <c r="C2310" t="s">
        <v>2299</v>
      </c>
      <c r="D2310" t="str">
        <f>VLOOKUP(YouTube_University_Data_Final[[#This Row],[Title]],[1]!YouTube_University_Data_Final[[Title]:[Title_language]],2,FALSE)</f>
        <v>English</v>
      </c>
      <c r="E2310" t="s">
        <v>2300</v>
      </c>
      <c r="F2310">
        <v>27</v>
      </c>
      <c r="G2310" s="1">
        <v>43220</v>
      </c>
      <c r="H2310">
        <v>4587</v>
      </c>
      <c r="I2310" t="s">
        <v>2301</v>
      </c>
      <c r="J2310">
        <v>512</v>
      </c>
      <c r="K2310">
        <v>5</v>
      </c>
      <c r="L2310">
        <v>0</v>
      </c>
      <c r="M2310">
        <v>0</v>
      </c>
      <c r="N2310" t="s">
        <v>87</v>
      </c>
      <c r="O2310">
        <v>2018</v>
      </c>
      <c r="P2310" t="s">
        <v>18</v>
      </c>
    </row>
    <row r="2311" spans="1:16" x14ac:dyDescent="0.3">
      <c r="A2311">
        <v>256</v>
      </c>
      <c r="B2311" t="s">
        <v>1921</v>
      </c>
      <c r="C2311" t="s">
        <v>2302</v>
      </c>
      <c r="D2311" t="str">
        <f>VLOOKUP(YouTube_University_Data_Final[[#This Row],[Title]],[1]!YouTube_University_Data_Final[[Title]:[Title_language]],2,FALSE)</f>
        <v>English</v>
      </c>
      <c r="E2311" t="s">
        <v>2303</v>
      </c>
      <c r="F2311">
        <v>27</v>
      </c>
      <c r="G2311" s="1">
        <v>43220</v>
      </c>
      <c r="H2311">
        <v>4429</v>
      </c>
      <c r="I2311" t="s">
        <v>2304</v>
      </c>
      <c r="J2311">
        <v>298</v>
      </c>
      <c r="K2311">
        <v>0</v>
      </c>
      <c r="L2311">
        <v>0</v>
      </c>
      <c r="M2311">
        <v>0</v>
      </c>
      <c r="N2311" t="s">
        <v>87</v>
      </c>
      <c r="O2311">
        <v>2018</v>
      </c>
      <c r="P2311" t="s">
        <v>18</v>
      </c>
    </row>
    <row r="2312" spans="1:16" x14ac:dyDescent="0.3">
      <c r="A2312">
        <v>257</v>
      </c>
      <c r="B2312" t="s">
        <v>1921</v>
      </c>
      <c r="C2312" t="s">
        <v>4943</v>
      </c>
      <c r="D2312" t="str">
        <f>VLOOKUP(YouTube_University_Data_Final[[#This Row],[Title]],[1]!YouTube_University_Data_Final[[Title]:[Title_language]],2,FALSE)</f>
        <v>Bilingual</v>
      </c>
      <c r="E2312" t="s">
        <v>4944</v>
      </c>
      <c r="F2312">
        <v>27</v>
      </c>
      <c r="G2312" s="1">
        <v>43201</v>
      </c>
      <c r="H2312">
        <v>233</v>
      </c>
      <c r="I2312" t="s">
        <v>2305</v>
      </c>
      <c r="J2312">
        <v>186</v>
      </c>
      <c r="K2312">
        <v>0</v>
      </c>
      <c r="L2312">
        <v>0</v>
      </c>
      <c r="M2312">
        <v>0</v>
      </c>
      <c r="N2312" t="s">
        <v>87</v>
      </c>
      <c r="O2312">
        <v>2018</v>
      </c>
      <c r="P2312" t="s">
        <v>18</v>
      </c>
    </row>
    <row r="2313" spans="1:16" x14ac:dyDescent="0.3">
      <c r="A2313">
        <v>258</v>
      </c>
      <c r="B2313" t="s">
        <v>1921</v>
      </c>
      <c r="C2313" t="s">
        <v>4945</v>
      </c>
      <c r="D2313" t="str">
        <f>VLOOKUP(YouTube_University_Data_Final[[#This Row],[Title]],[1]!YouTube_University_Data_Final[[Title]:[Title_language]],2,FALSE)</f>
        <v>Bilingual</v>
      </c>
      <c r="E2313" t="s">
        <v>4946</v>
      </c>
      <c r="F2313">
        <v>27</v>
      </c>
      <c r="G2313" s="1">
        <v>43201</v>
      </c>
      <c r="H2313">
        <v>326</v>
      </c>
      <c r="I2313" t="s">
        <v>2306</v>
      </c>
      <c r="J2313">
        <v>536</v>
      </c>
      <c r="K2313">
        <v>0</v>
      </c>
      <c r="L2313">
        <v>0</v>
      </c>
      <c r="M2313">
        <v>0</v>
      </c>
      <c r="N2313" t="s">
        <v>87</v>
      </c>
      <c r="O2313">
        <v>2018</v>
      </c>
      <c r="P2313" t="s">
        <v>18</v>
      </c>
    </row>
    <row r="2314" spans="1:16" x14ac:dyDescent="0.3">
      <c r="A2314">
        <v>259</v>
      </c>
      <c r="B2314" t="s">
        <v>1921</v>
      </c>
      <c r="C2314" t="s">
        <v>4947</v>
      </c>
      <c r="D2314" t="str">
        <f>VLOOKUP(YouTube_University_Data_Final[[#This Row],[Title]],[1]!YouTube_University_Data_Final[[Title]:[Title_language]],2,FALSE)</f>
        <v>English</v>
      </c>
      <c r="E2314" t="s">
        <v>4948</v>
      </c>
      <c r="F2314">
        <v>27</v>
      </c>
      <c r="G2314" s="1">
        <v>43201</v>
      </c>
      <c r="H2314">
        <v>212</v>
      </c>
      <c r="I2314" t="s">
        <v>2307</v>
      </c>
      <c r="J2314">
        <v>148</v>
      </c>
      <c r="K2314">
        <v>1</v>
      </c>
      <c r="L2314">
        <v>0</v>
      </c>
      <c r="M2314">
        <v>0</v>
      </c>
      <c r="N2314" t="s">
        <v>87</v>
      </c>
      <c r="O2314">
        <v>2018</v>
      </c>
      <c r="P2314" t="s">
        <v>18</v>
      </c>
    </row>
    <row r="2315" spans="1:16" x14ac:dyDescent="0.3">
      <c r="A2315">
        <v>260</v>
      </c>
      <c r="B2315" t="s">
        <v>1921</v>
      </c>
      <c r="C2315" t="s">
        <v>2308</v>
      </c>
      <c r="D2315" t="str">
        <f>VLOOKUP(YouTube_University_Data_Final[[#This Row],[Title]],[1]!YouTube_University_Data_Final[[Title]:[Title_language]],2,FALSE)</f>
        <v>English</v>
      </c>
      <c r="E2315" t="s">
        <v>2309</v>
      </c>
      <c r="F2315">
        <v>27</v>
      </c>
      <c r="G2315" s="1">
        <v>43186</v>
      </c>
      <c r="H2315">
        <v>281</v>
      </c>
      <c r="I2315" t="s">
        <v>2310</v>
      </c>
      <c r="J2315">
        <v>2465</v>
      </c>
      <c r="K2315">
        <v>14</v>
      </c>
      <c r="L2315">
        <v>0</v>
      </c>
      <c r="M2315">
        <v>0</v>
      </c>
      <c r="N2315" t="s">
        <v>90</v>
      </c>
      <c r="O2315">
        <v>2018</v>
      </c>
      <c r="P2315" t="s">
        <v>18</v>
      </c>
    </row>
    <row r="2316" spans="1:16" x14ac:dyDescent="0.3">
      <c r="A2316">
        <v>261</v>
      </c>
      <c r="B2316" t="s">
        <v>1921</v>
      </c>
      <c r="C2316" t="s">
        <v>4949</v>
      </c>
      <c r="D2316" t="str">
        <f>VLOOKUP(YouTube_University_Data_Final[[#This Row],[Title]],[1]!YouTube_University_Data_Final[[Title]:[Title_language]],2,FALSE)</f>
        <v>English</v>
      </c>
      <c r="E2316" t="s">
        <v>4950</v>
      </c>
      <c r="F2316">
        <v>27</v>
      </c>
      <c r="G2316" s="1">
        <v>43164</v>
      </c>
      <c r="H2316">
        <v>10</v>
      </c>
      <c r="I2316" t="s">
        <v>2311</v>
      </c>
      <c r="J2316">
        <v>4323</v>
      </c>
      <c r="K2316">
        <v>30</v>
      </c>
      <c r="L2316">
        <v>0</v>
      </c>
      <c r="M2316">
        <v>0</v>
      </c>
      <c r="N2316" t="s">
        <v>90</v>
      </c>
      <c r="O2316">
        <v>2018</v>
      </c>
      <c r="P2316" t="s">
        <v>18</v>
      </c>
    </row>
    <row r="2317" spans="1:16" x14ac:dyDescent="0.3">
      <c r="A2317">
        <v>262</v>
      </c>
      <c r="B2317" t="s">
        <v>1921</v>
      </c>
      <c r="C2317" t="s">
        <v>2312</v>
      </c>
      <c r="D2317" t="str">
        <f>VLOOKUP(YouTube_University_Data_Final[[#This Row],[Title]],[1]!YouTube_University_Data_Final[[Title]:[Title_language]],2,FALSE)</f>
        <v>English</v>
      </c>
      <c r="E2317" t="s">
        <v>2313</v>
      </c>
      <c r="F2317">
        <v>27</v>
      </c>
      <c r="G2317" s="1">
        <v>43139</v>
      </c>
      <c r="H2317">
        <v>6350</v>
      </c>
      <c r="I2317" t="s">
        <v>2314</v>
      </c>
      <c r="J2317">
        <v>36702</v>
      </c>
      <c r="K2317">
        <v>2</v>
      </c>
      <c r="L2317">
        <v>0</v>
      </c>
      <c r="M2317">
        <v>0</v>
      </c>
      <c r="N2317" t="s">
        <v>162</v>
      </c>
      <c r="O2317">
        <v>2018</v>
      </c>
      <c r="P2317" t="s">
        <v>18</v>
      </c>
    </row>
    <row r="2318" spans="1:16" x14ac:dyDescent="0.3">
      <c r="A2318">
        <v>263</v>
      </c>
      <c r="B2318" t="s">
        <v>1921</v>
      </c>
      <c r="C2318" t="s">
        <v>4951</v>
      </c>
      <c r="D2318" t="str">
        <f>VLOOKUP(YouTube_University_Data_Final[[#This Row],[Title]],[1]!YouTube_University_Data_Final[[Title]:[Title_language]],2,FALSE)</f>
        <v>Bilingual</v>
      </c>
      <c r="E2318" t="s">
        <v>2944</v>
      </c>
      <c r="F2318">
        <v>27</v>
      </c>
      <c r="G2318" s="1">
        <v>43105</v>
      </c>
      <c r="H2318">
        <v>225</v>
      </c>
      <c r="I2318" t="s">
        <v>2315</v>
      </c>
      <c r="J2318">
        <v>2985</v>
      </c>
      <c r="K2318">
        <v>4</v>
      </c>
      <c r="L2318">
        <v>0</v>
      </c>
      <c r="M2318">
        <v>0</v>
      </c>
      <c r="N2318" t="s">
        <v>93</v>
      </c>
      <c r="O2318">
        <v>2018</v>
      </c>
      <c r="P2318" t="s">
        <v>18</v>
      </c>
    </row>
    <row r="2319" spans="1:16" x14ac:dyDescent="0.3">
      <c r="A2319">
        <v>264</v>
      </c>
      <c r="B2319" t="s">
        <v>1921</v>
      </c>
      <c r="C2319" t="s">
        <v>4952</v>
      </c>
      <c r="D2319" t="str">
        <f>VLOOKUP(YouTube_University_Data_Final[[#This Row],[Title]],[1]!YouTube_University_Data_Final[[Title]:[Title_language]],2,FALSE)</f>
        <v>Bilingual</v>
      </c>
      <c r="E2319" t="s">
        <v>4953</v>
      </c>
      <c r="F2319">
        <v>27</v>
      </c>
      <c r="G2319" s="1">
        <v>43098</v>
      </c>
      <c r="H2319">
        <v>391</v>
      </c>
      <c r="I2319" t="s">
        <v>2316</v>
      </c>
      <c r="J2319">
        <v>2523</v>
      </c>
      <c r="K2319">
        <v>8</v>
      </c>
      <c r="L2319">
        <v>0</v>
      </c>
      <c r="M2319">
        <v>0</v>
      </c>
      <c r="N2319" t="s">
        <v>98</v>
      </c>
      <c r="O2319">
        <v>2017</v>
      </c>
      <c r="P2319" t="s">
        <v>18</v>
      </c>
    </row>
    <row r="2320" spans="1:16" x14ac:dyDescent="0.3">
      <c r="A2320">
        <v>265</v>
      </c>
      <c r="B2320" t="s">
        <v>1921</v>
      </c>
      <c r="C2320" t="s">
        <v>2317</v>
      </c>
      <c r="D2320" t="str">
        <f>VLOOKUP(YouTube_University_Data_Final[[#This Row],[Title]],[1]!YouTube_University_Data_Final[[Title]:[Title_language]],2,FALSE)</f>
        <v>English</v>
      </c>
      <c r="E2320" t="s">
        <v>4954</v>
      </c>
      <c r="F2320">
        <v>27</v>
      </c>
      <c r="G2320" s="1">
        <v>43096</v>
      </c>
      <c r="H2320">
        <v>212</v>
      </c>
      <c r="I2320" t="s">
        <v>2318</v>
      </c>
      <c r="J2320">
        <v>881</v>
      </c>
      <c r="K2320">
        <v>3</v>
      </c>
      <c r="L2320">
        <v>0</v>
      </c>
      <c r="M2320">
        <v>0</v>
      </c>
      <c r="N2320" t="s">
        <v>98</v>
      </c>
      <c r="O2320">
        <v>2017</v>
      </c>
      <c r="P2320" t="s">
        <v>18</v>
      </c>
    </row>
    <row r="2321" spans="1:16" x14ac:dyDescent="0.3">
      <c r="A2321">
        <v>266</v>
      </c>
      <c r="B2321" t="s">
        <v>1921</v>
      </c>
      <c r="C2321" t="s">
        <v>2319</v>
      </c>
      <c r="D2321" t="str">
        <f>VLOOKUP(YouTube_University_Data_Final[[#This Row],[Title]],[1]!YouTube_University_Data_Final[[Title]:[Title_language]],2,FALSE)</f>
        <v>English</v>
      </c>
      <c r="E2321" t="s">
        <v>2320</v>
      </c>
      <c r="F2321">
        <v>27</v>
      </c>
      <c r="G2321" s="1">
        <v>43096</v>
      </c>
      <c r="H2321">
        <v>144</v>
      </c>
      <c r="I2321" t="s">
        <v>2321</v>
      </c>
      <c r="J2321">
        <v>1178</v>
      </c>
      <c r="K2321">
        <v>6</v>
      </c>
      <c r="L2321">
        <v>0</v>
      </c>
      <c r="M2321">
        <v>0</v>
      </c>
      <c r="N2321" t="s">
        <v>98</v>
      </c>
      <c r="O2321">
        <v>2017</v>
      </c>
      <c r="P2321" t="s">
        <v>18</v>
      </c>
    </row>
    <row r="2322" spans="1:16" x14ac:dyDescent="0.3">
      <c r="A2322">
        <v>267</v>
      </c>
      <c r="B2322" t="s">
        <v>1921</v>
      </c>
      <c r="C2322" t="s">
        <v>2322</v>
      </c>
      <c r="D2322" t="str">
        <f>VLOOKUP(YouTube_University_Data_Final[[#This Row],[Title]],[1]!YouTube_University_Data_Final[[Title]:[Title_language]],2,FALSE)</f>
        <v>English</v>
      </c>
      <c r="E2322" t="s">
        <v>2323</v>
      </c>
      <c r="F2322">
        <v>27</v>
      </c>
      <c r="G2322" s="1">
        <v>43090</v>
      </c>
      <c r="H2322">
        <v>121</v>
      </c>
      <c r="I2322" t="s">
        <v>2324</v>
      </c>
      <c r="J2322">
        <v>262</v>
      </c>
      <c r="K2322">
        <v>1</v>
      </c>
      <c r="L2322">
        <v>0</v>
      </c>
      <c r="M2322">
        <v>0</v>
      </c>
      <c r="N2322" t="s">
        <v>98</v>
      </c>
      <c r="O2322">
        <v>2017</v>
      </c>
      <c r="P2322" t="s">
        <v>18</v>
      </c>
    </row>
    <row r="2323" spans="1:16" x14ac:dyDescent="0.3">
      <c r="A2323">
        <v>268</v>
      </c>
      <c r="B2323" t="s">
        <v>1921</v>
      </c>
      <c r="C2323" t="s">
        <v>2325</v>
      </c>
      <c r="D2323" t="str">
        <f>VLOOKUP(YouTube_University_Data_Final[[#This Row],[Title]],[1]!YouTube_University_Data_Final[[Title]:[Title_language]],2,FALSE)</f>
        <v>English</v>
      </c>
      <c r="E2323" t="s">
        <v>2323</v>
      </c>
      <c r="F2323">
        <v>27</v>
      </c>
      <c r="G2323" s="1">
        <v>43090</v>
      </c>
      <c r="H2323">
        <v>146</v>
      </c>
      <c r="I2323" t="s">
        <v>2326</v>
      </c>
      <c r="J2323">
        <v>217</v>
      </c>
      <c r="K2323">
        <v>1</v>
      </c>
      <c r="L2323">
        <v>0</v>
      </c>
      <c r="M2323">
        <v>0</v>
      </c>
      <c r="N2323" t="s">
        <v>98</v>
      </c>
      <c r="O2323">
        <v>2017</v>
      </c>
      <c r="P2323" t="s">
        <v>18</v>
      </c>
    </row>
    <row r="2324" spans="1:16" x14ac:dyDescent="0.3">
      <c r="A2324">
        <v>269</v>
      </c>
      <c r="B2324" t="s">
        <v>1921</v>
      </c>
      <c r="C2324" t="s">
        <v>2327</v>
      </c>
      <c r="D2324" t="str">
        <f>VLOOKUP(YouTube_University_Data_Final[[#This Row],[Title]],[1]!YouTube_University_Data_Final[[Title]:[Title_language]],2,FALSE)</f>
        <v>English</v>
      </c>
      <c r="E2324" t="s">
        <v>2323</v>
      </c>
      <c r="F2324">
        <v>27</v>
      </c>
      <c r="G2324" s="1">
        <v>43090</v>
      </c>
      <c r="H2324">
        <v>82</v>
      </c>
      <c r="I2324" t="s">
        <v>2328</v>
      </c>
      <c r="J2324">
        <v>155</v>
      </c>
      <c r="K2324">
        <v>0</v>
      </c>
      <c r="L2324">
        <v>0</v>
      </c>
      <c r="M2324">
        <v>0</v>
      </c>
      <c r="N2324" t="s">
        <v>98</v>
      </c>
      <c r="O2324">
        <v>2017</v>
      </c>
      <c r="P2324" t="s">
        <v>18</v>
      </c>
    </row>
    <row r="2325" spans="1:16" x14ac:dyDescent="0.3">
      <c r="A2325">
        <v>270</v>
      </c>
      <c r="B2325" t="s">
        <v>1921</v>
      </c>
      <c r="C2325" t="s">
        <v>4955</v>
      </c>
      <c r="D2325" t="str">
        <f>VLOOKUP(YouTube_University_Data_Final[[#This Row],[Title]],[1]!YouTube_University_Data_Final[[Title]:[Title_language]],2,FALSE)</f>
        <v>Bilingual</v>
      </c>
      <c r="E2325" t="s">
        <v>4956</v>
      </c>
      <c r="F2325">
        <v>27</v>
      </c>
      <c r="G2325" s="1">
        <v>43080</v>
      </c>
      <c r="H2325">
        <v>35</v>
      </c>
      <c r="I2325" t="s">
        <v>2329</v>
      </c>
      <c r="J2325">
        <v>1194</v>
      </c>
      <c r="K2325">
        <v>7</v>
      </c>
      <c r="L2325">
        <v>0</v>
      </c>
      <c r="M2325">
        <v>0</v>
      </c>
      <c r="N2325" t="s">
        <v>98</v>
      </c>
      <c r="O2325">
        <v>2017</v>
      </c>
      <c r="P2325" t="s">
        <v>18</v>
      </c>
    </row>
    <row r="2326" spans="1:16" x14ac:dyDescent="0.3">
      <c r="A2326">
        <v>271</v>
      </c>
      <c r="B2326" t="s">
        <v>1921</v>
      </c>
      <c r="C2326" t="s">
        <v>2330</v>
      </c>
      <c r="D2326" t="str">
        <f>VLOOKUP(YouTube_University_Data_Final[[#This Row],[Title]],[1]!YouTube_University_Data_Final[[Title]:[Title_language]],2,FALSE)</f>
        <v>English</v>
      </c>
      <c r="E2326" t="s">
        <v>2331</v>
      </c>
      <c r="F2326">
        <v>27</v>
      </c>
      <c r="G2326" s="1">
        <v>43080</v>
      </c>
      <c r="H2326">
        <v>266</v>
      </c>
      <c r="I2326" t="s">
        <v>2332</v>
      </c>
      <c r="J2326">
        <v>229</v>
      </c>
      <c r="K2326">
        <v>0</v>
      </c>
      <c r="L2326">
        <v>0</v>
      </c>
      <c r="M2326">
        <v>0</v>
      </c>
      <c r="N2326" t="s">
        <v>98</v>
      </c>
      <c r="O2326">
        <v>2017</v>
      </c>
      <c r="P2326" t="s">
        <v>18</v>
      </c>
    </row>
    <row r="2327" spans="1:16" x14ac:dyDescent="0.3">
      <c r="A2327">
        <v>272</v>
      </c>
      <c r="B2327" t="s">
        <v>1921</v>
      </c>
      <c r="C2327" t="s">
        <v>4957</v>
      </c>
      <c r="D2327" t="str">
        <f>VLOOKUP(YouTube_University_Data_Final[[#This Row],[Title]],[1]!YouTube_University_Data_Final[[Title]:[Title_language]],2,FALSE)</f>
        <v>Bilingual</v>
      </c>
      <c r="E2327" t="s">
        <v>4958</v>
      </c>
      <c r="F2327">
        <v>27</v>
      </c>
      <c r="G2327" s="1">
        <v>43069</v>
      </c>
      <c r="H2327">
        <v>105</v>
      </c>
      <c r="I2327" t="s">
        <v>2333</v>
      </c>
      <c r="J2327">
        <v>34361</v>
      </c>
      <c r="K2327">
        <v>6</v>
      </c>
      <c r="L2327">
        <v>0</v>
      </c>
      <c r="M2327">
        <v>0</v>
      </c>
      <c r="N2327" t="s">
        <v>101</v>
      </c>
      <c r="O2327">
        <v>2017</v>
      </c>
      <c r="P2327" t="s">
        <v>18</v>
      </c>
    </row>
    <row r="2328" spans="1:16" x14ac:dyDescent="0.3">
      <c r="A2328">
        <v>273</v>
      </c>
      <c r="B2328" t="s">
        <v>1921</v>
      </c>
      <c r="C2328" t="s">
        <v>4959</v>
      </c>
      <c r="D2328" t="str">
        <f>VLOOKUP(YouTube_University_Data_Final[[#This Row],[Title]],[1]!YouTube_University_Data_Final[[Title]:[Title_language]],2,FALSE)</f>
        <v>Bilingual</v>
      </c>
      <c r="E2328" t="s">
        <v>4960</v>
      </c>
      <c r="F2328">
        <v>27</v>
      </c>
      <c r="G2328" s="1">
        <v>43066</v>
      </c>
      <c r="H2328">
        <v>85</v>
      </c>
      <c r="I2328" t="s">
        <v>2334</v>
      </c>
      <c r="J2328">
        <v>52751</v>
      </c>
      <c r="K2328">
        <v>9</v>
      </c>
      <c r="L2328">
        <v>0</v>
      </c>
      <c r="M2328">
        <v>0</v>
      </c>
      <c r="N2328" t="s">
        <v>101</v>
      </c>
      <c r="O2328">
        <v>2017</v>
      </c>
      <c r="P2328" t="s">
        <v>18</v>
      </c>
    </row>
    <row r="2329" spans="1:16" x14ac:dyDescent="0.3">
      <c r="A2329">
        <v>274</v>
      </c>
      <c r="B2329" t="s">
        <v>1921</v>
      </c>
      <c r="C2329" t="s">
        <v>2335</v>
      </c>
      <c r="D2329" t="str">
        <f>VLOOKUP(YouTube_University_Data_Final[[#This Row],[Title]],[1]!YouTube_University_Data_Final[[Title]:[Title_language]],2,FALSE)</f>
        <v>English</v>
      </c>
      <c r="E2329" t="s">
        <v>2336</v>
      </c>
      <c r="F2329">
        <v>27</v>
      </c>
      <c r="G2329" s="1">
        <v>43063</v>
      </c>
      <c r="H2329">
        <v>180</v>
      </c>
      <c r="I2329" t="s">
        <v>2337</v>
      </c>
      <c r="J2329">
        <v>4038</v>
      </c>
      <c r="K2329">
        <v>52</v>
      </c>
      <c r="L2329">
        <v>0</v>
      </c>
      <c r="M2329">
        <v>0</v>
      </c>
      <c r="N2329" t="s">
        <v>101</v>
      </c>
      <c r="O2329">
        <v>2017</v>
      </c>
      <c r="P2329" t="s">
        <v>18</v>
      </c>
    </row>
    <row r="2330" spans="1:16" x14ac:dyDescent="0.3">
      <c r="A2330">
        <v>275</v>
      </c>
      <c r="B2330" t="s">
        <v>1921</v>
      </c>
      <c r="C2330" t="s">
        <v>4961</v>
      </c>
      <c r="D2330" t="str">
        <f>VLOOKUP(YouTube_University_Data_Final[[#This Row],[Title]],[1]!YouTube_University_Data_Final[[Title]:[Title_language]],2,FALSE)</f>
        <v>Bilingual</v>
      </c>
      <c r="E2330" t="s">
        <v>4962</v>
      </c>
      <c r="F2330">
        <v>27</v>
      </c>
      <c r="G2330" s="1">
        <v>43062</v>
      </c>
      <c r="H2330">
        <v>42</v>
      </c>
      <c r="I2330" t="s">
        <v>2338</v>
      </c>
      <c r="J2330">
        <v>213</v>
      </c>
      <c r="K2330">
        <v>2</v>
      </c>
      <c r="L2330">
        <v>0</v>
      </c>
      <c r="M2330">
        <v>0</v>
      </c>
      <c r="N2330" t="s">
        <v>101</v>
      </c>
      <c r="O2330">
        <v>2017</v>
      </c>
      <c r="P2330" t="s">
        <v>18</v>
      </c>
    </row>
    <row r="2331" spans="1:16" x14ac:dyDescent="0.3">
      <c r="A2331">
        <v>276</v>
      </c>
      <c r="B2331" t="s">
        <v>1921</v>
      </c>
      <c r="C2331" t="s">
        <v>4963</v>
      </c>
      <c r="D2331" t="str">
        <f>VLOOKUP(YouTube_University_Data_Final[[#This Row],[Title]],[1]!YouTube_University_Data_Final[[Title]:[Title_language]],2,FALSE)</f>
        <v>Bilingual</v>
      </c>
      <c r="E2331" t="s">
        <v>4964</v>
      </c>
      <c r="F2331">
        <v>27</v>
      </c>
      <c r="G2331" s="1">
        <v>43061</v>
      </c>
      <c r="H2331">
        <v>95</v>
      </c>
      <c r="I2331" t="s">
        <v>2339</v>
      </c>
      <c r="J2331">
        <v>75217</v>
      </c>
      <c r="K2331">
        <v>19</v>
      </c>
      <c r="L2331">
        <v>0</v>
      </c>
      <c r="M2331">
        <v>0</v>
      </c>
      <c r="N2331" t="s">
        <v>101</v>
      </c>
      <c r="O2331">
        <v>2017</v>
      </c>
      <c r="P2331" t="s">
        <v>18</v>
      </c>
    </row>
    <row r="2332" spans="1:16" x14ac:dyDescent="0.3">
      <c r="A2332">
        <v>277</v>
      </c>
      <c r="B2332" t="s">
        <v>1921</v>
      </c>
      <c r="C2332" t="s">
        <v>4965</v>
      </c>
      <c r="D2332" t="str">
        <f>VLOOKUP(YouTube_University_Data_Final[[#This Row],[Title]],[1]!YouTube_University_Data_Final[[Title]:[Title_language]],2,FALSE)</f>
        <v>Bilingual</v>
      </c>
      <c r="E2332" t="s">
        <v>4966</v>
      </c>
      <c r="F2332">
        <v>27</v>
      </c>
      <c r="G2332" s="1">
        <v>43045</v>
      </c>
      <c r="H2332">
        <v>30</v>
      </c>
      <c r="I2332" t="s">
        <v>2340</v>
      </c>
      <c r="J2332">
        <v>1209</v>
      </c>
      <c r="K2332">
        <v>1</v>
      </c>
      <c r="L2332">
        <v>0</v>
      </c>
      <c r="M2332">
        <v>0</v>
      </c>
      <c r="N2332" t="s">
        <v>101</v>
      </c>
      <c r="O2332">
        <v>2017</v>
      </c>
      <c r="P2332" t="s">
        <v>18</v>
      </c>
    </row>
    <row r="2333" spans="1:16" x14ac:dyDescent="0.3">
      <c r="A2333">
        <v>278</v>
      </c>
      <c r="B2333" t="s">
        <v>1921</v>
      </c>
      <c r="C2333" t="s">
        <v>4967</v>
      </c>
      <c r="D2333" t="str">
        <f>VLOOKUP(YouTube_University_Data_Final[[#This Row],[Title]],[1]!YouTube_University_Data_Final[[Title]:[Title_language]],2,FALSE)</f>
        <v>Bilingual</v>
      </c>
      <c r="E2333" t="s">
        <v>4968</v>
      </c>
      <c r="F2333">
        <v>27</v>
      </c>
      <c r="G2333" s="1">
        <v>43045</v>
      </c>
      <c r="H2333">
        <v>123</v>
      </c>
      <c r="I2333" t="s">
        <v>2341</v>
      </c>
      <c r="J2333">
        <v>474</v>
      </c>
      <c r="K2333">
        <v>2</v>
      </c>
      <c r="L2333">
        <v>0</v>
      </c>
      <c r="M2333">
        <v>0</v>
      </c>
      <c r="N2333" t="s">
        <v>101</v>
      </c>
      <c r="O2333">
        <v>2017</v>
      </c>
      <c r="P2333" t="s">
        <v>18</v>
      </c>
    </row>
    <row r="2334" spans="1:16" x14ac:dyDescent="0.3">
      <c r="A2334">
        <v>279</v>
      </c>
      <c r="B2334" t="s">
        <v>1921</v>
      </c>
      <c r="C2334" t="s">
        <v>4969</v>
      </c>
      <c r="D2334" t="str">
        <f>VLOOKUP(YouTube_University_Data_Final[[#This Row],[Title]],[1]!YouTube_University_Data_Final[[Title]:[Title_language]],2,FALSE)</f>
        <v>Bilingual</v>
      </c>
      <c r="E2334" t="s">
        <v>4970</v>
      </c>
      <c r="F2334">
        <v>27</v>
      </c>
      <c r="G2334" s="1">
        <v>43045</v>
      </c>
      <c r="H2334">
        <v>158</v>
      </c>
      <c r="I2334" t="s">
        <v>2342</v>
      </c>
      <c r="J2334">
        <v>466</v>
      </c>
      <c r="K2334">
        <v>3</v>
      </c>
      <c r="L2334">
        <v>0</v>
      </c>
      <c r="M2334">
        <v>0</v>
      </c>
      <c r="N2334" t="s">
        <v>101</v>
      </c>
      <c r="O2334">
        <v>2017</v>
      </c>
      <c r="P2334" t="s">
        <v>18</v>
      </c>
    </row>
    <row r="2335" spans="1:16" x14ac:dyDescent="0.3">
      <c r="A2335">
        <v>280</v>
      </c>
      <c r="B2335" t="s">
        <v>1921</v>
      </c>
      <c r="C2335" t="s">
        <v>4971</v>
      </c>
      <c r="D2335" t="str">
        <f>VLOOKUP(YouTube_University_Data_Final[[#This Row],[Title]],[1]!YouTube_University_Data_Final[[Title]:[Title_language]],2,FALSE)</f>
        <v>Bilingual</v>
      </c>
      <c r="E2335" t="s">
        <v>4972</v>
      </c>
      <c r="F2335">
        <v>27</v>
      </c>
      <c r="G2335" s="1">
        <v>43045</v>
      </c>
      <c r="H2335">
        <v>124</v>
      </c>
      <c r="I2335" t="s">
        <v>2343</v>
      </c>
      <c r="J2335">
        <v>462</v>
      </c>
      <c r="K2335">
        <v>3</v>
      </c>
      <c r="L2335">
        <v>0</v>
      </c>
      <c r="M2335">
        <v>0</v>
      </c>
      <c r="N2335" t="s">
        <v>101</v>
      </c>
      <c r="O2335">
        <v>2017</v>
      </c>
      <c r="P2335" t="s">
        <v>18</v>
      </c>
    </row>
    <row r="2336" spans="1:16" x14ac:dyDescent="0.3">
      <c r="A2336">
        <v>281</v>
      </c>
      <c r="B2336" t="s">
        <v>1921</v>
      </c>
      <c r="C2336" t="s">
        <v>4973</v>
      </c>
      <c r="D2336" t="str">
        <f>VLOOKUP(YouTube_University_Data_Final[[#This Row],[Title]],[1]!YouTube_University_Data_Final[[Title]:[Title_language]],2,FALSE)</f>
        <v>Bilingual</v>
      </c>
      <c r="E2336" t="s">
        <v>4974</v>
      </c>
      <c r="F2336">
        <v>27</v>
      </c>
      <c r="G2336" s="1">
        <v>43045</v>
      </c>
      <c r="H2336">
        <v>104</v>
      </c>
      <c r="I2336" t="s">
        <v>2344</v>
      </c>
      <c r="J2336">
        <v>436</v>
      </c>
      <c r="K2336">
        <v>1</v>
      </c>
      <c r="L2336">
        <v>0</v>
      </c>
      <c r="M2336">
        <v>0</v>
      </c>
      <c r="N2336" t="s">
        <v>101</v>
      </c>
      <c r="O2336">
        <v>2017</v>
      </c>
      <c r="P2336" t="s">
        <v>18</v>
      </c>
    </row>
    <row r="2337" spans="1:16" x14ac:dyDescent="0.3">
      <c r="A2337">
        <v>282</v>
      </c>
      <c r="B2337" t="s">
        <v>1921</v>
      </c>
      <c r="C2337" t="s">
        <v>4975</v>
      </c>
      <c r="D2337" t="str">
        <f>VLOOKUP(YouTube_University_Data_Final[[#This Row],[Title]],[1]!YouTube_University_Data_Final[[Title]:[Title_language]],2,FALSE)</f>
        <v>Bilingual</v>
      </c>
      <c r="E2337" t="s">
        <v>4976</v>
      </c>
      <c r="F2337">
        <v>27</v>
      </c>
      <c r="G2337" s="1">
        <v>43045</v>
      </c>
      <c r="H2337">
        <v>157</v>
      </c>
      <c r="I2337" t="s">
        <v>2345</v>
      </c>
      <c r="J2337">
        <v>1349</v>
      </c>
      <c r="K2337">
        <v>3</v>
      </c>
      <c r="L2337">
        <v>0</v>
      </c>
      <c r="M2337">
        <v>0</v>
      </c>
      <c r="N2337" t="s">
        <v>101</v>
      </c>
      <c r="O2337">
        <v>2017</v>
      </c>
      <c r="P2337" t="s">
        <v>18</v>
      </c>
    </row>
    <row r="2338" spans="1:16" x14ac:dyDescent="0.3">
      <c r="A2338">
        <v>283</v>
      </c>
      <c r="B2338" t="s">
        <v>1921</v>
      </c>
      <c r="C2338" t="s">
        <v>4977</v>
      </c>
      <c r="D2338" t="str">
        <f>VLOOKUP(YouTube_University_Data_Final[[#This Row],[Title]],[1]!YouTube_University_Data_Final[[Title]:[Title_language]],2,FALSE)</f>
        <v>Bilingual</v>
      </c>
      <c r="E2338" t="s">
        <v>4978</v>
      </c>
      <c r="F2338">
        <v>27</v>
      </c>
      <c r="G2338" s="1">
        <v>43045</v>
      </c>
      <c r="H2338">
        <v>153</v>
      </c>
      <c r="I2338" t="s">
        <v>2346</v>
      </c>
      <c r="J2338">
        <v>293</v>
      </c>
      <c r="K2338">
        <v>2</v>
      </c>
      <c r="L2338">
        <v>0</v>
      </c>
      <c r="M2338">
        <v>0</v>
      </c>
      <c r="N2338" t="s">
        <v>101</v>
      </c>
      <c r="O2338">
        <v>2017</v>
      </c>
      <c r="P2338" t="s">
        <v>18</v>
      </c>
    </row>
    <row r="2339" spans="1:16" x14ac:dyDescent="0.3">
      <c r="A2339">
        <v>284</v>
      </c>
      <c r="B2339" t="s">
        <v>1921</v>
      </c>
      <c r="C2339" t="s">
        <v>4979</v>
      </c>
      <c r="D2339" t="str">
        <f>VLOOKUP(YouTube_University_Data_Final[[#This Row],[Title]],[1]!YouTube_University_Data_Final[[Title]:[Title_language]],2,FALSE)</f>
        <v>Bilingual</v>
      </c>
      <c r="E2339" t="s">
        <v>4980</v>
      </c>
      <c r="F2339">
        <v>27</v>
      </c>
      <c r="G2339" s="1">
        <v>43045</v>
      </c>
      <c r="H2339">
        <v>158</v>
      </c>
      <c r="I2339" t="s">
        <v>2347</v>
      </c>
      <c r="J2339">
        <v>1218</v>
      </c>
      <c r="K2339">
        <v>5</v>
      </c>
      <c r="L2339">
        <v>0</v>
      </c>
      <c r="M2339">
        <v>0</v>
      </c>
      <c r="N2339" t="s">
        <v>101</v>
      </c>
      <c r="O2339">
        <v>2017</v>
      </c>
      <c r="P2339" t="s">
        <v>18</v>
      </c>
    </row>
    <row r="2340" spans="1:16" x14ac:dyDescent="0.3">
      <c r="A2340">
        <v>285</v>
      </c>
      <c r="B2340" t="s">
        <v>1921</v>
      </c>
      <c r="C2340" t="s">
        <v>4981</v>
      </c>
      <c r="D2340" t="str">
        <f>VLOOKUP(YouTube_University_Data_Final[[#This Row],[Title]],[1]!YouTube_University_Data_Final[[Title]:[Title_language]],2,FALSE)</f>
        <v>Bilingual</v>
      </c>
      <c r="E2340" t="s">
        <v>4982</v>
      </c>
      <c r="F2340">
        <v>27</v>
      </c>
      <c r="G2340" s="1">
        <v>43045</v>
      </c>
      <c r="H2340">
        <v>119</v>
      </c>
      <c r="I2340" t="s">
        <v>2348</v>
      </c>
      <c r="J2340">
        <v>358</v>
      </c>
      <c r="K2340">
        <v>2</v>
      </c>
      <c r="L2340">
        <v>0</v>
      </c>
      <c r="M2340">
        <v>0</v>
      </c>
      <c r="N2340" t="s">
        <v>101</v>
      </c>
      <c r="O2340">
        <v>2017</v>
      </c>
      <c r="P2340" t="s">
        <v>18</v>
      </c>
    </row>
    <row r="2341" spans="1:16" x14ac:dyDescent="0.3">
      <c r="A2341">
        <v>286</v>
      </c>
      <c r="B2341" t="s">
        <v>1921</v>
      </c>
      <c r="C2341" t="s">
        <v>4983</v>
      </c>
      <c r="D2341" t="str">
        <f>VLOOKUP(YouTube_University_Data_Final[[#This Row],[Title]],[1]!YouTube_University_Data_Final[[Title]:[Title_language]],2,FALSE)</f>
        <v>Bilingual</v>
      </c>
      <c r="E2341" t="s">
        <v>4984</v>
      </c>
      <c r="F2341">
        <v>27</v>
      </c>
      <c r="G2341" s="1">
        <v>43045</v>
      </c>
      <c r="H2341">
        <v>138</v>
      </c>
      <c r="I2341" t="s">
        <v>2349</v>
      </c>
      <c r="J2341">
        <v>588</v>
      </c>
      <c r="K2341">
        <v>3</v>
      </c>
      <c r="L2341">
        <v>0</v>
      </c>
      <c r="M2341">
        <v>0</v>
      </c>
      <c r="N2341" t="s">
        <v>101</v>
      </c>
      <c r="O2341">
        <v>2017</v>
      </c>
      <c r="P2341" t="s">
        <v>18</v>
      </c>
    </row>
    <row r="2342" spans="1:16" x14ac:dyDescent="0.3">
      <c r="A2342">
        <v>287</v>
      </c>
      <c r="B2342" t="s">
        <v>1921</v>
      </c>
      <c r="C2342" t="s">
        <v>4985</v>
      </c>
      <c r="D2342" t="str">
        <f>VLOOKUP(YouTube_University_Data_Final[[#This Row],[Title]],[1]!YouTube_University_Data_Final[[Title]:[Title_language]],2,FALSE)</f>
        <v>Bilingual</v>
      </c>
      <c r="E2342" t="s">
        <v>4986</v>
      </c>
      <c r="F2342">
        <v>27</v>
      </c>
      <c r="G2342" s="1">
        <v>43045</v>
      </c>
      <c r="H2342">
        <v>145</v>
      </c>
      <c r="I2342" t="s">
        <v>2350</v>
      </c>
      <c r="J2342">
        <v>257</v>
      </c>
      <c r="K2342">
        <v>0</v>
      </c>
      <c r="L2342">
        <v>0</v>
      </c>
      <c r="M2342">
        <v>0</v>
      </c>
      <c r="N2342" t="s">
        <v>101</v>
      </c>
      <c r="O2342">
        <v>2017</v>
      </c>
      <c r="P2342" t="s">
        <v>18</v>
      </c>
    </row>
    <row r="2343" spans="1:16" x14ac:dyDescent="0.3">
      <c r="A2343">
        <v>288</v>
      </c>
      <c r="B2343" t="s">
        <v>1921</v>
      </c>
      <c r="C2343" t="s">
        <v>4987</v>
      </c>
      <c r="D2343" t="str">
        <f>VLOOKUP(YouTube_University_Data_Final[[#This Row],[Title]],[1]!YouTube_University_Data_Final[[Title]:[Title_language]],2,FALSE)</f>
        <v>Bilingual</v>
      </c>
      <c r="E2343" t="s">
        <v>4988</v>
      </c>
      <c r="F2343">
        <v>27</v>
      </c>
      <c r="G2343" s="1">
        <v>43045</v>
      </c>
      <c r="H2343">
        <v>133</v>
      </c>
      <c r="I2343" t="s">
        <v>2351</v>
      </c>
      <c r="J2343">
        <v>450</v>
      </c>
      <c r="K2343">
        <v>0</v>
      </c>
      <c r="L2343">
        <v>0</v>
      </c>
      <c r="M2343">
        <v>0</v>
      </c>
      <c r="N2343" t="s">
        <v>101</v>
      </c>
      <c r="O2343">
        <v>2017</v>
      </c>
      <c r="P2343" t="s">
        <v>18</v>
      </c>
    </row>
    <row r="2344" spans="1:16" x14ac:dyDescent="0.3">
      <c r="A2344">
        <v>289</v>
      </c>
      <c r="B2344" t="s">
        <v>1921</v>
      </c>
      <c r="C2344" t="s">
        <v>4989</v>
      </c>
      <c r="D2344" t="str">
        <f>VLOOKUP(YouTube_University_Data_Final[[#This Row],[Title]],[1]!YouTube_University_Data_Final[[Title]:[Title_language]],2,FALSE)</f>
        <v>Bilingual</v>
      </c>
      <c r="E2344" t="s">
        <v>4990</v>
      </c>
      <c r="F2344">
        <v>27</v>
      </c>
      <c r="G2344" s="1">
        <v>43045</v>
      </c>
      <c r="H2344">
        <v>144</v>
      </c>
      <c r="I2344" t="s">
        <v>2352</v>
      </c>
      <c r="J2344">
        <v>308</v>
      </c>
      <c r="K2344">
        <v>1</v>
      </c>
      <c r="L2344">
        <v>0</v>
      </c>
      <c r="M2344">
        <v>0</v>
      </c>
      <c r="N2344" t="s">
        <v>101</v>
      </c>
      <c r="O2344">
        <v>2017</v>
      </c>
      <c r="P2344" t="s">
        <v>18</v>
      </c>
    </row>
    <row r="2345" spans="1:16" x14ac:dyDescent="0.3">
      <c r="A2345">
        <v>290</v>
      </c>
      <c r="B2345" t="s">
        <v>1921</v>
      </c>
      <c r="C2345" t="s">
        <v>4991</v>
      </c>
      <c r="D2345" t="str">
        <f>VLOOKUP(YouTube_University_Data_Final[[#This Row],[Title]],[1]!YouTube_University_Data_Final[[Title]:[Title_language]],2,FALSE)</f>
        <v>Bilingual</v>
      </c>
      <c r="E2345" t="s">
        <v>4992</v>
      </c>
      <c r="F2345">
        <v>27</v>
      </c>
      <c r="G2345" s="1">
        <v>43045</v>
      </c>
      <c r="H2345">
        <v>129</v>
      </c>
      <c r="I2345" t="s">
        <v>2353</v>
      </c>
      <c r="J2345">
        <v>458</v>
      </c>
      <c r="K2345">
        <v>2</v>
      </c>
      <c r="L2345">
        <v>0</v>
      </c>
      <c r="M2345">
        <v>0</v>
      </c>
      <c r="N2345" t="s">
        <v>101</v>
      </c>
      <c r="O2345">
        <v>2017</v>
      </c>
      <c r="P2345" t="s">
        <v>18</v>
      </c>
    </row>
    <row r="2346" spans="1:16" x14ac:dyDescent="0.3">
      <c r="A2346">
        <v>291</v>
      </c>
      <c r="B2346" t="s">
        <v>1921</v>
      </c>
      <c r="C2346" t="s">
        <v>4993</v>
      </c>
      <c r="D2346" t="str">
        <f>VLOOKUP(YouTube_University_Data_Final[[#This Row],[Title]],[1]!YouTube_University_Data_Final[[Title]:[Title_language]],2,FALSE)</f>
        <v>Bilingual</v>
      </c>
      <c r="E2346" t="s">
        <v>4994</v>
      </c>
      <c r="F2346">
        <v>27</v>
      </c>
      <c r="G2346" s="1">
        <v>43045</v>
      </c>
      <c r="H2346">
        <v>113</v>
      </c>
      <c r="I2346" t="s">
        <v>2354</v>
      </c>
      <c r="J2346">
        <v>831</v>
      </c>
      <c r="K2346">
        <v>5</v>
      </c>
      <c r="L2346">
        <v>0</v>
      </c>
      <c r="M2346">
        <v>0</v>
      </c>
      <c r="N2346" t="s">
        <v>101</v>
      </c>
      <c r="O2346">
        <v>2017</v>
      </c>
      <c r="P2346" t="s">
        <v>18</v>
      </c>
    </row>
    <row r="2347" spans="1:16" x14ac:dyDescent="0.3">
      <c r="A2347">
        <v>292</v>
      </c>
      <c r="B2347" t="s">
        <v>1921</v>
      </c>
      <c r="C2347" t="s">
        <v>4995</v>
      </c>
      <c r="D2347" t="str">
        <f>VLOOKUP(YouTube_University_Data_Final[[#This Row],[Title]],[1]!YouTube_University_Data_Final[[Title]:[Title_language]],2,FALSE)</f>
        <v>Bilingual</v>
      </c>
      <c r="E2347" t="s">
        <v>4996</v>
      </c>
      <c r="F2347">
        <v>27</v>
      </c>
      <c r="G2347" s="1">
        <v>43042</v>
      </c>
      <c r="H2347">
        <v>11</v>
      </c>
      <c r="I2347" t="s">
        <v>2355</v>
      </c>
      <c r="J2347">
        <v>172</v>
      </c>
      <c r="K2347">
        <v>1</v>
      </c>
      <c r="L2347">
        <v>0</v>
      </c>
      <c r="M2347">
        <v>0</v>
      </c>
      <c r="N2347" t="s">
        <v>101</v>
      </c>
      <c r="O2347">
        <v>2017</v>
      </c>
      <c r="P2347" t="s">
        <v>18</v>
      </c>
    </row>
    <row r="2348" spans="1:16" x14ac:dyDescent="0.3">
      <c r="A2348">
        <v>293</v>
      </c>
      <c r="B2348" t="s">
        <v>1921</v>
      </c>
      <c r="C2348" t="s">
        <v>4997</v>
      </c>
      <c r="D2348" t="str">
        <f>VLOOKUP(YouTube_University_Data_Final[[#This Row],[Title]],[1]!YouTube_University_Data_Final[[Title]:[Title_language]],2,FALSE)</f>
        <v>English</v>
      </c>
      <c r="E2348" t="s">
        <v>4998</v>
      </c>
      <c r="F2348">
        <v>27</v>
      </c>
      <c r="G2348" s="1">
        <v>43014</v>
      </c>
      <c r="H2348">
        <v>7935</v>
      </c>
      <c r="I2348" t="s">
        <v>2944</v>
      </c>
      <c r="J2348">
        <v>526</v>
      </c>
      <c r="K2348">
        <v>2</v>
      </c>
      <c r="L2348">
        <v>0</v>
      </c>
      <c r="M2348">
        <v>0</v>
      </c>
      <c r="N2348" t="s">
        <v>17</v>
      </c>
      <c r="O2348">
        <v>2017</v>
      </c>
      <c r="P2348" t="s">
        <v>18</v>
      </c>
    </row>
    <row r="2349" spans="1:16" x14ac:dyDescent="0.3">
      <c r="A2349">
        <v>294</v>
      </c>
      <c r="B2349" t="s">
        <v>1921</v>
      </c>
      <c r="C2349" t="s">
        <v>2356</v>
      </c>
      <c r="D2349" t="str">
        <f>VLOOKUP(YouTube_University_Data_Final[[#This Row],[Title]],[1]!YouTube_University_Data_Final[[Title]:[Title_language]],2,FALSE)</f>
        <v>English</v>
      </c>
      <c r="E2349" t="s">
        <v>2357</v>
      </c>
      <c r="F2349">
        <v>27</v>
      </c>
      <c r="G2349" s="1">
        <v>42999</v>
      </c>
      <c r="H2349">
        <v>154</v>
      </c>
      <c r="I2349" t="s">
        <v>2358</v>
      </c>
      <c r="J2349">
        <v>695</v>
      </c>
      <c r="K2349">
        <v>2</v>
      </c>
      <c r="L2349">
        <v>0</v>
      </c>
      <c r="M2349">
        <v>0</v>
      </c>
      <c r="N2349" t="s">
        <v>21</v>
      </c>
      <c r="O2349">
        <v>2017</v>
      </c>
      <c r="P2349" t="s">
        <v>18</v>
      </c>
    </row>
    <row r="2350" spans="1:16" x14ac:dyDescent="0.3">
      <c r="A2350">
        <v>295</v>
      </c>
      <c r="B2350" t="s">
        <v>1921</v>
      </c>
      <c r="C2350" t="s">
        <v>2359</v>
      </c>
      <c r="D2350" t="str">
        <f>VLOOKUP(YouTube_University_Data_Final[[#This Row],[Title]],[1]!YouTube_University_Data_Final[[Title]:[Title_language]],2,FALSE)</f>
        <v>English</v>
      </c>
      <c r="E2350" t="s">
        <v>2360</v>
      </c>
      <c r="F2350">
        <v>27</v>
      </c>
      <c r="G2350" s="1">
        <v>42999</v>
      </c>
      <c r="H2350">
        <v>146</v>
      </c>
      <c r="I2350" t="s">
        <v>2361</v>
      </c>
      <c r="J2350">
        <v>630</v>
      </c>
      <c r="K2350">
        <v>3</v>
      </c>
      <c r="L2350">
        <v>0</v>
      </c>
      <c r="M2350">
        <v>0</v>
      </c>
      <c r="N2350" t="s">
        <v>21</v>
      </c>
      <c r="O2350">
        <v>2017</v>
      </c>
      <c r="P2350" t="s">
        <v>18</v>
      </c>
    </row>
    <row r="2351" spans="1:16" x14ac:dyDescent="0.3">
      <c r="A2351">
        <v>296</v>
      </c>
      <c r="B2351" t="s">
        <v>1921</v>
      </c>
      <c r="C2351" t="s">
        <v>2362</v>
      </c>
      <c r="D2351" t="str">
        <f>VLOOKUP(YouTube_University_Data_Final[[#This Row],[Title]],[1]!YouTube_University_Data_Final[[Title]:[Title_language]],2,FALSE)</f>
        <v>English</v>
      </c>
      <c r="E2351" t="s">
        <v>2363</v>
      </c>
      <c r="F2351">
        <v>27</v>
      </c>
      <c r="G2351" s="1">
        <v>42999</v>
      </c>
      <c r="H2351">
        <v>151</v>
      </c>
      <c r="I2351" t="s">
        <v>2364</v>
      </c>
      <c r="J2351">
        <v>784</v>
      </c>
      <c r="K2351">
        <v>4</v>
      </c>
      <c r="L2351">
        <v>0</v>
      </c>
      <c r="M2351">
        <v>0</v>
      </c>
      <c r="N2351" t="s">
        <v>21</v>
      </c>
      <c r="O2351">
        <v>2017</v>
      </c>
      <c r="P2351" t="s">
        <v>18</v>
      </c>
    </row>
    <row r="2352" spans="1:16" x14ac:dyDescent="0.3">
      <c r="A2352">
        <v>297</v>
      </c>
      <c r="B2352" t="s">
        <v>1921</v>
      </c>
      <c r="C2352" t="s">
        <v>2365</v>
      </c>
      <c r="D2352" t="str">
        <f>VLOOKUP(YouTube_University_Data_Final[[#This Row],[Title]],[1]!YouTube_University_Data_Final[[Title]:[Title_language]],2,FALSE)</f>
        <v>English</v>
      </c>
      <c r="E2352" t="s">
        <v>2366</v>
      </c>
      <c r="F2352">
        <v>27</v>
      </c>
      <c r="G2352" s="1">
        <v>42999</v>
      </c>
      <c r="H2352">
        <v>142</v>
      </c>
      <c r="I2352" t="s">
        <v>2367</v>
      </c>
      <c r="J2352">
        <v>499</v>
      </c>
      <c r="K2352">
        <v>2</v>
      </c>
      <c r="L2352">
        <v>0</v>
      </c>
      <c r="M2352">
        <v>0</v>
      </c>
      <c r="N2352" t="s">
        <v>21</v>
      </c>
      <c r="O2352">
        <v>2017</v>
      </c>
      <c r="P2352" t="s">
        <v>18</v>
      </c>
    </row>
    <row r="2353" spans="1:16" x14ac:dyDescent="0.3">
      <c r="A2353">
        <v>298</v>
      </c>
      <c r="B2353" t="s">
        <v>1921</v>
      </c>
      <c r="C2353" t="s">
        <v>2368</v>
      </c>
      <c r="D2353" t="str">
        <f>VLOOKUP(YouTube_University_Data_Final[[#This Row],[Title]],[1]!YouTube_University_Data_Final[[Title]:[Title_language]],2,FALSE)</f>
        <v>English</v>
      </c>
      <c r="E2353" t="s">
        <v>2369</v>
      </c>
      <c r="F2353">
        <v>27</v>
      </c>
      <c r="G2353" s="1">
        <v>42999</v>
      </c>
      <c r="H2353">
        <v>146</v>
      </c>
      <c r="I2353" t="s">
        <v>2370</v>
      </c>
      <c r="J2353">
        <v>1217</v>
      </c>
      <c r="K2353">
        <v>12</v>
      </c>
      <c r="L2353">
        <v>0</v>
      </c>
      <c r="M2353">
        <v>0</v>
      </c>
      <c r="N2353" t="s">
        <v>21</v>
      </c>
      <c r="O2353">
        <v>2017</v>
      </c>
      <c r="P2353" t="s">
        <v>18</v>
      </c>
    </row>
    <row r="2354" spans="1:16" x14ac:dyDescent="0.3">
      <c r="A2354">
        <v>299</v>
      </c>
      <c r="B2354" t="s">
        <v>1921</v>
      </c>
      <c r="C2354" t="s">
        <v>2371</v>
      </c>
      <c r="D2354" t="str">
        <f>VLOOKUP(YouTube_University_Data_Final[[#This Row],[Title]],[1]!YouTube_University_Data_Final[[Title]:[Title_language]],2,FALSE)</f>
        <v>English</v>
      </c>
      <c r="E2354" t="s">
        <v>4999</v>
      </c>
      <c r="F2354">
        <v>27</v>
      </c>
      <c r="G2354" s="1">
        <v>42998</v>
      </c>
      <c r="H2354">
        <v>163</v>
      </c>
      <c r="I2354" t="s">
        <v>2372</v>
      </c>
      <c r="J2354">
        <v>759</v>
      </c>
      <c r="K2354">
        <v>1</v>
      </c>
      <c r="L2354">
        <v>0</v>
      </c>
      <c r="M2354">
        <v>0</v>
      </c>
      <c r="N2354" t="s">
        <v>21</v>
      </c>
      <c r="O2354">
        <v>2017</v>
      </c>
      <c r="P2354" t="s">
        <v>18</v>
      </c>
    </row>
    <row r="2355" spans="1:16" x14ac:dyDescent="0.3">
      <c r="A2355">
        <v>300</v>
      </c>
      <c r="B2355" t="s">
        <v>1921</v>
      </c>
      <c r="C2355" t="s">
        <v>2373</v>
      </c>
      <c r="D2355" t="str">
        <f>VLOOKUP(YouTube_University_Data_Final[[#This Row],[Title]],[1]!YouTube_University_Data_Final[[Title]:[Title_language]],2,FALSE)</f>
        <v>English</v>
      </c>
      <c r="E2355" t="s">
        <v>2374</v>
      </c>
      <c r="F2355">
        <v>27</v>
      </c>
      <c r="G2355" s="1">
        <v>42985</v>
      </c>
      <c r="H2355">
        <v>136</v>
      </c>
      <c r="I2355" t="s">
        <v>2375</v>
      </c>
      <c r="J2355">
        <v>555</v>
      </c>
      <c r="K2355">
        <v>7</v>
      </c>
      <c r="L2355">
        <v>0</v>
      </c>
      <c r="M2355">
        <v>0</v>
      </c>
      <c r="N2355" t="s">
        <v>21</v>
      </c>
      <c r="O2355">
        <v>2017</v>
      </c>
      <c r="P2355" t="s">
        <v>18</v>
      </c>
    </row>
    <row r="2356" spans="1:16" x14ac:dyDescent="0.3">
      <c r="A2356">
        <v>301</v>
      </c>
      <c r="B2356" t="s">
        <v>1921</v>
      </c>
      <c r="C2356" t="s">
        <v>5000</v>
      </c>
      <c r="D2356" t="str">
        <f>VLOOKUP(YouTube_University_Data_Final[[#This Row],[Title]],[1]!YouTube_University_Data_Final[[Title]:[Title_language]],2,FALSE)</f>
        <v>Bilingual</v>
      </c>
      <c r="E2356" t="s">
        <v>2944</v>
      </c>
      <c r="F2356">
        <v>27</v>
      </c>
      <c r="G2356" s="1">
        <v>42983</v>
      </c>
      <c r="H2356">
        <v>85</v>
      </c>
      <c r="I2356" t="s">
        <v>2376</v>
      </c>
      <c r="J2356">
        <v>2526</v>
      </c>
      <c r="K2356">
        <v>14</v>
      </c>
      <c r="L2356">
        <v>0</v>
      </c>
      <c r="M2356">
        <v>0</v>
      </c>
      <c r="N2356" t="s">
        <v>21</v>
      </c>
      <c r="O2356">
        <v>2017</v>
      </c>
      <c r="P2356" t="s">
        <v>18</v>
      </c>
    </row>
    <row r="2357" spans="1:16" x14ac:dyDescent="0.3">
      <c r="A2357">
        <v>302</v>
      </c>
      <c r="B2357" t="s">
        <v>1921</v>
      </c>
      <c r="C2357" t="s">
        <v>5001</v>
      </c>
      <c r="D2357" t="str">
        <f>VLOOKUP(YouTube_University_Data_Final[[#This Row],[Title]],[1]!YouTube_University_Data_Final[[Title]:[Title_language]],2,FALSE)</f>
        <v>Bilingual</v>
      </c>
      <c r="E2357" t="s">
        <v>2944</v>
      </c>
      <c r="F2357">
        <v>27</v>
      </c>
      <c r="G2357" s="1">
        <v>42983</v>
      </c>
      <c r="H2357">
        <v>95</v>
      </c>
      <c r="I2357" t="s">
        <v>2377</v>
      </c>
      <c r="J2357">
        <v>4471</v>
      </c>
      <c r="K2357">
        <v>23</v>
      </c>
      <c r="L2357">
        <v>0</v>
      </c>
      <c r="M2357">
        <v>0</v>
      </c>
      <c r="N2357" t="s">
        <v>21</v>
      </c>
      <c r="O2357">
        <v>2017</v>
      </c>
      <c r="P2357" t="s">
        <v>18</v>
      </c>
    </row>
    <row r="2358" spans="1:16" x14ac:dyDescent="0.3">
      <c r="A2358">
        <v>303</v>
      </c>
      <c r="B2358" t="s">
        <v>1921</v>
      </c>
      <c r="C2358" t="s">
        <v>2378</v>
      </c>
      <c r="D2358" t="str">
        <f>VLOOKUP(YouTube_University_Data_Final[[#This Row],[Title]],[1]!YouTube_University_Data_Final[[Title]:[Title_language]],2,FALSE)</f>
        <v>English</v>
      </c>
      <c r="E2358" t="s">
        <v>2379</v>
      </c>
      <c r="F2358">
        <v>27</v>
      </c>
      <c r="G2358" s="1">
        <v>42971</v>
      </c>
      <c r="H2358">
        <v>71</v>
      </c>
      <c r="I2358" t="s">
        <v>2380</v>
      </c>
      <c r="J2358">
        <v>216</v>
      </c>
      <c r="K2358">
        <v>0</v>
      </c>
      <c r="L2358">
        <v>0</v>
      </c>
      <c r="M2358">
        <v>0</v>
      </c>
      <c r="N2358" t="s">
        <v>48</v>
      </c>
      <c r="O2358">
        <v>2017</v>
      </c>
      <c r="P2358" t="s">
        <v>18</v>
      </c>
    </row>
    <row r="2359" spans="1:16" x14ac:dyDescent="0.3">
      <c r="A2359">
        <v>304</v>
      </c>
      <c r="B2359" t="s">
        <v>1921</v>
      </c>
      <c r="C2359" t="s">
        <v>2381</v>
      </c>
      <c r="D2359" t="str">
        <f>VLOOKUP(YouTube_University_Data_Final[[#This Row],[Title]],[1]!YouTube_University_Data_Final[[Title]:[Title_language]],2,FALSE)</f>
        <v>English</v>
      </c>
      <c r="E2359" t="s">
        <v>5002</v>
      </c>
      <c r="F2359">
        <v>27</v>
      </c>
      <c r="G2359" s="1">
        <v>42971</v>
      </c>
      <c r="H2359">
        <v>68</v>
      </c>
      <c r="I2359" t="s">
        <v>2382</v>
      </c>
      <c r="J2359">
        <v>382</v>
      </c>
      <c r="K2359">
        <v>4</v>
      </c>
      <c r="L2359">
        <v>0</v>
      </c>
      <c r="M2359">
        <v>0</v>
      </c>
      <c r="N2359" t="s">
        <v>48</v>
      </c>
      <c r="O2359">
        <v>2017</v>
      </c>
      <c r="P2359" t="s">
        <v>18</v>
      </c>
    </row>
    <row r="2360" spans="1:16" x14ac:dyDescent="0.3">
      <c r="A2360">
        <v>305</v>
      </c>
      <c r="B2360" t="s">
        <v>1921</v>
      </c>
      <c r="C2360" t="s">
        <v>2383</v>
      </c>
      <c r="D2360" t="str">
        <f>VLOOKUP(YouTube_University_Data_Final[[#This Row],[Title]],[1]!YouTube_University_Data_Final[[Title]:[Title_language]],2,FALSE)</f>
        <v>English</v>
      </c>
      <c r="E2360" t="s">
        <v>2384</v>
      </c>
      <c r="F2360">
        <v>27</v>
      </c>
      <c r="G2360" s="1">
        <v>42971</v>
      </c>
      <c r="H2360">
        <v>92</v>
      </c>
      <c r="I2360" t="s">
        <v>2385</v>
      </c>
      <c r="J2360">
        <v>315</v>
      </c>
      <c r="K2360">
        <v>5</v>
      </c>
      <c r="L2360">
        <v>0</v>
      </c>
      <c r="M2360">
        <v>0</v>
      </c>
      <c r="N2360" t="s">
        <v>48</v>
      </c>
      <c r="O2360">
        <v>2017</v>
      </c>
      <c r="P2360" t="s">
        <v>18</v>
      </c>
    </row>
    <row r="2361" spans="1:16" x14ac:dyDescent="0.3">
      <c r="A2361">
        <v>306</v>
      </c>
      <c r="B2361" t="s">
        <v>1921</v>
      </c>
      <c r="C2361" t="s">
        <v>2386</v>
      </c>
      <c r="D2361" t="str">
        <f>VLOOKUP(YouTube_University_Data_Final[[#This Row],[Title]],[1]!YouTube_University_Data_Final[[Title]:[Title_language]],2,FALSE)</f>
        <v>English</v>
      </c>
      <c r="E2361" t="s">
        <v>5003</v>
      </c>
      <c r="F2361">
        <v>27</v>
      </c>
      <c r="G2361" s="1">
        <v>42971</v>
      </c>
      <c r="H2361">
        <v>107</v>
      </c>
      <c r="I2361" t="s">
        <v>2387</v>
      </c>
      <c r="J2361">
        <v>393</v>
      </c>
      <c r="K2361">
        <v>3</v>
      </c>
      <c r="L2361">
        <v>0</v>
      </c>
      <c r="M2361">
        <v>0</v>
      </c>
      <c r="N2361" t="s">
        <v>48</v>
      </c>
      <c r="O2361">
        <v>2017</v>
      </c>
      <c r="P2361" t="s">
        <v>18</v>
      </c>
    </row>
    <row r="2362" spans="1:16" x14ac:dyDescent="0.3">
      <c r="A2362">
        <v>307</v>
      </c>
      <c r="B2362" t="s">
        <v>1921</v>
      </c>
      <c r="C2362" t="s">
        <v>2388</v>
      </c>
      <c r="D2362" t="str">
        <f>VLOOKUP(YouTube_University_Data_Final[[#This Row],[Title]],[1]!YouTube_University_Data_Final[[Title]:[Title_language]],2,FALSE)</f>
        <v>English</v>
      </c>
      <c r="E2362" t="s">
        <v>2389</v>
      </c>
      <c r="F2362">
        <v>27</v>
      </c>
      <c r="G2362" s="1">
        <v>42971</v>
      </c>
      <c r="H2362">
        <v>128</v>
      </c>
      <c r="I2362" t="s">
        <v>2390</v>
      </c>
      <c r="J2362">
        <v>1060</v>
      </c>
      <c r="K2362">
        <v>10</v>
      </c>
      <c r="L2362">
        <v>0</v>
      </c>
      <c r="M2362">
        <v>0</v>
      </c>
      <c r="N2362" t="s">
        <v>48</v>
      </c>
      <c r="O2362">
        <v>2017</v>
      </c>
      <c r="P2362" t="s">
        <v>18</v>
      </c>
    </row>
    <row r="2363" spans="1:16" x14ac:dyDescent="0.3">
      <c r="A2363">
        <v>308</v>
      </c>
      <c r="B2363" t="s">
        <v>1921</v>
      </c>
      <c r="C2363" t="s">
        <v>2391</v>
      </c>
      <c r="D2363" t="str">
        <f>VLOOKUP(YouTube_University_Data_Final[[#This Row],[Title]],[1]!YouTube_University_Data_Final[[Title]:[Title_language]],2,FALSE)</f>
        <v>English</v>
      </c>
      <c r="E2363" t="s">
        <v>5004</v>
      </c>
      <c r="F2363">
        <v>27</v>
      </c>
      <c r="G2363" s="1">
        <v>42965</v>
      </c>
      <c r="H2363">
        <v>110</v>
      </c>
      <c r="I2363" t="s">
        <v>2392</v>
      </c>
      <c r="J2363">
        <v>260</v>
      </c>
      <c r="K2363">
        <v>2</v>
      </c>
      <c r="L2363">
        <v>0</v>
      </c>
      <c r="M2363">
        <v>0</v>
      </c>
      <c r="N2363" t="s">
        <v>48</v>
      </c>
      <c r="O2363">
        <v>2017</v>
      </c>
      <c r="P2363" t="s">
        <v>18</v>
      </c>
    </row>
    <row r="2364" spans="1:16" x14ac:dyDescent="0.3">
      <c r="A2364">
        <v>309</v>
      </c>
      <c r="B2364" t="s">
        <v>1921</v>
      </c>
      <c r="C2364" t="s">
        <v>2393</v>
      </c>
      <c r="D2364" t="str">
        <f>VLOOKUP(YouTube_University_Data_Final[[#This Row],[Title]],[1]!YouTube_University_Data_Final[[Title]:[Title_language]],2,FALSE)</f>
        <v>English</v>
      </c>
      <c r="E2364" t="s">
        <v>5005</v>
      </c>
      <c r="F2364">
        <v>27</v>
      </c>
      <c r="G2364" s="1">
        <v>42965</v>
      </c>
      <c r="H2364">
        <v>80</v>
      </c>
      <c r="I2364" t="s">
        <v>2394</v>
      </c>
      <c r="J2364">
        <v>315</v>
      </c>
      <c r="K2364">
        <v>1</v>
      </c>
      <c r="L2364">
        <v>0</v>
      </c>
      <c r="M2364">
        <v>0</v>
      </c>
      <c r="N2364" t="s">
        <v>48</v>
      </c>
      <c r="O2364">
        <v>2017</v>
      </c>
      <c r="P2364" t="s">
        <v>18</v>
      </c>
    </row>
    <row r="2365" spans="1:16" x14ac:dyDescent="0.3">
      <c r="A2365">
        <v>310</v>
      </c>
      <c r="B2365" t="s">
        <v>1921</v>
      </c>
      <c r="C2365" t="s">
        <v>2395</v>
      </c>
      <c r="D2365" t="str">
        <f>VLOOKUP(YouTube_University_Data_Final[[#This Row],[Title]],[1]!YouTube_University_Data_Final[[Title]:[Title_language]],2,FALSE)</f>
        <v>English</v>
      </c>
      <c r="E2365" t="s">
        <v>2396</v>
      </c>
      <c r="F2365">
        <v>27</v>
      </c>
      <c r="G2365" s="1">
        <v>42965</v>
      </c>
      <c r="H2365">
        <v>144</v>
      </c>
      <c r="I2365" t="s">
        <v>2397</v>
      </c>
      <c r="J2365">
        <v>2631</v>
      </c>
      <c r="K2365">
        <v>19</v>
      </c>
      <c r="L2365">
        <v>0</v>
      </c>
      <c r="M2365">
        <v>0</v>
      </c>
      <c r="N2365" t="s">
        <v>48</v>
      </c>
      <c r="O2365">
        <v>2017</v>
      </c>
      <c r="P2365" t="s">
        <v>18</v>
      </c>
    </row>
    <row r="2366" spans="1:16" x14ac:dyDescent="0.3">
      <c r="A2366">
        <v>311</v>
      </c>
      <c r="B2366" t="s">
        <v>1921</v>
      </c>
      <c r="C2366" t="s">
        <v>2398</v>
      </c>
      <c r="D2366" t="str">
        <f>VLOOKUP(YouTube_University_Data_Final[[#This Row],[Title]],[1]!YouTube_University_Data_Final[[Title]:[Title_language]],2,FALSE)</f>
        <v>English</v>
      </c>
      <c r="E2366" t="s">
        <v>2399</v>
      </c>
      <c r="F2366">
        <v>27</v>
      </c>
      <c r="G2366" s="1">
        <v>42965</v>
      </c>
      <c r="H2366">
        <v>111</v>
      </c>
      <c r="I2366" t="s">
        <v>2400</v>
      </c>
      <c r="J2366">
        <v>4263</v>
      </c>
      <c r="K2366">
        <v>31</v>
      </c>
      <c r="L2366">
        <v>0</v>
      </c>
      <c r="M2366">
        <v>0</v>
      </c>
      <c r="N2366" t="s">
        <v>48</v>
      </c>
      <c r="O2366">
        <v>2017</v>
      </c>
      <c r="P2366" t="s">
        <v>18</v>
      </c>
    </row>
    <row r="2367" spans="1:16" x14ac:dyDescent="0.3">
      <c r="A2367">
        <v>312</v>
      </c>
      <c r="B2367" t="s">
        <v>1921</v>
      </c>
      <c r="C2367" t="s">
        <v>2401</v>
      </c>
      <c r="D2367" t="str">
        <f>VLOOKUP(YouTube_University_Data_Final[[#This Row],[Title]],[1]!YouTube_University_Data_Final[[Title]:[Title_language]],2,FALSE)</f>
        <v>English</v>
      </c>
      <c r="E2367" t="s">
        <v>2402</v>
      </c>
      <c r="F2367">
        <v>27</v>
      </c>
      <c r="G2367" s="1">
        <v>42965</v>
      </c>
      <c r="H2367">
        <v>214</v>
      </c>
      <c r="I2367" t="s">
        <v>2403</v>
      </c>
      <c r="J2367">
        <v>2778</v>
      </c>
      <c r="K2367">
        <v>22</v>
      </c>
      <c r="L2367">
        <v>0</v>
      </c>
      <c r="M2367">
        <v>0</v>
      </c>
      <c r="N2367" t="s">
        <v>48</v>
      </c>
      <c r="O2367">
        <v>2017</v>
      </c>
      <c r="P2367" t="s">
        <v>18</v>
      </c>
    </row>
    <row r="2368" spans="1:16" x14ac:dyDescent="0.3">
      <c r="A2368">
        <v>313</v>
      </c>
      <c r="B2368" t="s">
        <v>1921</v>
      </c>
      <c r="C2368" t="s">
        <v>2404</v>
      </c>
      <c r="D2368" t="str">
        <f>VLOOKUP(YouTube_University_Data_Final[[#This Row],[Title]],[1]!YouTube_University_Data_Final[[Title]:[Title_language]],2,FALSE)</f>
        <v>English</v>
      </c>
      <c r="E2368" t="s">
        <v>5006</v>
      </c>
      <c r="F2368">
        <v>27</v>
      </c>
      <c r="G2368" s="1">
        <v>42965</v>
      </c>
      <c r="H2368">
        <v>186</v>
      </c>
      <c r="I2368" t="s">
        <v>2405</v>
      </c>
      <c r="J2368">
        <v>5706</v>
      </c>
      <c r="K2368">
        <v>32</v>
      </c>
      <c r="L2368">
        <v>0</v>
      </c>
      <c r="M2368">
        <v>0</v>
      </c>
      <c r="N2368" t="s">
        <v>48</v>
      </c>
      <c r="O2368">
        <v>2017</v>
      </c>
      <c r="P2368" t="s">
        <v>18</v>
      </c>
    </row>
    <row r="2369" spans="1:16" x14ac:dyDescent="0.3">
      <c r="A2369">
        <v>314</v>
      </c>
      <c r="B2369" t="s">
        <v>1921</v>
      </c>
      <c r="C2369" t="s">
        <v>5007</v>
      </c>
      <c r="D2369" t="str">
        <f>VLOOKUP(YouTube_University_Data_Final[[#This Row],[Title]],[1]!YouTube_University_Data_Final[[Title]:[Title_language]],2,FALSE)</f>
        <v>Bilingual</v>
      </c>
      <c r="E2369" t="s">
        <v>5008</v>
      </c>
      <c r="F2369">
        <v>27</v>
      </c>
      <c r="G2369" s="1">
        <v>42961</v>
      </c>
      <c r="H2369">
        <v>301</v>
      </c>
      <c r="I2369" t="s">
        <v>2406</v>
      </c>
      <c r="J2369">
        <v>909</v>
      </c>
      <c r="K2369">
        <v>3</v>
      </c>
      <c r="L2369">
        <v>0</v>
      </c>
      <c r="M2369">
        <v>0</v>
      </c>
      <c r="N2369" t="s">
        <v>48</v>
      </c>
      <c r="O2369">
        <v>2017</v>
      </c>
      <c r="P2369" t="s">
        <v>18</v>
      </c>
    </row>
    <row r="2370" spans="1:16" x14ac:dyDescent="0.3">
      <c r="A2370">
        <v>315</v>
      </c>
      <c r="B2370" t="s">
        <v>1921</v>
      </c>
      <c r="C2370" t="s">
        <v>2407</v>
      </c>
      <c r="D2370" t="str">
        <f>VLOOKUP(YouTube_University_Data_Final[[#This Row],[Title]],[1]!YouTube_University_Data_Final[[Title]:[Title_language]],2,FALSE)</f>
        <v>English</v>
      </c>
      <c r="E2370" t="s">
        <v>5009</v>
      </c>
      <c r="F2370">
        <v>27</v>
      </c>
      <c r="G2370" s="1">
        <v>42957</v>
      </c>
      <c r="H2370">
        <v>196</v>
      </c>
      <c r="I2370" t="s">
        <v>2408</v>
      </c>
      <c r="J2370">
        <v>252</v>
      </c>
      <c r="K2370">
        <v>1</v>
      </c>
      <c r="L2370">
        <v>0</v>
      </c>
      <c r="M2370">
        <v>0</v>
      </c>
      <c r="N2370" t="s">
        <v>48</v>
      </c>
      <c r="O2370">
        <v>2017</v>
      </c>
      <c r="P2370" t="s">
        <v>18</v>
      </c>
    </row>
    <row r="2371" spans="1:16" x14ac:dyDescent="0.3">
      <c r="A2371">
        <v>316</v>
      </c>
      <c r="B2371" t="s">
        <v>1921</v>
      </c>
      <c r="C2371" t="s">
        <v>5010</v>
      </c>
      <c r="D2371" t="str">
        <f>VLOOKUP(YouTube_University_Data_Final[[#This Row],[Title]],[1]!YouTube_University_Data_Final[[Title]:[Title_language]],2,FALSE)</f>
        <v>Bilingual</v>
      </c>
      <c r="E2371" t="s">
        <v>5011</v>
      </c>
      <c r="F2371">
        <v>27</v>
      </c>
      <c r="G2371" s="1">
        <v>42941</v>
      </c>
      <c r="H2371">
        <v>65</v>
      </c>
      <c r="I2371" t="s">
        <v>2409</v>
      </c>
      <c r="J2371">
        <v>381</v>
      </c>
      <c r="K2371">
        <v>3</v>
      </c>
      <c r="L2371">
        <v>0</v>
      </c>
      <c r="M2371">
        <v>0</v>
      </c>
      <c r="N2371" t="s">
        <v>56</v>
      </c>
      <c r="O2371">
        <v>2017</v>
      </c>
      <c r="P2371" t="s">
        <v>18</v>
      </c>
    </row>
    <row r="2372" spans="1:16" x14ac:dyDescent="0.3">
      <c r="A2372">
        <v>317</v>
      </c>
      <c r="B2372" t="s">
        <v>1921</v>
      </c>
      <c r="C2372" t="s">
        <v>5012</v>
      </c>
      <c r="D2372" t="str">
        <f>VLOOKUP(YouTube_University_Data_Final[[#This Row],[Title]],[1]!YouTube_University_Data_Final[[Title]:[Title_language]],2,FALSE)</f>
        <v>Bilingual</v>
      </c>
      <c r="E2372" t="s">
        <v>5013</v>
      </c>
      <c r="F2372">
        <v>27</v>
      </c>
      <c r="G2372" s="1">
        <v>42941</v>
      </c>
      <c r="H2372">
        <v>3</v>
      </c>
      <c r="I2372" t="s">
        <v>2409</v>
      </c>
      <c r="J2372">
        <v>194</v>
      </c>
      <c r="K2372">
        <v>0</v>
      </c>
      <c r="L2372">
        <v>0</v>
      </c>
      <c r="M2372">
        <v>0</v>
      </c>
      <c r="N2372" t="s">
        <v>56</v>
      </c>
      <c r="O2372">
        <v>2017</v>
      </c>
      <c r="P2372" t="s">
        <v>18</v>
      </c>
    </row>
    <row r="2373" spans="1:16" x14ac:dyDescent="0.3">
      <c r="A2373">
        <v>318</v>
      </c>
      <c r="B2373" t="s">
        <v>1921</v>
      </c>
      <c r="C2373" t="s">
        <v>5014</v>
      </c>
      <c r="D2373" t="str">
        <f>VLOOKUP(YouTube_University_Data_Final[[#This Row],[Title]],[1]!YouTube_University_Data_Final[[Title]:[Title_language]],2,FALSE)</f>
        <v>Bilingual</v>
      </c>
      <c r="E2373" t="s">
        <v>5015</v>
      </c>
      <c r="F2373">
        <v>27</v>
      </c>
      <c r="G2373" s="1">
        <v>42941</v>
      </c>
      <c r="H2373">
        <v>13</v>
      </c>
      <c r="I2373" t="s">
        <v>2409</v>
      </c>
      <c r="J2373">
        <v>317</v>
      </c>
      <c r="K2373">
        <v>0</v>
      </c>
      <c r="L2373">
        <v>0</v>
      </c>
      <c r="M2373">
        <v>0</v>
      </c>
      <c r="N2373" t="s">
        <v>56</v>
      </c>
      <c r="O2373">
        <v>2017</v>
      </c>
      <c r="P2373" t="s">
        <v>18</v>
      </c>
    </row>
    <row r="2374" spans="1:16" x14ac:dyDescent="0.3">
      <c r="A2374">
        <v>319</v>
      </c>
      <c r="B2374" t="s">
        <v>1921</v>
      </c>
      <c r="C2374" t="s">
        <v>5016</v>
      </c>
      <c r="D2374" t="str">
        <f>VLOOKUP(YouTube_University_Data_Final[[#This Row],[Title]],[1]!YouTube_University_Data_Final[[Title]:[Title_language]],2,FALSE)</f>
        <v>Bilingual</v>
      </c>
      <c r="E2374" t="s">
        <v>5017</v>
      </c>
      <c r="F2374">
        <v>27</v>
      </c>
      <c r="G2374" s="1">
        <v>42941</v>
      </c>
      <c r="H2374">
        <v>103</v>
      </c>
      <c r="I2374" t="s">
        <v>2409</v>
      </c>
      <c r="J2374">
        <v>387</v>
      </c>
      <c r="K2374">
        <v>2</v>
      </c>
      <c r="L2374">
        <v>0</v>
      </c>
      <c r="M2374">
        <v>0</v>
      </c>
      <c r="N2374" t="s">
        <v>56</v>
      </c>
      <c r="O2374">
        <v>2017</v>
      </c>
      <c r="P2374" t="s">
        <v>18</v>
      </c>
    </row>
    <row r="2375" spans="1:16" x14ac:dyDescent="0.3">
      <c r="A2375">
        <v>320</v>
      </c>
      <c r="B2375" t="s">
        <v>1921</v>
      </c>
      <c r="C2375" t="s">
        <v>2410</v>
      </c>
      <c r="D2375" t="str">
        <f>VLOOKUP(YouTube_University_Data_Final[[#This Row],[Title]],[1]!YouTube_University_Data_Final[[Title]:[Title_language]],2,FALSE)</f>
        <v>English</v>
      </c>
      <c r="E2375" t="s">
        <v>2411</v>
      </c>
      <c r="F2375">
        <v>27</v>
      </c>
      <c r="G2375" s="1">
        <v>42935</v>
      </c>
      <c r="H2375">
        <v>85</v>
      </c>
      <c r="I2375" t="s">
        <v>2944</v>
      </c>
      <c r="J2375">
        <v>644</v>
      </c>
      <c r="K2375">
        <v>5</v>
      </c>
      <c r="L2375">
        <v>0</v>
      </c>
      <c r="M2375">
        <v>0</v>
      </c>
      <c r="N2375" t="s">
        <v>56</v>
      </c>
      <c r="O2375">
        <v>2017</v>
      </c>
      <c r="P2375" t="s">
        <v>18</v>
      </c>
    </row>
    <row r="2376" spans="1:16" x14ac:dyDescent="0.3">
      <c r="A2376">
        <v>321</v>
      </c>
      <c r="B2376" t="s">
        <v>1921</v>
      </c>
      <c r="C2376" t="s">
        <v>5018</v>
      </c>
      <c r="D2376" t="str">
        <f>VLOOKUP(YouTube_University_Data_Final[[#This Row],[Title]],[1]!YouTube_University_Data_Final[[Title]:[Title_language]],2,FALSE)</f>
        <v>Bilingual</v>
      </c>
      <c r="E2376" t="s">
        <v>5019</v>
      </c>
      <c r="F2376">
        <v>27</v>
      </c>
      <c r="G2376" s="1">
        <v>42930</v>
      </c>
      <c r="H2376">
        <v>68</v>
      </c>
      <c r="I2376" t="s">
        <v>2412</v>
      </c>
      <c r="J2376">
        <v>598</v>
      </c>
      <c r="K2376">
        <v>0</v>
      </c>
      <c r="L2376">
        <v>0</v>
      </c>
      <c r="M2376">
        <v>0</v>
      </c>
      <c r="N2376" t="s">
        <v>56</v>
      </c>
      <c r="O2376">
        <v>2017</v>
      </c>
      <c r="P2376" t="s">
        <v>18</v>
      </c>
    </row>
    <row r="2377" spans="1:16" x14ac:dyDescent="0.3">
      <c r="A2377">
        <v>322</v>
      </c>
      <c r="B2377" t="s">
        <v>1921</v>
      </c>
      <c r="C2377" t="s">
        <v>5020</v>
      </c>
      <c r="D2377" t="str">
        <f>VLOOKUP(YouTube_University_Data_Final[[#This Row],[Title]],[1]!YouTube_University_Data_Final[[Title]:[Title_language]],2,FALSE)</f>
        <v>Bilingual</v>
      </c>
      <c r="E2377" t="s">
        <v>5021</v>
      </c>
      <c r="F2377">
        <v>27</v>
      </c>
      <c r="G2377" s="1">
        <v>42926</v>
      </c>
      <c r="H2377">
        <v>26</v>
      </c>
      <c r="I2377" t="s">
        <v>2413</v>
      </c>
      <c r="J2377">
        <v>467</v>
      </c>
      <c r="K2377">
        <v>1</v>
      </c>
      <c r="L2377">
        <v>0</v>
      </c>
      <c r="M2377">
        <v>0</v>
      </c>
      <c r="N2377" t="s">
        <v>56</v>
      </c>
      <c r="O2377">
        <v>2017</v>
      </c>
      <c r="P2377" t="s">
        <v>18</v>
      </c>
    </row>
    <row r="2378" spans="1:16" x14ac:dyDescent="0.3">
      <c r="A2378">
        <v>323</v>
      </c>
      <c r="B2378" t="s">
        <v>1921</v>
      </c>
      <c r="C2378" t="s">
        <v>5022</v>
      </c>
      <c r="D2378" t="str">
        <f>VLOOKUP(YouTube_University_Data_Final[[#This Row],[Title]],[1]!YouTube_University_Data_Final[[Title]:[Title_language]],2,FALSE)</f>
        <v>Bilingual</v>
      </c>
      <c r="E2378" t="s">
        <v>5023</v>
      </c>
      <c r="F2378">
        <v>27</v>
      </c>
      <c r="G2378" s="1">
        <v>42909</v>
      </c>
      <c r="H2378">
        <v>24</v>
      </c>
      <c r="I2378" t="s">
        <v>2409</v>
      </c>
      <c r="J2378">
        <v>244</v>
      </c>
      <c r="K2378">
        <v>3</v>
      </c>
      <c r="L2378">
        <v>0</v>
      </c>
      <c r="M2378">
        <v>0</v>
      </c>
      <c r="N2378" t="s">
        <v>78</v>
      </c>
      <c r="O2378">
        <v>2017</v>
      </c>
      <c r="P2378" t="s">
        <v>18</v>
      </c>
    </row>
    <row r="2379" spans="1:16" x14ac:dyDescent="0.3">
      <c r="A2379">
        <v>324</v>
      </c>
      <c r="B2379" t="s">
        <v>1921</v>
      </c>
      <c r="C2379" t="s">
        <v>5024</v>
      </c>
      <c r="D2379" t="str">
        <f>VLOOKUP(YouTube_University_Data_Final[[#This Row],[Title]],[1]!YouTube_University_Data_Final[[Title]:[Title_language]],2,FALSE)</f>
        <v>Bilingual</v>
      </c>
      <c r="E2379" t="s">
        <v>5025</v>
      </c>
      <c r="F2379">
        <v>27</v>
      </c>
      <c r="G2379" s="1">
        <v>42909</v>
      </c>
      <c r="H2379">
        <v>14</v>
      </c>
      <c r="I2379" t="s">
        <v>2408</v>
      </c>
      <c r="J2379">
        <v>133</v>
      </c>
      <c r="K2379">
        <v>0</v>
      </c>
      <c r="L2379">
        <v>0</v>
      </c>
      <c r="M2379">
        <v>0</v>
      </c>
      <c r="N2379" t="s">
        <v>78</v>
      </c>
      <c r="O2379">
        <v>2017</v>
      </c>
      <c r="P2379" t="s">
        <v>18</v>
      </c>
    </row>
    <row r="2380" spans="1:16" x14ac:dyDescent="0.3">
      <c r="A2380">
        <v>325</v>
      </c>
      <c r="B2380" t="s">
        <v>1921</v>
      </c>
      <c r="C2380" t="s">
        <v>5026</v>
      </c>
      <c r="D2380" t="str">
        <f>VLOOKUP(YouTube_University_Data_Final[[#This Row],[Title]],[1]!YouTube_University_Data_Final[[Title]:[Title_language]],2,FALSE)</f>
        <v>Chinese</v>
      </c>
      <c r="E2380" t="s">
        <v>5027</v>
      </c>
      <c r="F2380">
        <v>27</v>
      </c>
      <c r="G2380" s="1">
        <v>42909</v>
      </c>
      <c r="H2380">
        <v>28</v>
      </c>
      <c r="I2380" t="s">
        <v>2409</v>
      </c>
      <c r="J2380">
        <v>101</v>
      </c>
      <c r="K2380">
        <v>0</v>
      </c>
      <c r="L2380">
        <v>0</v>
      </c>
      <c r="M2380">
        <v>0</v>
      </c>
      <c r="N2380" t="s">
        <v>78</v>
      </c>
      <c r="O2380">
        <v>2017</v>
      </c>
      <c r="P2380" t="s">
        <v>18</v>
      </c>
    </row>
    <row r="2381" spans="1:16" x14ac:dyDescent="0.3">
      <c r="A2381">
        <v>326</v>
      </c>
      <c r="B2381" t="s">
        <v>1921</v>
      </c>
      <c r="C2381" t="s">
        <v>5028</v>
      </c>
      <c r="D2381" t="str">
        <f>VLOOKUP(YouTube_University_Data_Final[[#This Row],[Title]],[1]!YouTube_University_Data_Final[[Title]:[Title_language]],2,FALSE)</f>
        <v>Bilingual</v>
      </c>
      <c r="E2381" t="s">
        <v>5029</v>
      </c>
      <c r="F2381">
        <v>27</v>
      </c>
      <c r="G2381" s="1">
        <v>42909</v>
      </c>
      <c r="H2381">
        <v>29</v>
      </c>
      <c r="I2381" t="s">
        <v>2409</v>
      </c>
      <c r="J2381">
        <v>128</v>
      </c>
      <c r="K2381">
        <v>0</v>
      </c>
      <c r="L2381">
        <v>0</v>
      </c>
      <c r="M2381">
        <v>0</v>
      </c>
      <c r="N2381" t="s">
        <v>78</v>
      </c>
      <c r="O2381">
        <v>2017</v>
      </c>
      <c r="P2381" t="s">
        <v>18</v>
      </c>
    </row>
    <row r="2382" spans="1:16" x14ac:dyDescent="0.3">
      <c r="A2382">
        <v>327</v>
      </c>
      <c r="B2382" t="s">
        <v>1921</v>
      </c>
      <c r="C2382" t="s">
        <v>2414</v>
      </c>
      <c r="D2382" t="str">
        <f>VLOOKUP(YouTube_University_Data_Final[[#This Row],[Title]],[1]!YouTube_University_Data_Final[[Title]:[Title_language]],2,FALSE)</f>
        <v>English</v>
      </c>
      <c r="E2382" t="s">
        <v>5030</v>
      </c>
      <c r="F2382">
        <v>27</v>
      </c>
      <c r="G2382" s="1">
        <v>42909</v>
      </c>
      <c r="H2382">
        <v>17</v>
      </c>
      <c r="I2382" t="s">
        <v>2409</v>
      </c>
      <c r="J2382">
        <v>87</v>
      </c>
      <c r="K2382">
        <v>0</v>
      </c>
      <c r="L2382">
        <v>0</v>
      </c>
      <c r="M2382">
        <v>0</v>
      </c>
      <c r="N2382" t="s">
        <v>78</v>
      </c>
      <c r="O2382">
        <v>2017</v>
      </c>
      <c r="P2382" t="s">
        <v>18</v>
      </c>
    </row>
    <row r="2383" spans="1:16" x14ac:dyDescent="0.3">
      <c r="A2383">
        <v>328</v>
      </c>
      <c r="B2383" t="s">
        <v>1921</v>
      </c>
      <c r="C2383" t="s">
        <v>2415</v>
      </c>
      <c r="D2383" t="str">
        <f>VLOOKUP(YouTube_University_Data_Final[[#This Row],[Title]],[1]!YouTube_University_Data_Final[[Title]:[Title_language]],2,FALSE)</f>
        <v>English</v>
      </c>
      <c r="E2383" t="s">
        <v>5031</v>
      </c>
      <c r="F2383">
        <v>27</v>
      </c>
      <c r="G2383" s="1">
        <v>42909</v>
      </c>
      <c r="H2383">
        <v>16</v>
      </c>
      <c r="I2383" t="s">
        <v>2409</v>
      </c>
      <c r="J2383">
        <v>211</v>
      </c>
      <c r="K2383">
        <v>0</v>
      </c>
      <c r="L2383">
        <v>0</v>
      </c>
      <c r="M2383">
        <v>0</v>
      </c>
      <c r="N2383" t="s">
        <v>78</v>
      </c>
      <c r="O2383">
        <v>2017</v>
      </c>
      <c r="P2383" t="s">
        <v>18</v>
      </c>
    </row>
    <row r="2384" spans="1:16" x14ac:dyDescent="0.3">
      <c r="A2384">
        <v>329</v>
      </c>
      <c r="B2384" t="s">
        <v>1921</v>
      </c>
      <c r="C2384" t="s">
        <v>5032</v>
      </c>
      <c r="D2384" t="str">
        <f>VLOOKUP(YouTube_University_Data_Final[[#This Row],[Title]],[1]!YouTube_University_Data_Final[[Title]:[Title_language]],2,FALSE)</f>
        <v>Bilingual</v>
      </c>
      <c r="E2384" t="s">
        <v>5033</v>
      </c>
      <c r="F2384">
        <v>27</v>
      </c>
      <c r="G2384" s="1">
        <v>42909</v>
      </c>
      <c r="H2384">
        <v>44</v>
      </c>
      <c r="I2384" t="s">
        <v>2409</v>
      </c>
      <c r="J2384">
        <v>137</v>
      </c>
      <c r="K2384">
        <v>0</v>
      </c>
      <c r="L2384">
        <v>0</v>
      </c>
      <c r="M2384">
        <v>0</v>
      </c>
      <c r="N2384" t="s">
        <v>78</v>
      </c>
      <c r="O2384">
        <v>2017</v>
      </c>
      <c r="P2384" t="s">
        <v>18</v>
      </c>
    </row>
    <row r="2385" spans="1:16" x14ac:dyDescent="0.3">
      <c r="A2385">
        <v>330</v>
      </c>
      <c r="B2385" t="s">
        <v>1921</v>
      </c>
      <c r="C2385" t="s">
        <v>5034</v>
      </c>
      <c r="D2385" t="str">
        <f>VLOOKUP(YouTube_University_Data_Final[[#This Row],[Title]],[1]!YouTube_University_Data_Final[[Title]:[Title_language]],2,FALSE)</f>
        <v>Bilingual</v>
      </c>
      <c r="E2385" t="s">
        <v>5035</v>
      </c>
      <c r="F2385">
        <v>27</v>
      </c>
      <c r="G2385" s="1">
        <v>42909</v>
      </c>
      <c r="H2385">
        <v>69</v>
      </c>
      <c r="I2385" t="s">
        <v>2409</v>
      </c>
      <c r="J2385">
        <v>119</v>
      </c>
      <c r="K2385">
        <v>0</v>
      </c>
      <c r="L2385">
        <v>0</v>
      </c>
      <c r="M2385">
        <v>0</v>
      </c>
      <c r="N2385" t="s">
        <v>78</v>
      </c>
      <c r="O2385">
        <v>2017</v>
      </c>
      <c r="P2385" t="s">
        <v>18</v>
      </c>
    </row>
    <row r="2386" spans="1:16" x14ac:dyDescent="0.3">
      <c r="A2386">
        <v>331</v>
      </c>
      <c r="B2386" t="s">
        <v>1921</v>
      </c>
      <c r="C2386" t="s">
        <v>5036</v>
      </c>
      <c r="D2386" t="str">
        <f>VLOOKUP(YouTube_University_Data_Final[[#This Row],[Title]],[1]!YouTube_University_Data_Final[[Title]:[Title_language]],2,FALSE)</f>
        <v>Bilingual</v>
      </c>
      <c r="E2386" t="s">
        <v>5037</v>
      </c>
      <c r="F2386">
        <v>27</v>
      </c>
      <c r="G2386" s="1">
        <v>42909</v>
      </c>
      <c r="H2386">
        <v>60</v>
      </c>
      <c r="I2386" t="s">
        <v>2409</v>
      </c>
      <c r="J2386">
        <v>91</v>
      </c>
      <c r="K2386">
        <v>0</v>
      </c>
      <c r="L2386">
        <v>0</v>
      </c>
      <c r="M2386">
        <v>0</v>
      </c>
      <c r="N2386" t="s">
        <v>78</v>
      </c>
      <c r="O2386">
        <v>2017</v>
      </c>
      <c r="P2386" t="s">
        <v>18</v>
      </c>
    </row>
    <row r="2387" spans="1:16" x14ac:dyDescent="0.3">
      <c r="A2387">
        <v>332</v>
      </c>
      <c r="B2387" t="s">
        <v>1921</v>
      </c>
      <c r="C2387" t="s">
        <v>5038</v>
      </c>
      <c r="D2387" t="str">
        <f>VLOOKUP(YouTube_University_Data_Final[[#This Row],[Title]],[1]!YouTube_University_Data_Final[[Title]:[Title_language]],2,FALSE)</f>
        <v>Bilingual</v>
      </c>
      <c r="E2387" t="s">
        <v>5039</v>
      </c>
      <c r="F2387">
        <v>27</v>
      </c>
      <c r="G2387" s="1">
        <v>42909</v>
      </c>
      <c r="H2387">
        <v>104</v>
      </c>
      <c r="I2387" t="s">
        <v>2409</v>
      </c>
      <c r="J2387">
        <v>91</v>
      </c>
      <c r="K2387">
        <v>0</v>
      </c>
      <c r="L2387">
        <v>0</v>
      </c>
      <c r="M2387">
        <v>0</v>
      </c>
      <c r="N2387" t="s">
        <v>78</v>
      </c>
      <c r="O2387">
        <v>2017</v>
      </c>
      <c r="P2387" t="s">
        <v>18</v>
      </c>
    </row>
    <row r="2388" spans="1:16" x14ac:dyDescent="0.3">
      <c r="A2388">
        <v>333</v>
      </c>
      <c r="B2388" t="s">
        <v>1921</v>
      </c>
      <c r="C2388" t="s">
        <v>5040</v>
      </c>
      <c r="D2388" t="str">
        <f>VLOOKUP(YouTube_University_Data_Final[[#This Row],[Title]],[1]!YouTube_University_Data_Final[[Title]:[Title_language]],2,FALSE)</f>
        <v>Chinese</v>
      </c>
      <c r="E2388" t="s">
        <v>5041</v>
      </c>
      <c r="F2388">
        <v>27</v>
      </c>
      <c r="G2388" s="1">
        <v>42905</v>
      </c>
      <c r="H2388">
        <v>39</v>
      </c>
      <c r="I2388" t="s">
        <v>2409</v>
      </c>
      <c r="J2388">
        <v>168</v>
      </c>
      <c r="K2388">
        <v>0</v>
      </c>
      <c r="L2388">
        <v>0</v>
      </c>
      <c r="M2388">
        <v>0</v>
      </c>
      <c r="N2388" t="s">
        <v>78</v>
      </c>
      <c r="O2388">
        <v>2017</v>
      </c>
      <c r="P2388" t="s">
        <v>18</v>
      </c>
    </row>
    <row r="2389" spans="1:16" x14ac:dyDescent="0.3">
      <c r="A2389">
        <v>334</v>
      </c>
      <c r="B2389" t="s">
        <v>1921</v>
      </c>
      <c r="C2389" t="s">
        <v>5042</v>
      </c>
      <c r="D2389" t="str">
        <f>VLOOKUP(YouTube_University_Data_Final[[#This Row],[Title]],[1]!YouTube_University_Data_Final[[Title]:[Title_language]],2,FALSE)</f>
        <v>Chinese</v>
      </c>
      <c r="E2389" t="s">
        <v>5043</v>
      </c>
      <c r="F2389">
        <v>27</v>
      </c>
      <c r="G2389" s="1">
        <v>42905</v>
      </c>
      <c r="H2389">
        <v>14</v>
      </c>
      <c r="I2389" t="s">
        <v>2409</v>
      </c>
      <c r="J2389">
        <v>209</v>
      </c>
      <c r="K2389">
        <v>0</v>
      </c>
      <c r="L2389">
        <v>0</v>
      </c>
      <c r="M2389">
        <v>0</v>
      </c>
      <c r="N2389" t="s">
        <v>78</v>
      </c>
      <c r="O2389">
        <v>2017</v>
      </c>
      <c r="P2389" t="s">
        <v>18</v>
      </c>
    </row>
    <row r="2390" spans="1:16" x14ac:dyDescent="0.3">
      <c r="A2390">
        <v>335</v>
      </c>
      <c r="B2390" t="s">
        <v>1921</v>
      </c>
      <c r="C2390" t="s">
        <v>5044</v>
      </c>
      <c r="D2390" t="str">
        <f>VLOOKUP(YouTube_University_Data_Final[[#This Row],[Title]],[1]!YouTube_University_Data_Final[[Title]:[Title_language]],2,FALSE)</f>
        <v>Bilingual</v>
      </c>
      <c r="E2390" t="s">
        <v>5045</v>
      </c>
      <c r="F2390">
        <v>27</v>
      </c>
      <c r="G2390" s="1">
        <v>42900</v>
      </c>
      <c r="H2390">
        <v>23</v>
      </c>
      <c r="I2390" t="s">
        <v>2416</v>
      </c>
      <c r="J2390">
        <v>1169</v>
      </c>
      <c r="K2390">
        <v>2</v>
      </c>
      <c r="L2390">
        <v>0</v>
      </c>
      <c r="M2390">
        <v>0</v>
      </c>
      <c r="N2390" t="s">
        <v>78</v>
      </c>
      <c r="O2390">
        <v>2017</v>
      </c>
      <c r="P2390" t="s">
        <v>18</v>
      </c>
    </row>
    <row r="2391" spans="1:16" x14ac:dyDescent="0.3">
      <c r="A2391">
        <v>336</v>
      </c>
      <c r="B2391" t="s">
        <v>1921</v>
      </c>
      <c r="C2391" t="s">
        <v>5046</v>
      </c>
      <c r="D2391" t="str">
        <f>VLOOKUP(YouTube_University_Data_Final[[#This Row],[Title]],[1]!YouTube_University_Data_Final[[Title]:[Title_language]],2,FALSE)</f>
        <v>Bilingual</v>
      </c>
      <c r="E2391" t="s">
        <v>5047</v>
      </c>
      <c r="F2391">
        <v>27</v>
      </c>
      <c r="G2391" s="1">
        <v>42900</v>
      </c>
      <c r="H2391">
        <v>66</v>
      </c>
      <c r="I2391" t="s">
        <v>2416</v>
      </c>
      <c r="J2391">
        <v>263</v>
      </c>
      <c r="K2391">
        <v>0</v>
      </c>
      <c r="L2391">
        <v>0</v>
      </c>
      <c r="M2391">
        <v>0</v>
      </c>
      <c r="N2391" t="s">
        <v>78</v>
      </c>
      <c r="O2391">
        <v>2017</v>
      </c>
      <c r="P2391" t="s">
        <v>18</v>
      </c>
    </row>
    <row r="2392" spans="1:16" x14ac:dyDescent="0.3">
      <c r="A2392">
        <v>337</v>
      </c>
      <c r="B2392" t="s">
        <v>1921</v>
      </c>
      <c r="C2392" t="s">
        <v>5048</v>
      </c>
      <c r="D2392" t="str">
        <f>VLOOKUP(YouTube_University_Data_Final[[#This Row],[Title]],[1]!YouTube_University_Data_Final[[Title]:[Title_language]],2,FALSE)</f>
        <v>Chinese</v>
      </c>
      <c r="E2392" t="s">
        <v>5049</v>
      </c>
      <c r="F2392">
        <v>27</v>
      </c>
      <c r="G2392" s="1">
        <v>42900</v>
      </c>
      <c r="H2392">
        <v>30</v>
      </c>
      <c r="I2392" t="s">
        <v>2417</v>
      </c>
      <c r="J2392">
        <v>88</v>
      </c>
      <c r="K2392">
        <v>0</v>
      </c>
      <c r="L2392">
        <v>0</v>
      </c>
      <c r="M2392">
        <v>0</v>
      </c>
      <c r="N2392" t="s">
        <v>78</v>
      </c>
      <c r="O2392">
        <v>2017</v>
      </c>
      <c r="P2392" t="s">
        <v>18</v>
      </c>
    </row>
    <row r="2393" spans="1:16" x14ac:dyDescent="0.3">
      <c r="A2393">
        <v>338</v>
      </c>
      <c r="B2393" t="s">
        <v>1921</v>
      </c>
      <c r="C2393" t="s">
        <v>5050</v>
      </c>
      <c r="D2393" t="str">
        <f>VLOOKUP(YouTube_University_Data_Final[[#This Row],[Title]],[1]!YouTube_University_Data_Final[[Title]:[Title_language]],2,FALSE)</f>
        <v>Chinese</v>
      </c>
      <c r="E2393" t="s">
        <v>5051</v>
      </c>
      <c r="F2393">
        <v>27</v>
      </c>
      <c r="G2393" s="1">
        <v>42900</v>
      </c>
      <c r="H2393">
        <v>40</v>
      </c>
      <c r="I2393" t="s">
        <v>2416</v>
      </c>
      <c r="J2393">
        <v>84</v>
      </c>
      <c r="K2393">
        <v>0</v>
      </c>
      <c r="L2393">
        <v>0</v>
      </c>
      <c r="M2393">
        <v>0</v>
      </c>
      <c r="N2393" t="s">
        <v>78</v>
      </c>
      <c r="O2393">
        <v>2017</v>
      </c>
      <c r="P2393" t="s">
        <v>18</v>
      </c>
    </row>
    <row r="2394" spans="1:16" x14ac:dyDescent="0.3">
      <c r="A2394">
        <v>339</v>
      </c>
      <c r="B2394" t="s">
        <v>1921</v>
      </c>
      <c r="C2394" t="s">
        <v>5052</v>
      </c>
      <c r="D2394" t="str">
        <f>VLOOKUP(YouTube_University_Data_Final[[#This Row],[Title]],[1]!YouTube_University_Data_Final[[Title]:[Title_language]],2,FALSE)</f>
        <v>Chinese</v>
      </c>
      <c r="E2394" t="s">
        <v>5053</v>
      </c>
      <c r="F2394">
        <v>27</v>
      </c>
      <c r="G2394" s="1">
        <v>42900</v>
      </c>
      <c r="H2394">
        <v>9</v>
      </c>
      <c r="I2394" t="s">
        <v>2416</v>
      </c>
      <c r="J2394">
        <v>106</v>
      </c>
      <c r="K2394">
        <v>0</v>
      </c>
      <c r="L2394">
        <v>0</v>
      </c>
      <c r="M2394">
        <v>0</v>
      </c>
      <c r="N2394" t="s">
        <v>78</v>
      </c>
      <c r="O2394">
        <v>2017</v>
      </c>
      <c r="P2394" t="s">
        <v>18</v>
      </c>
    </row>
    <row r="2395" spans="1:16" x14ac:dyDescent="0.3">
      <c r="A2395">
        <v>340</v>
      </c>
      <c r="B2395" t="s">
        <v>1921</v>
      </c>
      <c r="C2395" t="s">
        <v>5054</v>
      </c>
      <c r="D2395" t="str">
        <f>VLOOKUP(YouTube_University_Data_Final[[#This Row],[Title]],[1]!YouTube_University_Data_Final[[Title]:[Title_language]],2,FALSE)</f>
        <v>Chinese</v>
      </c>
      <c r="E2395" t="s">
        <v>5055</v>
      </c>
      <c r="F2395">
        <v>27</v>
      </c>
      <c r="G2395" s="1">
        <v>42900</v>
      </c>
      <c r="H2395">
        <v>40</v>
      </c>
      <c r="I2395" t="s">
        <v>2416</v>
      </c>
      <c r="J2395">
        <v>75</v>
      </c>
      <c r="K2395">
        <v>0</v>
      </c>
      <c r="L2395">
        <v>0</v>
      </c>
      <c r="M2395">
        <v>0</v>
      </c>
      <c r="N2395" t="s">
        <v>78</v>
      </c>
      <c r="O2395">
        <v>2017</v>
      </c>
      <c r="P2395" t="s">
        <v>18</v>
      </c>
    </row>
    <row r="2396" spans="1:16" x14ac:dyDescent="0.3">
      <c r="A2396">
        <v>341</v>
      </c>
      <c r="B2396" t="s">
        <v>1921</v>
      </c>
      <c r="C2396" t="s">
        <v>5056</v>
      </c>
      <c r="D2396" t="str">
        <f>VLOOKUP(YouTube_University_Data_Final[[#This Row],[Title]],[1]!YouTube_University_Data_Final[[Title]:[Title_language]],2,FALSE)</f>
        <v>Chinese</v>
      </c>
      <c r="E2396" t="s">
        <v>5057</v>
      </c>
      <c r="F2396">
        <v>27</v>
      </c>
      <c r="G2396" s="1">
        <v>42900</v>
      </c>
      <c r="H2396">
        <v>33</v>
      </c>
      <c r="I2396" t="s">
        <v>2418</v>
      </c>
      <c r="J2396">
        <v>89</v>
      </c>
      <c r="K2396">
        <v>0</v>
      </c>
      <c r="L2396">
        <v>0</v>
      </c>
      <c r="M2396">
        <v>0</v>
      </c>
      <c r="N2396" t="s">
        <v>78</v>
      </c>
      <c r="O2396">
        <v>2017</v>
      </c>
      <c r="P2396" t="s">
        <v>18</v>
      </c>
    </row>
    <row r="2397" spans="1:16" x14ac:dyDescent="0.3">
      <c r="A2397">
        <v>342</v>
      </c>
      <c r="B2397" t="s">
        <v>1921</v>
      </c>
      <c r="C2397" t="s">
        <v>5058</v>
      </c>
      <c r="D2397" t="str">
        <f>VLOOKUP(YouTube_University_Data_Final[[#This Row],[Title]],[1]!YouTube_University_Data_Final[[Title]:[Title_language]],2,FALSE)</f>
        <v>Chinese</v>
      </c>
      <c r="E2397" t="s">
        <v>5059</v>
      </c>
      <c r="F2397">
        <v>27</v>
      </c>
      <c r="G2397" s="1">
        <v>42900</v>
      </c>
      <c r="H2397">
        <v>40</v>
      </c>
      <c r="I2397" t="s">
        <v>2419</v>
      </c>
      <c r="J2397">
        <v>94</v>
      </c>
      <c r="K2397">
        <v>0</v>
      </c>
      <c r="L2397">
        <v>0</v>
      </c>
      <c r="M2397">
        <v>0</v>
      </c>
      <c r="N2397" t="s">
        <v>78</v>
      </c>
      <c r="O2397">
        <v>2017</v>
      </c>
      <c r="P2397" t="s">
        <v>18</v>
      </c>
    </row>
    <row r="2398" spans="1:16" x14ac:dyDescent="0.3">
      <c r="A2398">
        <v>343</v>
      </c>
      <c r="B2398" t="s">
        <v>1921</v>
      </c>
      <c r="C2398" t="s">
        <v>5060</v>
      </c>
      <c r="D2398" t="str">
        <f>VLOOKUP(YouTube_University_Data_Final[[#This Row],[Title]],[1]!YouTube_University_Data_Final[[Title]:[Title_language]],2,FALSE)</f>
        <v>Bilingual</v>
      </c>
      <c r="E2398" t="s">
        <v>5061</v>
      </c>
      <c r="F2398">
        <v>27</v>
      </c>
      <c r="G2398" s="1">
        <v>42895</v>
      </c>
      <c r="H2398">
        <v>40</v>
      </c>
      <c r="I2398" t="s">
        <v>2416</v>
      </c>
      <c r="J2398">
        <v>258</v>
      </c>
      <c r="K2398">
        <v>0</v>
      </c>
      <c r="L2398">
        <v>0</v>
      </c>
      <c r="M2398">
        <v>0</v>
      </c>
      <c r="N2398" t="s">
        <v>78</v>
      </c>
      <c r="O2398">
        <v>2017</v>
      </c>
      <c r="P2398" t="s">
        <v>18</v>
      </c>
    </row>
    <row r="2399" spans="1:16" x14ac:dyDescent="0.3">
      <c r="A2399">
        <v>344</v>
      </c>
      <c r="B2399" t="s">
        <v>1921</v>
      </c>
      <c r="C2399" t="s">
        <v>5062</v>
      </c>
      <c r="D2399" t="str">
        <f>VLOOKUP(YouTube_University_Data_Final[[#This Row],[Title]],[1]!YouTube_University_Data_Final[[Title]:[Title_language]],2,FALSE)</f>
        <v>Bilingual</v>
      </c>
      <c r="E2399" t="s">
        <v>5063</v>
      </c>
      <c r="F2399">
        <v>27</v>
      </c>
      <c r="G2399" s="1">
        <v>42895</v>
      </c>
      <c r="H2399">
        <v>56</v>
      </c>
      <c r="I2399" t="s">
        <v>2420</v>
      </c>
      <c r="J2399">
        <v>347</v>
      </c>
      <c r="K2399">
        <v>0</v>
      </c>
      <c r="L2399">
        <v>0</v>
      </c>
      <c r="M2399">
        <v>0</v>
      </c>
      <c r="N2399" t="s">
        <v>78</v>
      </c>
      <c r="O2399">
        <v>2017</v>
      </c>
      <c r="P2399" t="s">
        <v>18</v>
      </c>
    </row>
    <row r="2400" spans="1:16" x14ac:dyDescent="0.3">
      <c r="A2400">
        <v>345</v>
      </c>
      <c r="B2400" t="s">
        <v>1921</v>
      </c>
      <c r="C2400" t="s">
        <v>5064</v>
      </c>
      <c r="D2400" t="str">
        <f>VLOOKUP(YouTube_University_Data_Final[[#This Row],[Title]],[1]!YouTube_University_Data_Final[[Title]:[Title_language]],2,FALSE)</f>
        <v>Bilingual</v>
      </c>
      <c r="E2400" t="s">
        <v>5065</v>
      </c>
      <c r="F2400">
        <v>27</v>
      </c>
      <c r="G2400" s="1">
        <v>42895</v>
      </c>
      <c r="H2400">
        <v>71</v>
      </c>
      <c r="I2400" t="s">
        <v>2416</v>
      </c>
      <c r="J2400">
        <v>494</v>
      </c>
      <c r="K2400">
        <v>0</v>
      </c>
      <c r="L2400">
        <v>0</v>
      </c>
      <c r="M2400">
        <v>0</v>
      </c>
      <c r="N2400" t="s">
        <v>78</v>
      </c>
      <c r="O2400">
        <v>2017</v>
      </c>
      <c r="P2400" t="s">
        <v>18</v>
      </c>
    </row>
    <row r="2401" spans="1:16" x14ac:dyDescent="0.3">
      <c r="A2401">
        <v>346</v>
      </c>
      <c r="B2401" t="s">
        <v>1921</v>
      </c>
      <c r="C2401" t="s">
        <v>5066</v>
      </c>
      <c r="D2401" t="str">
        <f>VLOOKUP(YouTube_University_Data_Final[[#This Row],[Title]],[1]!YouTube_University_Data_Final[[Title]:[Title_language]],2,FALSE)</f>
        <v>Bilingual</v>
      </c>
      <c r="E2401" t="s">
        <v>5067</v>
      </c>
      <c r="F2401">
        <v>27</v>
      </c>
      <c r="G2401" s="1">
        <v>42895</v>
      </c>
      <c r="H2401">
        <v>34</v>
      </c>
      <c r="I2401" t="s">
        <v>2421</v>
      </c>
      <c r="J2401">
        <v>440</v>
      </c>
      <c r="K2401">
        <v>3</v>
      </c>
      <c r="L2401">
        <v>0</v>
      </c>
      <c r="M2401">
        <v>0</v>
      </c>
      <c r="N2401" t="s">
        <v>78</v>
      </c>
      <c r="O2401">
        <v>2017</v>
      </c>
      <c r="P2401" t="s">
        <v>18</v>
      </c>
    </row>
    <row r="2402" spans="1:16" x14ac:dyDescent="0.3">
      <c r="A2402">
        <v>347</v>
      </c>
      <c r="B2402" t="s">
        <v>1921</v>
      </c>
      <c r="C2402" t="s">
        <v>2422</v>
      </c>
      <c r="D2402" t="str">
        <f>VLOOKUP(YouTube_University_Data_Final[[#This Row],[Title]],[1]!YouTube_University_Data_Final[[Title]:[Title_language]],2,FALSE)</f>
        <v>English</v>
      </c>
      <c r="E2402" t="s">
        <v>2423</v>
      </c>
      <c r="F2402">
        <v>27</v>
      </c>
      <c r="G2402" s="1">
        <v>42891</v>
      </c>
      <c r="H2402">
        <v>2926</v>
      </c>
      <c r="I2402" t="s">
        <v>2424</v>
      </c>
      <c r="J2402">
        <v>10349</v>
      </c>
      <c r="K2402">
        <v>3</v>
      </c>
      <c r="L2402">
        <v>0</v>
      </c>
      <c r="M2402">
        <v>0</v>
      </c>
      <c r="N2402" t="s">
        <v>78</v>
      </c>
      <c r="O2402">
        <v>2017</v>
      </c>
      <c r="P2402" t="s">
        <v>18</v>
      </c>
    </row>
    <row r="2403" spans="1:16" x14ac:dyDescent="0.3">
      <c r="A2403">
        <v>348</v>
      </c>
      <c r="B2403" t="s">
        <v>1921</v>
      </c>
      <c r="C2403" t="s">
        <v>2425</v>
      </c>
      <c r="D2403" t="str">
        <f>VLOOKUP(YouTube_University_Data_Final[[#This Row],[Title]],[1]!YouTube_University_Data_Final[[Title]:[Title_language]],2,FALSE)</f>
        <v>Bilingual</v>
      </c>
      <c r="E2403" t="s">
        <v>2426</v>
      </c>
      <c r="F2403">
        <v>27</v>
      </c>
      <c r="G2403" s="1">
        <v>42891</v>
      </c>
      <c r="H2403">
        <v>4099</v>
      </c>
      <c r="I2403" t="s">
        <v>2427</v>
      </c>
      <c r="J2403">
        <v>6958</v>
      </c>
      <c r="K2403">
        <v>1</v>
      </c>
      <c r="L2403">
        <v>0</v>
      </c>
      <c r="M2403">
        <v>0</v>
      </c>
      <c r="N2403" t="s">
        <v>78</v>
      </c>
      <c r="O2403">
        <v>2017</v>
      </c>
      <c r="P2403" t="s">
        <v>18</v>
      </c>
    </row>
    <row r="2404" spans="1:16" x14ac:dyDescent="0.3">
      <c r="A2404">
        <v>349</v>
      </c>
      <c r="B2404" t="s">
        <v>1921</v>
      </c>
      <c r="C2404" t="s">
        <v>2428</v>
      </c>
      <c r="D2404" t="str">
        <f>VLOOKUP(YouTube_University_Data_Final[[#This Row],[Title]],[1]!YouTube_University_Data_Final[[Title]:[Title_language]],2,FALSE)</f>
        <v>English</v>
      </c>
      <c r="E2404" t="s">
        <v>2429</v>
      </c>
      <c r="F2404">
        <v>27</v>
      </c>
      <c r="G2404" s="1">
        <v>42891</v>
      </c>
      <c r="H2404">
        <v>477</v>
      </c>
      <c r="I2404" t="s">
        <v>2430</v>
      </c>
      <c r="J2404">
        <v>592</v>
      </c>
      <c r="K2404">
        <v>5</v>
      </c>
      <c r="L2404">
        <v>0</v>
      </c>
      <c r="M2404">
        <v>0</v>
      </c>
      <c r="N2404" t="s">
        <v>78</v>
      </c>
      <c r="O2404">
        <v>2017</v>
      </c>
      <c r="P2404" t="s">
        <v>18</v>
      </c>
    </row>
    <row r="2405" spans="1:16" x14ac:dyDescent="0.3">
      <c r="A2405">
        <v>350</v>
      </c>
      <c r="B2405" t="s">
        <v>1921</v>
      </c>
      <c r="C2405" t="s">
        <v>2431</v>
      </c>
      <c r="D2405" t="str">
        <f>VLOOKUP(YouTube_University_Data_Final[[#This Row],[Title]],[1]!YouTube_University_Data_Final[[Title]:[Title_language]],2,FALSE)</f>
        <v>English</v>
      </c>
      <c r="E2405" t="s">
        <v>5068</v>
      </c>
      <c r="F2405">
        <v>27</v>
      </c>
      <c r="G2405" s="1">
        <v>42888</v>
      </c>
      <c r="H2405">
        <v>127</v>
      </c>
      <c r="I2405" t="s">
        <v>2432</v>
      </c>
      <c r="J2405">
        <v>7352</v>
      </c>
      <c r="K2405">
        <v>1</v>
      </c>
      <c r="L2405">
        <v>0</v>
      </c>
      <c r="M2405">
        <v>0</v>
      </c>
      <c r="N2405" t="s">
        <v>78</v>
      </c>
      <c r="O2405">
        <v>2017</v>
      </c>
      <c r="P2405" t="s">
        <v>18</v>
      </c>
    </row>
    <row r="2406" spans="1:16" x14ac:dyDescent="0.3">
      <c r="A2406">
        <v>351</v>
      </c>
      <c r="B2406" t="s">
        <v>1921</v>
      </c>
      <c r="C2406" t="s">
        <v>2433</v>
      </c>
      <c r="D2406" t="str">
        <f>VLOOKUP(YouTube_University_Data_Final[[#This Row],[Title]],[1]!YouTube_University_Data_Final[[Title]:[Title_language]],2,FALSE)</f>
        <v>English</v>
      </c>
      <c r="E2406" t="s">
        <v>2434</v>
      </c>
      <c r="F2406">
        <v>27</v>
      </c>
      <c r="G2406" s="1">
        <v>42888</v>
      </c>
      <c r="H2406">
        <v>534</v>
      </c>
      <c r="I2406" t="s">
        <v>5069</v>
      </c>
      <c r="J2406">
        <v>8195</v>
      </c>
      <c r="K2406">
        <v>2</v>
      </c>
      <c r="L2406">
        <v>0</v>
      </c>
      <c r="M2406">
        <v>0</v>
      </c>
      <c r="N2406" t="s">
        <v>78</v>
      </c>
      <c r="O2406">
        <v>2017</v>
      </c>
      <c r="P2406" t="s">
        <v>18</v>
      </c>
    </row>
    <row r="2407" spans="1:16" x14ac:dyDescent="0.3">
      <c r="A2407">
        <v>352</v>
      </c>
      <c r="B2407" t="s">
        <v>1921</v>
      </c>
      <c r="C2407" t="s">
        <v>2435</v>
      </c>
      <c r="D2407" t="str">
        <f>VLOOKUP(YouTube_University_Data_Final[[#This Row],[Title]],[1]!YouTube_University_Data_Final[[Title]:[Title_language]],2,FALSE)</f>
        <v>English</v>
      </c>
      <c r="E2407" t="s">
        <v>5070</v>
      </c>
      <c r="F2407">
        <v>27</v>
      </c>
      <c r="G2407" s="1">
        <v>42888</v>
      </c>
      <c r="H2407">
        <v>216</v>
      </c>
      <c r="I2407" t="s">
        <v>2436</v>
      </c>
      <c r="J2407">
        <v>10247</v>
      </c>
      <c r="K2407">
        <v>7</v>
      </c>
      <c r="L2407">
        <v>0</v>
      </c>
      <c r="M2407">
        <v>0</v>
      </c>
      <c r="N2407" t="s">
        <v>78</v>
      </c>
      <c r="O2407">
        <v>2017</v>
      </c>
      <c r="P2407" t="s">
        <v>18</v>
      </c>
    </row>
    <row r="2408" spans="1:16" x14ac:dyDescent="0.3">
      <c r="A2408">
        <v>353</v>
      </c>
      <c r="B2408" t="s">
        <v>1921</v>
      </c>
      <c r="C2408" t="s">
        <v>2437</v>
      </c>
      <c r="D2408" t="str">
        <f>VLOOKUP(YouTube_University_Data_Final[[#This Row],[Title]],[1]!YouTube_University_Data_Final[[Title]:[Title_language]],2,FALSE)</f>
        <v>English</v>
      </c>
      <c r="E2408" t="s">
        <v>5071</v>
      </c>
      <c r="F2408">
        <v>27</v>
      </c>
      <c r="G2408" s="1">
        <v>42888</v>
      </c>
      <c r="H2408">
        <v>5372</v>
      </c>
      <c r="I2408" t="s">
        <v>2438</v>
      </c>
      <c r="J2408">
        <v>7841</v>
      </c>
      <c r="K2408">
        <v>0</v>
      </c>
      <c r="L2408">
        <v>0</v>
      </c>
      <c r="M2408">
        <v>0</v>
      </c>
      <c r="N2408" t="s">
        <v>78</v>
      </c>
      <c r="O2408">
        <v>2017</v>
      </c>
      <c r="P2408" t="s">
        <v>18</v>
      </c>
    </row>
    <row r="2409" spans="1:16" x14ac:dyDescent="0.3">
      <c r="A2409">
        <v>354</v>
      </c>
      <c r="B2409" t="s">
        <v>1921</v>
      </c>
      <c r="C2409" t="s">
        <v>2439</v>
      </c>
      <c r="D2409" t="str">
        <f>VLOOKUP(YouTube_University_Data_Final[[#This Row],[Title]],[1]!YouTube_University_Data_Final[[Title]:[Title_language]],2,FALSE)</f>
        <v>English</v>
      </c>
      <c r="E2409" t="s">
        <v>2440</v>
      </c>
      <c r="F2409">
        <v>27</v>
      </c>
      <c r="G2409" s="1">
        <v>42888</v>
      </c>
      <c r="H2409">
        <v>131</v>
      </c>
      <c r="I2409" t="s">
        <v>2441</v>
      </c>
      <c r="J2409">
        <v>843</v>
      </c>
      <c r="K2409">
        <v>2</v>
      </c>
      <c r="L2409">
        <v>0</v>
      </c>
      <c r="M2409">
        <v>0</v>
      </c>
      <c r="N2409" t="s">
        <v>78</v>
      </c>
      <c r="O2409">
        <v>2017</v>
      </c>
      <c r="P2409" t="s">
        <v>18</v>
      </c>
    </row>
    <row r="2410" spans="1:16" x14ac:dyDescent="0.3">
      <c r="A2410">
        <v>355</v>
      </c>
      <c r="B2410" t="s">
        <v>1921</v>
      </c>
      <c r="C2410" t="s">
        <v>2442</v>
      </c>
      <c r="D2410" t="str">
        <f>VLOOKUP(YouTube_University_Data_Final[[#This Row],[Title]],[1]!YouTube_University_Data_Final[[Title]:[Title_language]],2,FALSE)</f>
        <v>English</v>
      </c>
      <c r="E2410" t="s">
        <v>2443</v>
      </c>
      <c r="F2410">
        <v>27</v>
      </c>
      <c r="G2410" s="1">
        <v>42887</v>
      </c>
      <c r="H2410">
        <v>3335</v>
      </c>
      <c r="I2410" t="s">
        <v>2444</v>
      </c>
      <c r="J2410">
        <v>9032</v>
      </c>
      <c r="K2410">
        <v>3</v>
      </c>
      <c r="L2410">
        <v>0</v>
      </c>
      <c r="M2410">
        <v>0</v>
      </c>
      <c r="N2410" t="s">
        <v>78</v>
      </c>
      <c r="O2410">
        <v>2017</v>
      </c>
      <c r="P2410" t="s">
        <v>18</v>
      </c>
    </row>
    <row r="2411" spans="1:16" x14ac:dyDescent="0.3">
      <c r="A2411">
        <v>356</v>
      </c>
      <c r="B2411" t="s">
        <v>1921</v>
      </c>
      <c r="C2411" t="s">
        <v>5072</v>
      </c>
      <c r="D2411" t="str">
        <f>VLOOKUP(YouTube_University_Data_Final[[#This Row],[Title]],[1]!YouTube_University_Data_Final[[Title]:[Title_language]],2,FALSE)</f>
        <v>Bilingual</v>
      </c>
      <c r="E2411" t="s">
        <v>5073</v>
      </c>
      <c r="F2411">
        <v>27</v>
      </c>
      <c r="G2411" s="1">
        <v>42877</v>
      </c>
      <c r="H2411">
        <v>30</v>
      </c>
      <c r="I2411" t="s">
        <v>5074</v>
      </c>
      <c r="J2411">
        <v>949</v>
      </c>
      <c r="K2411">
        <v>7</v>
      </c>
      <c r="L2411">
        <v>0</v>
      </c>
      <c r="M2411">
        <v>0</v>
      </c>
      <c r="N2411" t="s">
        <v>81</v>
      </c>
      <c r="O2411">
        <v>2017</v>
      </c>
      <c r="P2411" t="s">
        <v>18</v>
      </c>
    </row>
    <row r="2412" spans="1:16" x14ac:dyDescent="0.3">
      <c r="A2412">
        <v>357</v>
      </c>
      <c r="B2412" t="s">
        <v>1921</v>
      </c>
      <c r="C2412" t="s">
        <v>5075</v>
      </c>
      <c r="D2412" t="str">
        <f>VLOOKUP(YouTube_University_Data_Final[[#This Row],[Title]],[1]!YouTube_University_Data_Final[[Title]:[Title_language]],2,FALSE)</f>
        <v>Bilingual</v>
      </c>
      <c r="E2412" t="s">
        <v>5076</v>
      </c>
      <c r="F2412">
        <v>27</v>
      </c>
      <c r="G2412" s="1">
        <v>42873</v>
      </c>
      <c r="H2412">
        <v>48</v>
      </c>
      <c r="I2412" t="s">
        <v>5077</v>
      </c>
      <c r="J2412">
        <v>271</v>
      </c>
      <c r="K2412">
        <v>0</v>
      </c>
      <c r="L2412">
        <v>0</v>
      </c>
      <c r="M2412">
        <v>0</v>
      </c>
      <c r="N2412" t="s">
        <v>81</v>
      </c>
      <c r="O2412">
        <v>2017</v>
      </c>
      <c r="P2412" t="s">
        <v>18</v>
      </c>
    </row>
    <row r="2413" spans="1:16" x14ac:dyDescent="0.3">
      <c r="A2413">
        <v>358</v>
      </c>
      <c r="B2413" t="s">
        <v>1921</v>
      </c>
      <c r="C2413" t="s">
        <v>5078</v>
      </c>
      <c r="D2413" t="str">
        <f>VLOOKUP(YouTube_University_Data_Final[[#This Row],[Title]],[1]!YouTube_University_Data_Final[[Title]:[Title_language]],2,FALSE)</f>
        <v>Bilingual</v>
      </c>
      <c r="E2413" t="s">
        <v>5079</v>
      </c>
      <c r="F2413">
        <v>27</v>
      </c>
      <c r="G2413" s="1">
        <v>42873</v>
      </c>
      <c r="H2413">
        <v>39</v>
      </c>
      <c r="I2413" t="s">
        <v>5080</v>
      </c>
      <c r="J2413">
        <v>175</v>
      </c>
      <c r="K2413">
        <v>0</v>
      </c>
      <c r="L2413">
        <v>0</v>
      </c>
      <c r="M2413">
        <v>0</v>
      </c>
      <c r="N2413" t="s">
        <v>81</v>
      </c>
      <c r="O2413">
        <v>2017</v>
      </c>
      <c r="P2413" t="s">
        <v>18</v>
      </c>
    </row>
    <row r="2414" spans="1:16" x14ac:dyDescent="0.3">
      <c r="A2414">
        <v>359</v>
      </c>
      <c r="B2414" t="s">
        <v>1921</v>
      </c>
      <c r="C2414" t="s">
        <v>5081</v>
      </c>
      <c r="D2414" t="str">
        <f>VLOOKUP(YouTube_University_Data_Final[[#This Row],[Title]],[1]!YouTube_University_Data_Final[[Title]:[Title_language]],2,FALSE)</f>
        <v>Chinese</v>
      </c>
      <c r="E2414" t="s">
        <v>5082</v>
      </c>
      <c r="F2414">
        <v>27</v>
      </c>
      <c r="G2414" s="1">
        <v>42873</v>
      </c>
      <c r="H2414">
        <v>32</v>
      </c>
      <c r="I2414" t="s">
        <v>5083</v>
      </c>
      <c r="J2414">
        <v>104</v>
      </c>
      <c r="K2414">
        <v>0</v>
      </c>
      <c r="L2414">
        <v>0</v>
      </c>
      <c r="M2414">
        <v>0</v>
      </c>
      <c r="N2414" t="s">
        <v>81</v>
      </c>
      <c r="O2414">
        <v>2017</v>
      </c>
      <c r="P2414" t="s">
        <v>18</v>
      </c>
    </row>
    <row r="2415" spans="1:16" x14ac:dyDescent="0.3">
      <c r="A2415">
        <v>360</v>
      </c>
      <c r="B2415" t="s">
        <v>1921</v>
      </c>
      <c r="C2415" t="s">
        <v>5084</v>
      </c>
      <c r="D2415" t="str">
        <f>VLOOKUP(YouTube_University_Data_Final[[#This Row],[Title]],[1]!YouTube_University_Data_Final[[Title]:[Title_language]],2,FALSE)</f>
        <v>Chinese</v>
      </c>
      <c r="E2415" t="s">
        <v>5085</v>
      </c>
      <c r="F2415">
        <v>27</v>
      </c>
      <c r="G2415" s="1">
        <v>42873</v>
      </c>
      <c r="H2415">
        <v>38</v>
      </c>
      <c r="I2415" t="s">
        <v>5086</v>
      </c>
      <c r="J2415">
        <v>95</v>
      </c>
      <c r="K2415">
        <v>0</v>
      </c>
      <c r="L2415">
        <v>0</v>
      </c>
      <c r="M2415">
        <v>0</v>
      </c>
      <c r="N2415" t="s">
        <v>81</v>
      </c>
      <c r="O2415">
        <v>2017</v>
      </c>
      <c r="P2415" t="s">
        <v>18</v>
      </c>
    </row>
    <row r="2416" spans="1:16" x14ac:dyDescent="0.3">
      <c r="A2416">
        <v>361</v>
      </c>
      <c r="B2416" t="s">
        <v>1921</v>
      </c>
      <c r="C2416" t="s">
        <v>5087</v>
      </c>
      <c r="D2416" t="str">
        <f>VLOOKUP(YouTube_University_Data_Final[[#This Row],[Title]],[1]!YouTube_University_Data_Final[[Title]:[Title_language]],2,FALSE)</f>
        <v>Chinese</v>
      </c>
      <c r="E2416" t="s">
        <v>5088</v>
      </c>
      <c r="F2416">
        <v>27</v>
      </c>
      <c r="G2416" s="1">
        <v>42873</v>
      </c>
      <c r="H2416">
        <v>60</v>
      </c>
      <c r="I2416" t="s">
        <v>5089</v>
      </c>
      <c r="J2416">
        <v>106</v>
      </c>
      <c r="K2416">
        <v>0</v>
      </c>
      <c r="L2416">
        <v>0</v>
      </c>
      <c r="M2416">
        <v>0</v>
      </c>
      <c r="N2416" t="s">
        <v>81</v>
      </c>
      <c r="O2416">
        <v>2017</v>
      </c>
      <c r="P2416" t="s">
        <v>18</v>
      </c>
    </row>
    <row r="2417" spans="1:16" x14ac:dyDescent="0.3">
      <c r="A2417">
        <v>362</v>
      </c>
      <c r="B2417" t="s">
        <v>1921</v>
      </c>
      <c r="C2417" t="s">
        <v>5090</v>
      </c>
      <c r="D2417" t="str">
        <f>VLOOKUP(YouTube_University_Data_Final[[#This Row],[Title]],[1]!YouTube_University_Data_Final[[Title]:[Title_language]],2,FALSE)</f>
        <v>Bilingual</v>
      </c>
      <c r="E2417" t="s">
        <v>5091</v>
      </c>
      <c r="F2417">
        <v>27</v>
      </c>
      <c r="G2417" s="1">
        <v>42873</v>
      </c>
      <c r="H2417">
        <v>46</v>
      </c>
      <c r="I2417" t="s">
        <v>5092</v>
      </c>
      <c r="J2417">
        <v>328</v>
      </c>
      <c r="K2417">
        <v>0</v>
      </c>
      <c r="L2417">
        <v>0</v>
      </c>
      <c r="M2417">
        <v>0</v>
      </c>
      <c r="N2417" t="s">
        <v>81</v>
      </c>
      <c r="O2417">
        <v>2017</v>
      </c>
      <c r="P2417" t="s">
        <v>18</v>
      </c>
    </row>
    <row r="2418" spans="1:16" x14ac:dyDescent="0.3">
      <c r="A2418">
        <v>363</v>
      </c>
      <c r="B2418" t="s">
        <v>1921</v>
      </c>
      <c r="C2418" t="s">
        <v>5093</v>
      </c>
      <c r="D2418" t="str">
        <f>VLOOKUP(YouTube_University_Data_Final[[#This Row],[Title]],[1]!YouTube_University_Data_Final[[Title]:[Title_language]],2,FALSE)</f>
        <v>Bilingual</v>
      </c>
      <c r="E2418" t="s">
        <v>5094</v>
      </c>
      <c r="F2418">
        <v>27</v>
      </c>
      <c r="G2418" s="1">
        <v>42873</v>
      </c>
      <c r="H2418">
        <v>29</v>
      </c>
      <c r="I2418" t="s">
        <v>5095</v>
      </c>
      <c r="J2418">
        <v>105</v>
      </c>
      <c r="K2418">
        <v>0</v>
      </c>
      <c r="L2418">
        <v>0</v>
      </c>
      <c r="M2418">
        <v>0</v>
      </c>
      <c r="N2418" t="s">
        <v>81</v>
      </c>
      <c r="O2418">
        <v>2017</v>
      </c>
      <c r="P2418" t="s">
        <v>18</v>
      </c>
    </row>
    <row r="2419" spans="1:16" x14ac:dyDescent="0.3">
      <c r="A2419">
        <v>364</v>
      </c>
      <c r="B2419" t="s">
        <v>1921</v>
      </c>
      <c r="C2419" t="s">
        <v>5096</v>
      </c>
      <c r="D2419" t="str">
        <f>VLOOKUP(YouTube_University_Data_Final[[#This Row],[Title]],[1]!YouTube_University_Data_Final[[Title]:[Title_language]],2,FALSE)</f>
        <v>Bilingual</v>
      </c>
      <c r="E2419" t="s">
        <v>5097</v>
      </c>
      <c r="F2419">
        <v>27</v>
      </c>
      <c r="G2419" s="1">
        <v>42873</v>
      </c>
      <c r="H2419">
        <v>45</v>
      </c>
      <c r="I2419" t="s">
        <v>5098</v>
      </c>
      <c r="J2419">
        <v>192</v>
      </c>
      <c r="K2419">
        <v>0</v>
      </c>
      <c r="L2419">
        <v>0</v>
      </c>
      <c r="M2419">
        <v>0</v>
      </c>
      <c r="N2419" t="s">
        <v>81</v>
      </c>
      <c r="O2419">
        <v>2017</v>
      </c>
      <c r="P2419" t="s">
        <v>18</v>
      </c>
    </row>
    <row r="2420" spans="1:16" x14ac:dyDescent="0.3">
      <c r="A2420">
        <v>365</v>
      </c>
      <c r="B2420" t="s">
        <v>1921</v>
      </c>
      <c r="C2420" t="s">
        <v>5099</v>
      </c>
      <c r="D2420" t="str">
        <f>VLOOKUP(YouTube_University_Data_Final[[#This Row],[Title]],[1]!YouTube_University_Data_Final[[Title]:[Title_language]],2,FALSE)</f>
        <v>Bilingual</v>
      </c>
      <c r="E2420" t="s">
        <v>5100</v>
      </c>
      <c r="F2420">
        <v>27</v>
      </c>
      <c r="G2420" s="1">
        <v>42873</v>
      </c>
      <c r="H2420">
        <v>27</v>
      </c>
      <c r="I2420" t="s">
        <v>5101</v>
      </c>
      <c r="J2420">
        <v>170</v>
      </c>
      <c r="K2420">
        <v>0</v>
      </c>
      <c r="L2420">
        <v>0</v>
      </c>
      <c r="M2420">
        <v>0</v>
      </c>
      <c r="N2420" t="s">
        <v>81</v>
      </c>
      <c r="O2420">
        <v>2017</v>
      </c>
      <c r="P2420" t="s">
        <v>18</v>
      </c>
    </row>
    <row r="2421" spans="1:16" x14ac:dyDescent="0.3">
      <c r="A2421">
        <v>366</v>
      </c>
      <c r="B2421" t="s">
        <v>1921</v>
      </c>
      <c r="C2421" t="s">
        <v>5102</v>
      </c>
      <c r="D2421" t="str">
        <f>VLOOKUP(YouTube_University_Data_Final[[#This Row],[Title]],[1]!YouTube_University_Data_Final[[Title]:[Title_language]],2,FALSE)</f>
        <v>Bilingual</v>
      </c>
      <c r="E2421" t="s">
        <v>5103</v>
      </c>
      <c r="F2421">
        <v>27</v>
      </c>
      <c r="G2421" s="1">
        <v>42873</v>
      </c>
      <c r="H2421">
        <v>33</v>
      </c>
      <c r="I2421" t="s">
        <v>5104</v>
      </c>
      <c r="J2421">
        <v>279</v>
      </c>
      <c r="K2421">
        <v>0</v>
      </c>
      <c r="L2421">
        <v>0</v>
      </c>
      <c r="M2421">
        <v>0</v>
      </c>
      <c r="N2421" t="s">
        <v>81</v>
      </c>
      <c r="O2421">
        <v>2017</v>
      </c>
      <c r="P2421" t="s">
        <v>18</v>
      </c>
    </row>
    <row r="2422" spans="1:16" x14ac:dyDescent="0.3">
      <c r="A2422">
        <v>367</v>
      </c>
      <c r="B2422" t="s">
        <v>1921</v>
      </c>
      <c r="C2422" t="s">
        <v>5105</v>
      </c>
      <c r="D2422" t="str">
        <f>VLOOKUP(YouTube_University_Data_Final[[#This Row],[Title]],[1]!YouTube_University_Data_Final[[Title]:[Title_language]],2,FALSE)</f>
        <v>Bilingual</v>
      </c>
      <c r="E2422" t="s">
        <v>5106</v>
      </c>
      <c r="F2422">
        <v>27</v>
      </c>
      <c r="G2422" s="1">
        <v>42873</v>
      </c>
      <c r="H2422">
        <v>40</v>
      </c>
      <c r="I2422" t="s">
        <v>2445</v>
      </c>
      <c r="J2422">
        <v>501</v>
      </c>
      <c r="K2422">
        <v>0</v>
      </c>
      <c r="L2422">
        <v>0</v>
      </c>
      <c r="M2422">
        <v>0</v>
      </c>
      <c r="N2422" t="s">
        <v>81</v>
      </c>
      <c r="O2422">
        <v>2017</v>
      </c>
      <c r="P2422" t="s">
        <v>18</v>
      </c>
    </row>
    <row r="2423" spans="1:16" x14ac:dyDescent="0.3">
      <c r="A2423">
        <v>368</v>
      </c>
      <c r="B2423" t="s">
        <v>1921</v>
      </c>
      <c r="C2423" t="s">
        <v>5107</v>
      </c>
      <c r="D2423" t="str">
        <f>VLOOKUP(YouTube_University_Data_Final[[#This Row],[Title]],[1]!YouTube_University_Data_Final[[Title]:[Title_language]],2,FALSE)</f>
        <v>Bilingual</v>
      </c>
      <c r="E2423" t="s">
        <v>5108</v>
      </c>
      <c r="F2423">
        <v>27</v>
      </c>
      <c r="G2423" s="1">
        <v>42873</v>
      </c>
      <c r="H2423">
        <v>37</v>
      </c>
      <c r="I2423" t="s">
        <v>2445</v>
      </c>
      <c r="J2423">
        <v>305</v>
      </c>
      <c r="K2423">
        <v>0</v>
      </c>
      <c r="L2423">
        <v>0</v>
      </c>
      <c r="M2423">
        <v>0</v>
      </c>
      <c r="N2423" t="s">
        <v>81</v>
      </c>
      <c r="O2423">
        <v>2017</v>
      </c>
      <c r="P2423" t="s">
        <v>18</v>
      </c>
    </row>
    <row r="2424" spans="1:16" x14ac:dyDescent="0.3">
      <c r="A2424">
        <v>369</v>
      </c>
      <c r="B2424" t="s">
        <v>1921</v>
      </c>
      <c r="C2424" t="s">
        <v>2446</v>
      </c>
      <c r="D2424" t="str">
        <f>VLOOKUP(YouTube_University_Data_Final[[#This Row],[Title]],[1]!YouTube_University_Data_Final[[Title]:[Title_language]],2,FALSE)</f>
        <v>English</v>
      </c>
      <c r="E2424" t="s">
        <v>5109</v>
      </c>
      <c r="F2424">
        <v>27</v>
      </c>
      <c r="G2424" s="1">
        <v>42857</v>
      </c>
      <c r="H2424">
        <v>139</v>
      </c>
      <c r="I2424" t="s">
        <v>2447</v>
      </c>
      <c r="J2424">
        <v>139736</v>
      </c>
      <c r="K2424">
        <v>9</v>
      </c>
      <c r="L2424">
        <v>0</v>
      </c>
      <c r="M2424">
        <v>0</v>
      </c>
      <c r="N2424" t="s">
        <v>81</v>
      </c>
      <c r="O2424">
        <v>2017</v>
      </c>
      <c r="P2424" t="s">
        <v>18</v>
      </c>
    </row>
    <row r="2425" spans="1:16" x14ac:dyDescent="0.3">
      <c r="A2425">
        <v>370</v>
      </c>
      <c r="B2425" t="s">
        <v>1921</v>
      </c>
      <c r="C2425" t="s">
        <v>5110</v>
      </c>
      <c r="D2425" t="str">
        <f>VLOOKUP(YouTube_University_Data_Final[[#This Row],[Title]],[1]!YouTube_University_Data_Final[[Title]:[Title_language]],2,FALSE)</f>
        <v>Bilingual</v>
      </c>
      <c r="E2425" t="s">
        <v>5111</v>
      </c>
      <c r="F2425">
        <v>27</v>
      </c>
      <c r="G2425" s="1">
        <v>42843</v>
      </c>
      <c r="H2425">
        <v>63</v>
      </c>
      <c r="I2425" t="s">
        <v>5112</v>
      </c>
      <c r="J2425">
        <v>308</v>
      </c>
      <c r="K2425">
        <v>0</v>
      </c>
      <c r="L2425">
        <v>0</v>
      </c>
      <c r="M2425">
        <v>0</v>
      </c>
      <c r="N2425" t="s">
        <v>87</v>
      </c>
      <c r="O2425">
        <v>2017</v>
      </c>
      <c r="P2425" t="s">
        <v>18</v>
      </c>
    </row>
    <row r="2426" spans="1:16" x14ac:dyDescent="0.3">
      <c r="A2426">
        <v>371</v>
      </c>
      <c r="B2426" t="s">
        <v>1921</v>
      </c>
      <c r="C2426" t="s">
        <v>5113</v>
      </c>
      <c r="D2426" t="str">
        <f>VLOOKUP(YouTube_University_Data_Final[[#This Row],[Title]],[1]!YouTube_University_Data_Final[[Title]:[Title_language]],2,FALSE)</f>
        <v>Bilingual</v>
      </c>
      <c r="E2426" t="s">
        <v>5114</v>
      </c>
      <c r="F2426">
        <v>27</v>
      </c>
      <c r="G2426" s="1">
        <v>42843</v>
      </c>
      <c r="H2426">
        <v>45</v>
      </c>
      <c r="I2426" t="s">
        <v>2944</v>
      </c>
      <c r="J2426">
        <v>738</v>
      </c>
      <c r="K2426">
        <v>5</v>
      </c>
      <c r="L2426">
        <v>0</v>
      </c>
      <c r="M2426">
        <v>0</v>
      </c>
      <c r="N2426" t="s">
        <v>87</v>
      </c>
      <c r="O2426">
        <v>2017</v>
      </c>
      <c r="P2426" t="s">
        <v>18</v>
      </c>
    </row>
    <row r="2427" spans="1:16" x14ac:dyDescent="0.3">
      <c r="A2427">
        <v>372</v>
      </c>
      <c r="B2427" t="s">
        <v>1921</v>
      </c>
      <c r="C2427" t="s">
        <v>5115</v>
      </c>
      <c r="D2427" t="str">
        <f>VLOOKUP(YouTube_University_Data_Final[[#This Row],[Title]],[1]!YouTube_University_Data_Final[[Title]:[Title_language]],2,FALSE)</f>
        <v>Bilingual</v>
      </c>
      <c r="E2427" t="s">
        <v>5116</v>
      </c>
      <c r="F2427">
        <v>27</v>
      </c>
      <c r="G2427" s="1">
        <v>42843</v>
      </c>
      <c r="H2427">
        <v>45</v>
      </c>
      <c r="I2427" t="s">
        <v>2944</v>
      </c>
      <c r="J2427">
        <v>378</v>
      </c>
      <c r="K2427">
        <v>0</v>
      </c>
      <c r="L2427">
        <v>0</v>
      </c>
      <c r="M2427">
        <v>0</v>
      </c>
      <c r="N2427" t="s">
        <v>87</v>
      </c>
      <c r="O2427">
        <v>2017</v>
      </c>
      <c r="P2427" t="s">
        <v>18</v>
      </c>
    </row>
    <row r="2428" spans="1:16" x14ac:dyDescent="0.3">
      <c r="A2428">
        <v>373</v>
      </c>
      <c r="B2428" t="s">
        <v>1921</v>
      </c>
      <c r="C2428" t="s">
        <v>5117</v>
      </c>
      <c r="D2428" t="str">
        <f>VLOOKUP(YouTube_University_Data_Final[[#This Row],[Title]],[1]!YouTube_University_Data_Final[[Title]:[Title_language]],2,FALSE)</f>
        <v>Bilingual</v>
      </c>
      <c r="E2428" t="s">
        <v>5118</v>
      </c>
      <c r="F2428">
        <v>27</v>
      </c>
      <c r="G2428" s="1">
        <v>42843</v>
      </c>
      <c r="H2428">
        <v>17</v>
      </c>
      <c r="I2428" t="s">
        <v>2944</v>
      </c>
      <c r="J2428">
        <v>600</v>
      </c>
      <c r="K2428">
        <v>0</v>
      </c>
      <c r="L2428">
        <v>0</v>
      </c>
      <c r="M2428">
        <v>0</v>
      </c>
      <c r="N2428" t="s">
        <v>87</v>
      </c>
      <c r="O2428">
        <v>2017</v>
      </c>
      <c r="P2428" t="s">
        <v>18</v>
      </c>
    </row>
    <row r="2429" spans="1:16" x14ac:dyDescent="0.3">
      <c r="A2429">
        <v>374</v>
      </c>
      <c r="B2429" t="s">
        <v>1921</v>
      </c>
      <c r="C2429" t="s">
        <v>5119</v>
      </c>
      <c r="D2429" t="str">
        <f>VLOOKUP(YouTube_University_Data_Final[[#This Row],[Title]],[1]!YouTube_University_Data_Final[[Title]:[Title_language]],2,FALSE)</f>
        <v>Bilingual</v>
      </c>
      <c r="E2429" t="s">
        <v>5120</v>
      </c>
      <c r="F2429">
        <v>27</v>
      </c>
      <c r="G2429" s="1">
        <v>42843</v>
      </c>
      <c r="H2429">
        <v>11</v>
      </c>
      <c r="I2429" t="s">
        <v>2944</v>
      </c>
      <c r="J2429">
        <v>447</v>
      </c>
      <c r="K2429">
        <v>2</v>
      </c>
      <c r="L2429">
        <v>0</v>
      </c>
      <c r="M2429">
        <v>0</v>
      </c>
      <c r="N2429" t="s">
        <v>87</v>
      </c>
      <c r="O2429">
        <v>2017</v>
      </c>
      <c r="P2429" t="s">
        <v>18</v>
      </c>
    </row>
    <row r="2430" spans="1:16" x14ac:dyDescent="0.3">
      <c r="A2430">
        <v>375</v>
      </c>
      <c r="B2430" t="s">
        <v>1921</v>
      </c>
      <c r="C2430" t="s">
        <v>5121</v>
      </c>
      <c r="D2430" t="str">
        <f>VLOOKUP(YouTube_University_Data_Final[[#This Row],[Title]],[1]!YouTube_University_Data_Final[[Title]:[Title_language]],2,FALSE)</f>
        <v>Bilingual</v>
      </c>
      <c r="E2430" t="s">
        <v>5122</v>
      </c>
      <c r="F2430">
        <v>27</v>
      </c>
      <c r="G2430" s="1">
        <v>42843</v>
      </c>
      <c r="H2430">
        <v>20</v>
      </c>
      <c r="I2430" t="s">
        <v>2944</v>
      </c>
      <c r="J2430">
        <v>427</v>
      </c>
      <c r="K2430">
        <v>1</v>
      </c>
      <c r="L2430">
        <v>0</v>
      </c>
      <c r="M2430">
        <v>0</v>
      </c>
      <c r="N2430" t="s">
        <v>87</v>
      </c>
      <c r="O2430">
        <v>2017</v>
      </c>
      <c r="P2430" t="s">
        <v>18</v>
      </c>
    </row>
    <row r="2431" spans="1:16" x14ac:dyDescent="0.3">
      <c r="A2431">
        <v>376</v>
      </c>
      <c r="B2431" t="s">
        <v>1921</v>
      </c>
      <c r="C2431" t="s">
        <v>5123</v>
      </c>
      <c r="D2431" t="str">
        <f>VLOOKUP(YouTube_University_Data_Final[[#This Row],[Title]],[1]!YouTube_University_Data_Final[[Title]:[Title_language]],2,FALSE)</f>
        <v>Bilingual</v>
      </c>
      <c r="E2431" t="s">
        <v>5124</v>
      </c>
      <c r="F2431">
        <v>27</v>
      </c>
      <c r="G2431" s="1">
        <v>42843</v>
      </c>
      <c r="H2431">
        <v>19</v>
      </c>
      <c r="I2431" t="s">
        <v>2944</v>
      </c>
      <c r="J2431">
        <v>399</v>
      </c>
      <c r="K2431">
        <v>0</v>
      </c>
      <c r="L2431">
        <v>0</v>
      </c>
      <c r="M2431">
        <v>0</v>
      </c>
      <c r="N2431" t="s">
        <v>87</v>
      </c>
      <c r="O2431">
        <v>2017</v>
      </c>
      <c r="P2431" t="s">
        <v>18</v>
      </c>
    </row>
    <row r="2432" spans="1:16" x14ac:dyDescent="0.3">
      <c r="A2432">
        <v>377</v>
      </c>
      <c r="B2432" t="s">
        <v>1921</v>
      </c>
      <c r="C2432" t="s">
        <v>5125</v>
      </c>
      <c r="D2432" t="str">
        <f>VLOOKUP(YouTube_University_Data_Final[[#This Row],[Title]],[1]!YouTube_University_Data_Final[[Title]:[Title_language]],2,FALSE)</f>
        <v>Bilingual</v>
      </c>
      <c r="E2432" t="s">
        <v>5126</v>
      </c>
      <c r="F2432">
        <v>27</v>
      </c>
      <c r="G2432" s="1">
        <v>42843</v>
      </c>
      <c r="H2432">
        <v>20</v>
      </c>
      <c r="I2432" t="s">
        <v>2944</v>
      </c>
      <c r="J2432">
        <v>574</v>
      </c>
      <c r="K2432">
        <v>2</v>
      </c>
      <c r="L2432">
        <v>0</v>
      </c>
      <c r="M2432">
        <v>0</v>
      </c>
      <c r="N2432" t="s">
        <v>87</v>
      </c>
      <c r="O2432">
        <v>2017</v>
      </c>
      <c r="P2432" t="s">
        <v>18</v>
      </c>
    </row>
    <row r="2433" spans="1:16" x14ac:dyDescent="0.3">
      <c r="A2433">
        <v>378</v>
      </c>
      <c r="B2433" t="s">
        <v>1921</v>
      </c>
      <c r="C2433" t="s">
        <v>5127</v>
      </c>
      <c r="D2433" t="str">
        <f>VLOOKUP(YouTube_University_Data_Final[[#This Row],[Title]],[1]!YouTube_University_Data_Final[[Title]:[Title_language]],2,FALSE)</f>
        <v>Bilingual</v>
      </c>
      <c r="E2433" t="s">
        <v>5128</v>
      </c>
      <c r="F2433">
        <v>27</v>
      </c>
      <c r="G2433" s="1">
        <v>42843</v>
      </c>
      <c r="H2433">
        <v>37</v>
      </c>
      <c r="I2433" t="s">
        <v>2944</v>
      </c>
      <c r="J2433">
        <v>721</v>
      </c>
      <c r="K2433">
        <v>2</v>
      </c>
      <c r="L2433">
        <v>0</v>
      </c>
      <c r="M2433">
        <v>0</v>
      </c>
      <c r="N2433" t="s">
        <v>87</v>
      </c>
      <c r="O2433">
        <v>2017</v>
      </c>
      <c r="P2433" t="s">
        <v>18</v>
      </c>
    </row>
    <row r="2434" spans="1:16" x14ac:dyDescent="0.3">
      <c r="A2434">
        <v>379</v>
      </c>
      <c r="B2434" t="s">
        <v>1921</v>
      </c>
      <c r="C2434" t="s">
        <v>5129</v>
      </c>
      <c r="D2434" t="str">
        <f>VLOOKUP(YouTube_University_Data_Final[[#This Row],[Title]],[1]!YouTube_University_Data_Final[[Title]:[Title_language]],2,FALSE)</f>
        <v>Bilingual</v>
      </c>
      <c r="E2434" t="s">
        <v>5130</v>
      </c>
      <c r="F2434">
        <v>27</v>
      </c>
      <c r="G2434" s="1">
        <v>42843</v>
      </c>
      <c r="H2434">
        <v>7</v>
      </c>
      <c r="I2434" t="s">
        <v>2944</v>
      </c>
      <c r="J2434">
        <v>259</v>
      </c>
      <c r="K2434">
        <v>0</v>
      </c>
      <c r="L2434">
        <v>0</v>
      </c>
      <c r="M2434">
        <v>0</v>
      </c>
      <c r="N2434" t="s">
        <v>87</v>
      </c>
      <c r="O2434">
        <v>2017</v>
      </c>
      <c r="P2434" t="s">
        <v>18</v>
      </c>
    </row>
    <row r="2435" spans="1:16" x14ac:dyDescent="0.3">
      <c r="A2435">
        <v>380</v>
      </c>
      <c r="B2435" t="s">
        <v>1921</v>
      </c>
      <c r="C2435" t="s">
        <v>5131</v>
      </c>
      <c r="D2435" t="str">
        <f>VLOOKUP(YouTube_University_Data_Final[[#This Row],[Title]],[1]!YouTube_University_Data_Final[[Title]:[Title_language]],2,FALSE)</f>
        <v>Bilingual</v>
      </c>
      <c r="E2435" t="s">
        <v>5132</v>
      </c>
      <c r="F2435">
        <v>27</v>
      </c>
      <c r="G2435" s="1">
        <v>42843</v>
      </c>
      <c r="H2435">
        <v>70</v>
      </c>
      <c r="I2435" t="s">
        <v>2448</v>
      </c>
      <c r="J2435">
        <v>357</v>
      </c>
      <c r="K2435">
        <v>1</v>
      </c>
      <c r="L2435">
        <v>0</v>
      </c>
      <c r="M2435">
        <v>0</v>
      </c>
      <c r="N2435" t="s">
        <v>87</v>
      </c>
      <c r="O2435">
        <v>2017</v>
      </c>
      <c r="P2435" t="s">
        <v>18</v>
      </c>
    </row>
    <row r="2436" spans="1:16" x14ac:dyDescent="0.3">
      <c r="A2436">
        <v>381</v>
      </c>
      <c r="B2436" t="s">
        <v>1921</v>
      </c>
      <c r="C2436" t="s">
        <v>5133</v>
      </c>
      <c r="D2436" t="str">
        <f>VLOOKUP(YouTube_University_Data_Final[[#This Row],[Title]],[1]!YouTube_University_Data_Final[[Title]:[Title_language]],2,FALSE)</f>
        <v>Bilingual</v>
      </c>
      <c r="E2436" t="s">
        <v>5134</v>
      </c>
      <c r="F2436">
        <v>27</v>
      </c>
      <c r="G2436" s="1">
        <v>42843</v>
      </c>
      <c r="H2436">
        <v>27</v>
      </c>
      <c r="I2436" t="s">
        <v>2449</v>
      </c>
      <c r="J2436">
        <v>376</v>
      </c>
      <c r="K2436">
        <v>0</v>
      </c>
      <c r="L2436">
        <v>0</v>
      </c>
      <c r="M2436">
        <v>0</v>
      </c>
      <c r="N2436" t="s">
        <v>87</v>
      </c>
      <c r="O2436">
        <v>2017</v>
      </c>
      <c r="P2436" t="s">
        <v>18</v>
      </c>
    </row>
    <row r="2437" spans="1:16" x14ac:dyDescent="0.3">
      <c r="A2437">
        <v>382</v>
      </c>
      <c r="B2437" t="s">
        <v>1921</v>
      </c>
      <c r="C2437" t="s">
        <v>5135</v>
      </c>
      <c r="D2437" t="str">
        <f>VLOOKUP(YouTube_University_Data_Final[[#This Row],[Title]],[1]!YouTube_University_Data_Final[[Title]:[Title_language]],2,FALSE)</f>
        <v>Bilingual</v>
      </c>
      <c r="E2437" t="s">
        <v>5136</v>
      </c>
      <c r="F2437">
        <v>27</v>
      </c>
      <c r="G2437" s="1">
        <v>42843</v>
      </c>
      <c r="H2437">
        <v>58</v>
      </c>
      <c r="I2437" t="s">
        <v>2944</v>
      </c>
      <c r="J2437">
        <v>280</v>
      </c>
      <c r="K2437">
        <v>1</v>
      </c>
      <c r="L2437">
        <v>0</v>
      </c>
      <c r="M2437">
        <v>0</v>
      </c>
      <c r="N2437" t="s">
        <v>87</v>
      </c>
      <c r="O2437">
        <v>2017</v>
      </c>
      <c r="P2437" t="s">
        <v>18</v>
      </c>
    </row>
    <row r="2438" spans="1:16" x14ac:dyDescent="0.3">
      <c r="A2438">
        <v>383</v>
      </c>
      <c r="B2438" t="s">
        <v>1921</v>
      </c>
      <c r="C2438" t="s">
        <v>5137</v>
      </c>
      <c r="D2438" t="str">
        <f>VLOOKUP(YouTube_University_Data_Final[[#This Row],[Title]],[1]!YouTube_University_Data_Final[[Title]:[Title_language]],2,FALSE)</f>
        <v>Bilingual</v>
      </c>
      <c r="E2438" t="s">
        <v>5138</v>
      </c>
      <c r="F2438">
        <v>27</v>
      </c>
      <c r="G2438" s="1">
        <v>42828</v>
      </c>
      <c r="H2438">
        <v>28</v>
      </c>
      <c r="I2438" t="s">
        <v>5139</v>
      </c>
      <c r="J2438">
        <v>1172</v>
      </c>
      <c r="K2438">
        <v>6</v>
      </c>
      <c r="L2438">
        <v>0</v>
      </c>
      <c r="M2438">
        <v>0</v>
      </c>
      <c r="N2438" t="s">
        <v>87</v>
      </c>
      <c r="O2438">
        <v>2017</v>
      </c>
      <c r="P2438" t="s">
        <v>18</v>
      </c>
    </row>
    <row r="2439" spans="1:16" x14ac:dyDescent="0.3">
      <c r="A2439">
        <v>384</v>
      </c>
      <c r="B2439" t="s">
        <v>1921</v>
      </c>
      <c r="C2439" t="s">
        <v>5140</v>
      </c>
      <c r="D2439" t="str">
        <f>VLOOKUP(YouTube_University_Data_Final[[#This Row],[Title]],[1]!YouTube_University_Data_Final[[Title]:[Title_language]],2,FALSE)</f>
        <v>Bilingual</v>
      </c>
      <c r="E2439" t="s">
        <v>5141</v>
      </c>
      <c r="F2439">
        <v>27</v>
      </c>
      <c r="G2439" s="1">
        <v>42828</v>
      </c>
      <c r="H2439">
        <v>58</v>
      </c>
      <c r="I2439" t="s">
        <v>5142</v>
      </c>
      <c r="J2439">
        <v>238</v>
      </c>
      <c r="K2439">
        <v>0</v>
      </c>
      <c r="L2439">
        <v>0</v>
      </c>
      <c r="M2439">
        <v>0</v>
      </c>
      <c r="N2439" t="s">
        <v>87</v>
      </c>
      <c r="O2439">
        <v>2017</v>
      </c>
      <c r="P2439" t="s">
        <v>18</v>
      </c>
    </row>
    <row r="2440" spans="1:16" x14ac:dyDescent="0.3">
      <c r="A2440">
        <v>385</v>
      </c>
      <c r="B2440" t="s">
        <v>1921</v>
      </c>
      <c r="C2440" t="s">
        <v>5143</v>
      </c>
      <c r="D2440" t="str">
        <f>VLOOKUP(YouTube_University_Data_Final[[#This Row],[Title]],[1]!YouTube_University_Data_Final[[Title]:[Title_language]],2,FALSE)</f>
        <v>English</v>
      </c>
      <c r="E2440" t="s">
        <v>5144</v>
      </c>
      <c r="F2440">
        <v>27</v>
      </c>
      <c r="G2440" s="1">
        <v>42824</v>
      </c>
      <c r="H2440">
        <v>82</v>
      </c>
      <c r="I2440" t="s">
        <v>2944</v>
      </c>
      <c r="J2440">
        <v>1933</v>
      </c>
      <c r="K2440">
        <v>20</v>
      </c>
      <c r="L2440">
        <v>0</v>
      </c>
      <c r="M2440">
        <v>0</v>
      </c>
      <c r="N2440" t="s">
        <v>90</v>
      </c>
      <c r="O2440">
        <v>2017</v>
      </c>
      <c r="P2440" t="s">
        <v>18</v>
      </c>
    </row>
    <row r="2441" spans="1:16" x14ac:dyDescent="0.3">
      <c r="A2441">
        <v>386</v>
      </c>
      <c r="B2441" t="s">
        <v>1921</v>
      </c>
      <c r="C2441" t="s">
        <v>5145</v>
      </c>
      <c r="D2441" t="str">
        <f>VLOOKUP(YouTube_University_Data_Final[[#This Row],[Title]],[1]!YouTube_University_Data_Final[[Title]:[Title_language]],2,FALSE)</f>
        <v>Bilingual</v>
      </c>
      <c r="E2441" t="s">
        <v>5146</v>
      </c>
      <c r="F2441">
        <v>27</v>
      </c>
      <c r="G2441" s="1">
        <v>42824</v>
      </c>
      <c r="H2441">
        <v>6</v>
      </c>
      <c r="I2441" t="s">
        <v>5147</v>
      </c>
      <c r="J2441">
        <v>365</v>
      </c>
      <c r="K2441">
        <v>1</v>
      </c>
      <c r="L2441">
        <v>0</v>
      </c>
      <c r="M2441">
        <v>0</v>
      </c>
      <c r="N2441" t="s">
        <v>90</v>
      </c>
      <c r="O2441">
        <v>2017</v>
      </c>
      <c r="P2441" t="s">
        <v>18</v>
      </c>
    </row>
    <row r="2442" spans="1:16" x14ac:dyDescent="0.3">
      <c r="A2442">
        <v>387</v>
      </c>
      <c r="B2442" t="s">
        <v>1921</v>
      </c>
      <c r="C2442" t="s">
        <v>5148</v>
      </c>
      <c r="D2442" t="str">
        <f>VLOOKUP(YouTube_University_Data_Final[[#This Row],[Title]],[1]!YouTube_University_Data_Final[[Title]:[Title_language]],2,FALSE)</f>
        <v>Bilingual</v>
      </c>
      <c r="E2442" t="s">
        <v>5149</v>
      </c>
      <c r="F2442">
        <v>27</v>
      </c>
      <c r="G2442" s="1">
        <v>42824</v>
      </c>
      <c r="H2442">
        <v>33</v>
      </c>
      <c r="I2442" t="s">
        <v>2944</v>
      </c>
      <c r="J2442">
        <v>641</v>
      </c>
      <c r="K2442">
        <v>3</v>
      </c>
      <c r="L2442">
        <v>0</v>
      </c>
      <c r="M2442">
        <v>0</v>
      </c>
      <c r="N2442" t="s">
        <v>90</v>
      </c>
      <c r="O2442">
        <v>2017</v>
      </c>
      <c r="P2442" t="s">
        <v>18</v>
      </c>
    </row>
    <row r="2443" spans="1:16" x14ac:dyDescent="0.3">
      <c r="A2443">
        <v>388</v>
      </c>
      <c r="B2443" t="s">
        <v>1921</v>
      </c>
      <c r="C2443" t="s">
        <v>5150</v>
      </c>
      <c r="D2443" t="str">
        <f>VLOOKUP(YouTube_University_Data_Final[[#This Row],[Title]],[1]!YouTube_University_Data_Final[[Title]:[Title_language]],2,FALSE)</f>
        <v>Bilingual</v>
      </c>
      <c r="E2443" t="s">
        <v>5151</v>
      </c>
      <c r="F2443">
        <v>27</v>
      </c>
      <c r="G2443" s="1">
        <v>42824</v>
      </c>
      <c r="H2443">
        <v>34</v>
      </c>
      <c r="I2443" t="s">
        <v>2450</v>
      </c>
      <c r="J2443">
        <v>861</v>
      </c>
      <c r="K2443">
        <v>8</v>
      </c>
      <c r="L2443">
        <v>0</v>
      </c>
      <c r="M2443">
        <v>0</v>
      </c>
      <c r="N2443" t="s">
        <v>90</v>
      </c>
      <c r="O2443">
        <v>2017</v>
      </c>
      <c r="P2443" t="s">
        <v>18</v>
      </c>
    </row>
    <row r="2444" spans="1:16" x14ac:dyDescent="0.3">
      <c r="A2444">
        <v>389</v>
      </c>
      <c r="B2444" t="s">
        <v>1921</v>
      </c>
      <c r="C2444" t="s">
        <v>5152</v>
      </c>
      <c r="D2444" t="str">
        <f>VLOOKUP(YouTube_University_Data_Final[[#This Row],[Title]],[1]!YouTube_University_Data_Final[[Title]:[Title_language]],2,FALSE)</f>
        <v>Bilingual</v>
      </c>
      <c r="E2444" t="s">
        <v>5153</v>
      </c>
      <c r="F2444">
        <v>27</v>
      </c>
      <c r="G2444" s="1">
        <v>42824</v>
      </c>
      <c r="H2444">
        <v>46</v>
      </c>
      <c r="I2444" t="s">
        <v>2451</v>
      </c>
      <c r="J2444">
        <v>43441</v>
      </c>
      <c r="K2444">
        <v>2</v>
      </c>
      <c r="L2444">
        <v>0</v>
      </c>
      <c r="M2444">
        <v>0</v>
      </c>
      <c r="N2444" t="s">
        <v>90</v>
      </c>
      <c r="O2444">
        <v>2017</v>
      </c>
      <c r="P2444" t="s">
        <v>18</v>
      </c>
    </row>
    <row r="2445" spans="1:16" x14ac:dyDescent="0.3">
      <c r="A2445">
        <v>390</v>
      </c>
      <c r="B2445" t="s">
        <v>1921</v>
      </c>
      <c r="C2445" t="s">
        <v>5154</v>
      </c>
      <c r="D2445" t="str">
        <f>VLOOKUP(YouTube_University_Data_Final[[#This Row],[Title]],[1]!YouTube_University_Data_Final[[Title]:[Title_language]],2,FALSE)</f>
        <v>Bilingual</v>
      </c>
      <c r="E2445" t="s">
        <v>5155</v>
      </c>
      <c r="F2445">
        <v>27</v>
      </c>
      <c r="G2445" s="1">
        <v>42824</v>
      </c>
      <c r="H2445">
        <v>99</v>
      </c>
      <c r="I2445" t="s">
        <v>2944</v>
      </c>
      <c r="J2445">
        <v>318</v>
      </c>
      <c r="K2445">
        <v>1</v>
      </c>
      <c r="L2445">
        <v>0</v>
      </c>
      <c r="M2445">
        <v>0</v>
      </c>
      <c r="N2445" t="s">
        <v>90</v>
      </c>
      <c r="O2445">
        <v>2017</v>
      </c>
      <c r="P2445" t="s">
        <v>18</v>
      </c>
    </row>
    <row r="2446" spans="1:16" x14ac:dyDescent="0.3">
      <c r="A2446">
        <v>391</v>
      </c>
      <c r="B2446" t="s">
        <v>1921</v>
      </c>
      <c r="C2446" t="s">
        <v>5156</v>
      </c>
      <c r="D2446" t="str">
        <f>VLOOKUP(YouTube_University_Data_Final[[#This Row],[Title]],[1]!YouTube_University_Data_Final[[Title]:[Title_language]],2,FALSE)</f>
        <v>English</v>
      </c>
      <c r="E2446" t="s">
        <v>5157</v>
      </c>
      <c r="F2446">
        <v>27</v>
      </c>
      <c r="G2446" s="1">
        <v>42808</v>
      </c>
      <c r="H2446">
        <v>28</v>
      </c>
      <c r="I2446" t="s">
        <v>2944</v>
      </c>
      <c r="J2446">
        <v>352</v>
      </c>
      <c r="K2446">
        <v>1</v>
      </c>
      <c r="L2446">
        <v>0</v>
      </c>
      <c r="M2446">
        <v>0</v>
      </c>
      <c r="N2446" t="s">
        <v>90</v>
      </c>
      <c r="O2446">
        <v>2017</v>
      </c>
      <c r="P2446" t="s">
        <v>18</v>
      </c>
    </row>
    <row r="2447" spans="1:16" x14ac:dyDescent="0.3">
      <c r="A2447">
        <v>392</v>
      </c>
      <c r="B2447" t="s">
        <v>1921</v>
      </c>
      <c r="C2447" t="s">
        <v>5158</v>
      </c>
      <c r="D2447" t="str">
        <f>VLOOKUP(YouTube_University_Data_Final[[#This Row],[Title]],[1]!YouTube_University_Data_Final[[Title]:[Title_language]],2,FALSE)</f>
        <v>Bilingual</v>
      </c>
      <c r="E2447" t="s">
        <v>5159</v>
      </c>
      <c r="F2447">
        <v>27</v>
      </c>
      <c r="G2447" s="1">
        <v>42800</v>
      </c>
      <c r="H2447">
        <v>67</v>
      </c>
      <c r="I2447" t="s">
        <v>2944</v>
      </c>
      <c r="J2447">
        <v>437</v>
      </c>
      <c r="K2447">
        <v>2</v>
      </c>
      <c r="L2447">
        <v>0</v>
      </c>
      <c r="M2447">
        <v>0</v>
      </c>
      <c r="N2447" t="s">
        <v>90</v>
      </c>
      <c r="O2447">
        <v>2017</v>
      </c>
      <c r="P2447" t="s">
        <v>18</v>
      </c>
    </row>
    <row r="2448" spans="1:16" x14ac:dyDescent="0.3">
      <c r="A2448">
        <v>393</v>
      </c>
      <c r="B2448" t="s">
        <v>1921</v>
      </c>
      <c r="C2448" t="s">
        <v>5160</v>
      </c>
      <c r="D2448" t="str">
        <f>VLOOKUP(YouTube_University_Data_Final[[#This Row],[Title]],[1]!YouTube_University_Data_Final[[Title]:[Title_language]],2,FALSE)</f>
        <v>Bilingual</v>
      </c>
      <c r="E2448" t="s">
        <v>5161</v>
      </c>
      <c r="F2448">
        <v>27</v>
      </c>
      <c r="G2448" s="1">
        <v>42800</v>
      </c>
      <c r="H2448">
        <v>37</v>
      </c>
      <c r="I2448" t="s">
        <v>2944</v>
      </c>
      <c r="J2448">
        <v>392</v>
      </c>
      <c r="K2448">
        <v>0</v>
      </c>
      <c r="L2448">
        <v>0</v>
      </c>
      <c r="M2448">
        <v>0</v>
      </c>
      <c r="N2448" t="s">
        <v>90</v>
      </c>
      <c r="O2448">
        <v>2017</v>
      </c>
      <c r="P2448" t="s">
        <v>18</v>
      </c>
    </row>
    <row r="2449" spans="1:16" x14ac:dyDescent="0.3">
      <c r="A2449">
        <v>394</v>
      </c>
      <c r="B2449" t="s">
        <v>1921</v>
      </c>
      <c r="C2449" t="s">
        <v>5162</v>
      </c>
      <c r="D2449" t="str">
        <f>VLOOKUP(YouTube_University_Data_Final[[#This Row],[Title]],[1]!YouTube_University_Data_Final[[Title]:[Title_language]],2,FALSE)</f>
        <v>Bilingual</v>
      </c>
      <c r="E2449" t="s">
        <v>5163</v>
      </c>
      <c r="F2449">
        <v>27</v>
      </c>
      <c r="G2449" s="1">
        <v>42800</v>
      </c>
      <c r="H2449">
        <v>17</v>
      </c>
      <c r="I2449" t="s">
        <v>2944</v>
      </c>
      <c r="J2449">
        <v>564</v>
      </c>
      <c r="K2449">
        <v>0</v>
      </c>
      <c r="L2449">
        <v>0</v>
      </c>
      <c r="M2449">
        <v>0</v>
      </c>
      <c r="N2449" t="s">
        <v>90</v>
      </c>
      <c r="O2449">
        <v>2017</v>
      </c>
      <c r="P2449" t="s">
        <v>18</v>
      </c>
    </row>
    <row r="2450" spans="1:16" x14ac:dyDescent="0.3">
      <c r="A2450">
        <v>395</v>
      </c>
      <c r="B2450" t="s">
        <v>1921</v>
      </c>
      <c r="C2450" t="s">
        <v>5164</v>
      </c>
      <c r="D2450" t="str">
        <f>VLOOKUP(YouTube_University_Data_Final[[#This Row],[Title]],[1]!YouTube_University_Data_Final[[Title]:[Title_language]],2,FALSE)</f>
        <v>Bilingual</v>
      </c>
      <c r="E2450" t="s">
        <v>5165</v>
      </c>
      <c r="F2450">
        <v>27</v>
      </c>
      <c r="G2450" s="1">
        <v>42800</v>
      </c>
      <c r="H2450">
        <v>41</v>
      </c>
      <c r="I2450" t="s">
        <v>2944</v>
      </c>
      <c r="J2450">
        <v>790</v>
      </c>
      <c r="K2450">
        <v>4</v>
      </c>
      <c r="L2450">
        <v>0</v>
      </c>
      <c r="M2450">
        <v>0</v>
      </c>
      <c r="N2450" t="s">
        <v>90</v>
      </c>
      <c r="O2450">
        <v>2017</v>
      </c>
      <c r="P2450" t="s">
        <v>18</v>
      </c>
    </row>
    <row r="2451" spans="1:16" x14ac:dyDescent="0.3">
      <c r="A2451">
        <v>396</v>
      </c>
      <c r="B2451" t="s">
        <v>1921</v>
      </c>
      <c r="C2451" t="s">
        <v>5166</v>
      </c>
      <c r="D2451" t="str">
        <f>VLOOKUP(YouTube_University_Data_Final[[#This Row],[Title]],[1]!YouTube_University_Data_Final[[Title]:[Title_language]],2,FALSE)</f>
        <v>Bilingual</v>
      </c>
      <c r="E2451" t="s">
        <v>5167</v>
      </c>
      <c r="F2451">
        <v>27</v>
      </c>
      <c r="G2451" s="1">
        <v>42800</v>
      </c>
      <c r="H2451">
        <v>33</v>
      </c>
      <c r="I2451" t="s">
        <v>2944</v>
      </c>
      <c r="J2451">
        <v>810</v>
      </c>
      <c r="K2451">
        <v>12</v>
      </c>
      <c r="L2451">
        <v>0</v>
      </c>
      <c r="M2451">
        <v>0</v>
      </c>
      <c r="N2451" t="s">
        <v>90</v>
      </c>
      <c r="O2451">
        <v>2017</v>
      </c>
      <c r="P2451" t="s">
        <v>18</v>
      </c>
    </row>
    <row r="2452" spans="1:16" x14ac:dyDescent="0.3">
      <c r="A2452">
        <v>397</v>
      </c>
      <c r="B2452" t="s">
        <v>1921</v>
      </c>
      <c r="C2452" t="s">
        <v>5168</v>
      </c>
      <c r="D2452" t="str">
        <f>VLOOKUP(YouTube_University_Data_Final[[#This Row],[Title]],[1]!YouTube_University_Data_Final[[Title]:[Title_language]],2,FALSE)</f>
        <v>Bilingual</v>
      </c>
      <c r="E2452" t="s">
        <v>5169</v>
      </c>
      <c r="F2452">
        <v>27</v>
      </c>
      <c r="G2452" s="1">
        <v>42800</v>
      </c>
      <c r="H2452">
        <v>89</v>
      </c>
      <c r="I2452" t="s">
        <v>2944</v>
      </c>
      <c r="J2452">
        <v>289</v>
      </c>
      <c r="K2452">
        <v>0</v>
      </c>
      <c r="L2452">
        <v>0</v>
      </c>
      <c r="M2452">
        <v>0</v>
      </c>
      <c r="N2452" t="s">
        <v>90</v>
      </c>
      <c r="O2452">
        <v>2017</v>
      </c>
      <c r="P2452" t="s">
        <v>18</v>
      </c>
    </row>
    <row r="2453" spans="1:16" x14ac:dyDescent="0.3">
      <c r="A2453">
        <v>398</v>
      </c>
      <c r="B2453" t="s">
        <v>1921</v>
      </c>
      <c r="C2453" t="s">
        <v>5170</v>
      </c>
      <c r="D2453" t="str">
        <f>VLOOKUP(YouTube_University_Data_Final[[#This Row],[Title]],[1]!YouTube_University_Data_Final[[Title]:[Title_language]],2,FALSE)</f>
        <v>Bilingual</v>
      </c>
      <c r="E2453" t="s">
        <v>5171</v>
      </c>
      <c r="F2453">
        <v>27</v>
      </c>
      <c r="G2453" s="1">
        <v>42800</v>
      </c>
      <c r="H2453">
        <v>44</v>
      </c>
      <c r="I2453" t="s">
        <v>2944</v>
      </c>
      <c r="J2453">
        <v>984</v>
      </c>
      <c r="K2453">
        <v>3</v>
      </c>
      <c r="L2453">
        <v>0</v>
      </c>
      <c r="M2453">
        <v>0</v>
      </c>
      <c r="N2453" t="s">
        <v>90</v>
      </c>
      <c r="O2453">
        <v>2017</v>
      </c>
      <c r="P2453" t="s">
        <v>18</v>
      </c>
    </row>
    <row r="2454" spans="1:16" x14ac:dyDescent="0.3">
      <c r="A2454">
        <v>399</v>
      </c>
      <c r="B2454" t="s">
        <v>1921</v>
      </c>
      <c r="C2454" t="s">
        <v>5172</v>
      </c>
      <c r="D2454" t="str">
        <f>VLOOKUP(YouTube_University_Data_Final[[#This Row],[Title]],[1]!YouTube_University_Data_Final[[Title]:[Title_language]],2,FALSE)</f>
        <v>Bilingual</v>
      </c>
      <c r="E2454" t="s">
        <v>5173</v>
      </c>
      <c r="F2454">
        <v>27</v>
      </c>
      <c r="G2454" s="1">
        <v>42793</v>
      </c>
      <c r="H2454">
        <v>17</v>
      </c>
      <c r="I2454" t="s">
        <v>2944</v>
      </c>
      <c r="J2454">
        <v>668</v>
      </c>
      <c r="K2454">
        <v>2</v>
      </c>
      <c r="L2454">
        <v>0</v>
      </c>
      <c r="M2454">
        <v>0</v>
      </c>
      <c r="N2454" t="s">
        <v>162</v>
      </c>
      <c r="O2454">
        <v>2017</v>
      </c>
      <c r="P2454" t="s">
        <v>18</v>
      </c>
    </row>
    <row r="2455" spans="1:16" x14ac:dyDescent="0.3">
      <c r="A2455">
        <v>400</v>
      </c>
      <c r="B2455" t="s">
        <v>1921</v>
      </c>
      <c r="C2455" t="s">
        <v>5174</v>
      </c>
      <c r="D2455" t="str">
        <f>VLOOKUP(YouTube_University_Data_Final[[#This Row],[Title]],[1]!YouTube_University_Data_Final[[Title]:[Title_language]],2,FALSE)</f>
        <v>Bilingual</v>
      </c>
      <c r="E2455" t="s">
        <v>5175</v>
      </c>
      <c r="F2455">
        <v>27</v>
      </c>
      <c r="G2455" s="1">
        <v>42793</v>
      </c>
      <c r="H2455">
        <v>40</v>
      </c>
      <c r="I2455" t="s">
        <v>2944</v>
      </c>
      <c r="J2455">
        <v>443</v>
      </c>
      <c r="K2455">
        <v>2</v>
      </c>
      <c r="L2455">
        <v>0</v>
      </c>
      <c r="M2455">
        <v>0</v>
      </c>
      <c r="N2455" t="s">
        <v>162</v>
      </c>
      <c r="O2455">
        <v>2017</v>
      </c>
      <c r="P2455" t="s">
        <v>18</v>
      </c>
    </row>
    <row r="2456" spans="1:16" x14ac:dyDescent="0.3">
      <c r="A2456">
        <v>401</v>
      </c>
      <c r="B2456" t="s">
        <v>1921</v>
      </c>
      <c r="C2456" t="s">
        <v>5176</v>
      </c>
      <c r="D2456" t="str">
        <f>VLOOKUP(YouTube_University_Data_Final[[#This Row],[Title]],[1]!YouTube_University_Data_Final[[Title]:[Title_language]],2,FALSE)</f>
        <v>Bilingual</v>
      </c>
      <c r="E2456" t="s">
        <v>5177</v>
      </c>
      <c r="F2456">
        <v>27</v>
      </c>
      <c r="G2456" s="1">
        <v>42793</v>
      </c>
      <c r="H2456">
        <v>24</v>
      </c>
      <c r="I2456" t="s">
        <v>2944</v>
      </c>
      <c r="J2456">
        <v>451</v>
      </c>
      <c r="K2456">
        <v>0</v>
      </c>
      <c r="L2456">
        <v>0</v>
      </c>
      <c r="M2456">
        <v>0</v>
      </c>
      <c r="N2456" t="s">
        <v>162</v>
      </c>
      <c r="O2456">
        <v>2017</v>
      </c>
      <c r="P2456" t="s">
        <v>18</v>
      </c>
    </row>
    <row r="2457" spans="1:16" x14ac:dyDescent="0.3">
      <c r="A2457">
        <v>402</v>
      </c>
      <c r="B2457" t="s">
        <v>1921</v>
      </c>
      <c r="C2457" t="s">
        <v>5178</v>
      </c>
      <c r="D2457" t="str">
        <f>VLOOKUP(YouTube_University_Data_Final[[#This Row],[Title]],[1]!YouTube_University_Data_Final[[Title]:[Title_language]],2,FALSE)</f>
        <v>Bilingual</v>
      </c>
      <c r="E2457" t="s">
        <v>5179</v>
      </c>
      <c r="F2457">
        <v>27</v>
      </c>
      <c r="G2457" s="1">
        <v>42793</v>
      </c>
      <c r="H2457">
        <v>70</v>
      </c>
      <c r="I2457" t="s">
        <v>2944</v>
      </c>
      <c r="J2457">
        <v>332</v>
      </c>
      <c r="K2457">
        <v>0</v>
      </c>
      <c r="L2457">
        <v>0</v>
      </c>
      <c r="M2457">
        <v>0</v>
      </c>
      <c r="N2457" t="s">
        <v>162</v>
      </c>
      <c r="O2457">
        <v>2017</v>
      </c>
      <c r="P2457" t="s">
        <v>18</v>
      </c>
    </row>
    <row r="2458" spans="1:16" x14ac:dyDescent="0.3">
      <c r="A2458">
        <v>403</v>
      </c>
      <c r="B2458" t="s">
        <v>1921</v>
      </c>
      <c r="C2458" t="s">
        <v>5180</v>
      </c>
      <c r="D2458" t="str">
        <f>VLOOKUP(YouTube_University_Data_Final[[#This Row],[Title]],[1]!YouTube_University_Data_Final[[Title]:[Title_language]],2,FALSE)</f>
        <v>Bilingual</v>
      </c>
      <c r="E2458" t="s">
        <v>5181</v>
      </c>
      <c r="F2458">
        <v>27</v>
      </c>
      <c r="G2458" s="1">
        <v>42793</v>
      </c>
      <c r="H2458">
        <v>23</v>
      </c>
      <c r="I2458" t="s">
        <v>2944</v>
      </c>
      <c r="J2458">
        <v>375</v>
      </c>
      <c r="K2458">
        <v>0</v>
      </c>
      <c r="L2458">
        <v>0</v>
      </c>
      <c r="M2458">
        <v>0</v>
      </c>
      <c r="N2458" t="s">
        <v>162</v>
      </c>
      <c r="O2458">
        <v>2017</v>
      </c>
      <c r="P2458" t="s">
        <v>18</v>
      </c>
    </row>
    <row r="2459" spans="1:16" x14ac:dyDescent="0.3">
      <c r="A2459">
        <v>404</v>
      </c>
      <c r="B2459" t="s">
        <v>1921</v>
      </c>
      <c r="C2459" t="s">
        <v>5182</v>
      </c>
      <c r="D2459" t="str">
        <f>VLOOKUP(YouTube_University_Data_Final[[#This Row],[Title]],[1]!YouTube_University_Data_Final[[Title]:[Title_language]],2,FALSE)</f>
        <v>Bilingual</v>
      </c>
      <c r="E2459" t="s">
        <v>5183</v>
      </c>
      <c r="F2459">
        <v>27</v>
      </c>
      <c r="G2459" s="1">
        <v>42793</v>
      </c>
      <c r="H2459">
        <v>87</v>
      </c>
      <c r="I2459" t="s">
        <v>2944</v>
      </c>
      <c r="J2459">
        <v>386</v>
      </c>
      <c r="K2459">
        <v>3</v>
      </c>
      <c r="L2459">
        <v>0</v>
      </c>
      <c r="M2459">
        <v>0</v>
      </c>
      <c r="N2459" t="s">
        <v>162</v>
      </c>
      <c r="O2459">
        <v>2017</v>
      </c>
      <c r="P2459" t="s">
        <v>18</v>
      </c>
    </row>
    <row r="2460" spans="1:16" x14ac:dyDescent="0.3">
      <c r="A2460">
        <v>405</v>
      </c>
      <c r="B2460" t="s">
        <v>1921</v>
      </c>
      <c r="C2460" t="s">
        <v>5184</v>
      </c>
      <c r="D2460" t="str">
        <f>VLOOKUP(YouTube_University_Data_Final[[#This Row],[Title]],[1]!YouTube_University_Data_Final[[Title]:[Title_language]],2,FALSE)</f>
        <v>Bilingual</v>
      </c>
      <c r="E2460" t="s">
        <v>5185</v>
      </c>
      <c r="F2460">
        <v>27</v>
      </c>
      <c r="G2460" s="1">
        <v>42793</v>
      </c>
      <c r="H2460">
        <v>39</v>
      </c>
      <c r="I2460" t="s">
        <v>2944</v>
      </c>
      <c r="J2460">
        <v>972</v>
      </c>
      <c r="K2460">
        <v>8</v>
      </c>
      <c r="L2460">
        <v>0</v>
      </c>
      <c r="M2460">
        <v>0</v>
      </c>
      <c r="N2460" t="s">
        <v>162</v>
      </c>
      <c r="O2460">
        <v>2017</v>
      </c>
      <c r="P2460" t="s">
        <v>18</v>
      </c>
    </row>
    <row r="2461" spans="1:16" x14ac:dyDescent="0.3">
      <c r="A2461">
        <v>406</v>
      </c>
      <c r="B2461" t="s">
        <v>1921</v>
      </c>
      <c r="C2461" t="s">
        <v>5186</v>
      </c>
      <c r="D2461" t="str">
        <f>VLOOKUP(YouTube_University_Data_Final[[#This Row],[Title]],[1]!YouTube_University_Data_Final[[Title]:[Title_language]],2,FALSE)</f>
        <v>Bilingual</v>
      </c>
      <c r="E2461" t="s">
        <v>5187</v>
      </c>
      <c r="F2461">
        <v>27</v>
      </c>
      <c r="G2461" s="1">
        <v>42793</v>
      </c>
      <c r="H2461">
        <v>47</v>
      </c>
      <c r="I2461" t="s">
        <v>2944</v>
      </c>
      <c r="J2461">
        <v>1039</v>
      </c>
      <c r="K2461">
        <v>1</v>
      </c>
      <c r="L2461">
        <v>0</v>
      </c>
      <c r="M2461">
        <v>0</v>
      </c>
      <c r="N2461" t="s">
        <v>162</v>
      </c>
      <c r="O2461">
        <v>2017</v>
      </c>
      <c r="P2461" t="s">
        <v>18</v>
      </c>
    </row>
    <row r="2462" spans="1:16" x14ac:dyDescent="0.3">
      <c r="A2462">
        <v>407</v>
      </c>
      <c r="B2462" t="s">
        <v>1921</v>
      </c>
      <c r="C2462" t="s">
        <v>5188</v>
      </c>
      <c r="D2462" t="str">
        <f>VLOOKUP(YouTube_University_Data_Final[[#This Row],[Title]],[1]!YouTube_University_Data_Final[[Title]:[Title_language]],2,FALSE)</f>
        <v>Bilingual</v>
      </c>
      <c r="E2462" t="s">
        <v>5189</v>
      </c>
      <c r="F2462">
        <v>27</v>
      </c>
      <c r="G2462" s="1">
        <v>42787</v>
      </c>
      <c r="H2462">
        <v>30</v>
      </c>
      <c r="I2462" t="s">
        <v>2944</v>
      </c>
      <c r="J2462">
        <v>809</v>
      </c>
      <c r="K2462">
        <v>0</v>
      </c>
      <c r="L2462">
        <v>0</v>
      </c>
      <c r="M2462">
        <v>0</v>
      </c>
      <c r="N2462" t="s">
        <v>162</v>
      </c>
      <c r="O2462">
        <v>2017</v>
      </c>
      <c r="P2462" t="s">
        <v>18</v>
      </c>
    </row>
    <row r="2463" spans="1:16" x14ac:dyDescent="0.3">
      <c r="A2463">
        <v>408</v>
      </c>
      <c r="B2463" t="s">
        <v>1921</v>
      </c>
      <c r="C2463" t="s">
        <v>5190</v>
      </c>
      <c r="D2463" t="str">
        <f>VLOOKUP(YouTube_University_Data_Final[[#This Row],[Title]],[1]!YouTube_University_Data_Final[[Title]:[Title_language]],2,FALSE)</f>
        <v>Bilingual</v>
      </c>
      <c r="E2463" t="s">
        <v>5191</v>
      </c>
      <c r="F2463">
        <v>27</v>
      </c>
      <c r="G2463" s="1">
        <v>42787</v>
      </c>
      <c r="H2463">
        <v>30</v>
      </c>
      <c r="I2463" t="s">
        <v>2944</v>
      </c>
      <c r="J2463">
        <v>721</v>
      </c>
      <c r="K2463">
        <v>4</v>
      </c>
      <c r="L2463">
        <v>0</v>
      </c>
      <c r="M2463">
        <v>0</v>
      </c>
      <c r="N2463" t="s">
        <v>162</v>
      </c>
      <c r="O2463">
        <v>2017</v>
      </c>
      <c r="P2463" t="s">
        <v>18</v>
      </c>
    </row>
    <row r="2464" spans="1:16" x14ac:dyDescent="0.3">
      <c r="A2464">
        <v>409</v>
      </c>
      <c r="B2464" t="s">
        <v>1921</v>
      </c>
      <c r="C2464" t="s">
        <v>5192</v>
      </c>
      <c r="D2464" t="str">
        <f>VLOOKUP(YouTube_University_Data_Final[[#This Row],[Title]],[1]!YouTube_University_Data_Final[[Title]:[Title_language]],2,FALSE)</f>
        <v>Bilingual</v>
      </c>
      <c r="E2464" t="s">
        <v>5193</v>
      </c>
      <c r="F2464">
        <v>27</v>
      </c>
      <c r="G2464" s="1">
        <v>42787</v>
      </c>
      <c r="H2464">
        <v>67</v>
      </c>
      <c r="I2464" t="s">
        <v>2944</v>
      </c>
      <c r="J2464">
        <v>317</v>
      </c>
      <c r="K2464">
        <v>2</v>
      </c>
      <c r="L2464">
        <v>0</v>
      </c>
      <c r="M2464">
        <v>0</v>
      </c>
      <c r="N2464" t="s">
        <v>162</v>
      </c>
      <c r="O2464">
        <v>2017</v>
      </c>
      <c r="P2464" t="s">
        <v>18</v>
      </c>
    </row>
    <row r="2465" spans="1:16" x14ac:dyDescent="0.3">
      <c r="A2465">
        <v>410</v>
      </c>
      <c r="B2465" t="s">
        <v>1921</v>
      </c>
      <c r="C2465" t="s">
        <v>5194</v>
      </c>
      <c r="D2465" t="str">
        <f>VLOOKUP(YouTube_University_Data_Final[[#This Row],[Title]],[1]!YouTube_University_Data_Final[[Title]:[Title_language]],2,FALSE)</f>
        <v>Bilingual</v>
      </c>
      <c r="E2465" t="s">
        <v>5195</v>
      </c>
      <c r="F2465">
        <v>27</v>
      </c>
      <c r="G2465" s="1">
        <v>42787</v>
      </c>
      <c r="H2465">
        <v>30</v>
      </c>
      <c r="I2465" t="s">
        <v>2944</v>
      </c>
      <c r="J2465">
        <v>325</v>
      </c>
      <c r="K2465">
        <v>0</v>
      </c>
      <c r="L2465">
        <v>0</v>
      </c>
      <c r="M2465">
        <v>0</v>
      </c>
      <c r="N2465" t="s">
        <v>162</v>
      </c>
      <c r="O2465">
        <v>2017</v>
      </c>
      <c r="P2465" t="s">
        <v>18</v>
      </c>
    </row>
    <row r="2466" spans="1:16" x14ac:dyDescent="0.3">
      <c r="A2466">
        <v>411</v>
      </c>
      <c r="B2466" t="s">
        <v>1921</v>
      </c>
      <c r="C2466" t="s">
        <v>5196</v>
      </c>
      <c r="D2466" t="str">
        <f>VLOOKUP(YouTube_University_Data_Final[[#This Row],[Title]],[1]!YouTube_University_Data_Final[[Title]:[Title_language]],2,FALSE)</f>
        <v>Bilingual</v>
      </c>
      <c r="E2466" t="s">
        <v>5197</v>
      </c>
      <c r="F2466">
        <v>27</v>
      </c>
      <c r="G2466" s="1">
        <v>42787</v>
      </c>
      <c r="H2466">
        <v>23</v>
      </c>
      <c r="I2466" t="s">
        <v>2944</v>
      </c>
      <c r="J2466">
        <v>421</v>
      </c>
      <c r="K2466">
        <v>0</v>
      </c>
      <c r="L2466">
        <v>0</v>
      </c>
      <c r="M2466">
        <v>0</v>
      </c>
      <c r="N2466" t="s">
        <v>162</v>
      </c>
      <c r="O2466">
        <v>2017</v>
      </c>
      <c r="P2466" t="s">
        <v>18</v>
      </c>
    </row>
    <row r="2467" spans="1:16" x14ac:dyDescent="0.3">
      <c r="A2467">
        <v>412</v>
      </c>
      <c r="B2467" t="s">
        <v>1921</v>
      </c>
      <c r="C2467" t="s">
        <v>5198</v>
      </c>
      <c r="D2467" t="str">
        <f>VLOOKUP(YouTube_University_Data_Final[[#This Row],[Title]],[1]!YouTube_University_Data_Final[[Title]:[Title_language]],2,FALSE)</f>
        <v>Bilingual</v>
      </c>
      <c r="E2467" t="s">
        <v>5199</v>
      </c>
      <c r="F2467">
        <v>27</v>
      </c>
      <c r="G2467" s="1">
        <v>42783</v>
      </c>
      <c r="H2467">
        <v>59</v>
      </c>
      <c r="I2467" t="s">
        <v>2944</v>
      </c>
      <c r="J2467">
        <v>467</v>
      </c>
      <c r="K2467">
        <v>0</v>
      </c>
      <c r="L2467">
        <v>0</v>
      </c>
      <c r="M2467">
        <v>0</v>
      </c>
      <c r="N2467" t="s">
        <v>162</v>
      </c>
      <c r="O2467">
        <v>2017</v>
      </c>
      <c r="P2467" t="s">
        <v>18</v>
      </c>
    </row>
    <row r="2468" spans="1:16" x14ac:dyDescent="0.3">
      <c r="A2468">
        <v>413</v>
      </c>
      <c r="B2468" t="s">
        <v>1921</v>
      </c>
      <c r="C2468" t="s">
        <v>2452</v>
      </c>
      <c r="D2468" t="str">
        <f>VLOOKUP(YouTube_University_Data_Final[[#This Row],[Title]],[1]!YouTube_University_Data_Final[[Title]:[Title_language]],2,FALSE)</f>
        <v>English</v>
      </c>
      <c r="E2468" t="s">
        <v>5200</v>
      </c>
      <c r="F2468">
        <v>27</v>
      </c>
      <c r="G2468" s="1">
        <v>42783</v>
      </c>
      <c r="H2468">
        <v>22</v>
      </c>
      <c r="I2468" t="s">
        <v>2944</v>
      </c>
      <c r="J2468">
        <v>245</v>
      </c>
      <c r="K2468">
        <v>0</v>
      </c>
      <c r="L2468">
        <v>0</v>
      </c>
      <c r="M2468">
        <v>0</v>
      </c>
      <c r="N2468" t="s">
        <v>162</v>
      </c>
      <c r="O2468">
        <v>2017</v>
      </c>
      <c r="P2468" t="s">
        <v>18</v>
      </c>
    </row>
    <row r="2469" spans="1:16" x14ac:dyDescent="0.3">
      <c r="A2469">
        <v>414</v>
      </c>
      <c r="B2469" t="s">
        <v>1921</v>
      </c>
      <c r="C2469" t="s">
        <v>2453</v>
      </c>
      <c r="D2469" t="str">
        <f>VLOOKUP(YouTube_University_Data_Final[[#This Row],[Title]],[1]!YouTube_University_Data_Final[[Title]:[Title_language]],2,FALSE)</f>
        <v>English</v>
      </c>
      <c r="E2469" t="s">
        <v>5201</v>
      </c>
      <c r="F2469">
        <v>27</v>
      </c>
      <c r="G2469" s="1">
        <v>42781</v>
      </c>
      <c r="H2469">
        <v>22</v>
      </c>
      <c r="I2469" t="s">
        <v>2944</v>
      </c>
      <c r="J2469">
        <v>408</v>
      </c>
      <c r="K2469">
        <v>0</v>
      </c>
      <c r="L2469">
        <v>0</v>
      </c>
      <c r="M2469">
        <v>0</v>
      </c>
      <c r="N2469" t="s">
        <v>162</v>
      </c>
      <c r="O2469">
        <v>2017</v>
      </c>
      <c r="P2469" t="s">
        <v>18</v>
      </c>
    </row>
    <row r="2470" spans="1:16" x14ac:dyDescent="0.3">
      <c r="A2470">
        <v>415</v>
      </c>
      <c r="B2470" t="s">
        <v>1921</v>
      </c>
      <c r="C2470" t="s">
        <v>5202</v>
      </c>
      <c r="D2470" t="str">
        <f>VLOOKUP(YouTube_University_Data_Final[[#This Row],[Title]],[1]!YouTube_University_Data_Final[[Title]:[Title_language]],2,FALSE)</f>
        <v>Bilingual</v>
      </c>
      <c r="E2470" t="s">
        <v>5203</v>
      </c>
      <c r="F2470">
        <v>27</v>
      </c>
      <c r="G2470" s="1">
        <v>42781</v>
      </c>
      <c r="H2470">
        <v>19</v>
      </c>
      <c r="I2470" t="s">
        <v>2944</v>
      </c>
      <c r="J2470">
        <v>289</v>
      </c>
      <c r="K2470">
        <v>0</v>
      </c>
      <c r="L2470">
        <v>0</v>
      </c>
      <c r="M2470">
        <v>0</v>
      </c>
      <c r="N2470" t="s">
        <v>162</v>
      </c>
      <c r="O2470">
        <v>2017</v>
      </c>
      <c r="P2470" t="s">
        <v>18</v>
      </c>
    </row>
    <row r="2471" spans="1:16" x14ac:dyDescent="0.3">
      <c r="A2471">
        <v>416</v>
      </c>
      <c r="B2471" t="s">
        <v>1921</v>
      </c>
      <c r="C2471" t="s">
        <v>5204</v>
      </c>
      <c r="D2471" t="str">
        <f>VLOOKUP(YouTube_University_Data_Final[[#This Row],[Title]],[1]!YouTube_University_Data_Final[[Title]:[Title_language]],2,FALSE)</f>
        <v>Bilingual</v>
      </c>
      <c r="E2471" t="s">
        <v>5205</v>
      </c>
      <c r="F2471">
        <v>27</v>
      </c>
      <c r="G2471" s="1">
        <v>42781</v>
      </c>
      <c r="H2471">
        <v>12</v>
      </c>
      <c r="I2471" t="s">
        <v>2944</v>
      </c>
      <c r="J2471">
        <v>193</v>
      </c>
      <c r="K2471">
        <v>0</v>
      </c>
      <c r="L2471">
        <v>0</v>
      </c>
      <c r="M2471">
        <v>0</v>
      </c>
      <c r="N2471" t="s">
        <v>162</v>
      </c>
      <c r="O2471">
        <v>2017</v>
      </c>
      <c r="P2471" t="s">
        <v>18</v>
      </c>
    </row>
    <row r="2472" spans="1:16" x14ac:dyDescent="0.3">
      <c r="A2472">
        <v>417</v>
      </c>
      <c r="B2472" t="s">
        <v>1921</v>
      </c>
      <c r="C2472" t="s">
        <v>5206</v>
      </c>
      <c r="D2472" t="str">
        <f>VLOOKUP(YouTube_University_Data_Final[[#This Row],[Title]],[1]!YouTube_University_Data_Final[[Title]:[Title_language]],2,FALSE)</f>
        <v>Bilingual</v>
      </c>
      <c r="E2472" t="s">
        <v>5207</v>
      </c>
      <c r="F2472">
        <v>27</v>
      </c>
      <c r="G2472" s="1">
        <v>42781</v>
      </c>
      <c r="H2472">
        <v>18</v>
      </c>
      <c r="I2472" t="s">
        <v>2944</v>
      </c>
      <c r="J2472">
        <v>216</v>
      </c>
      <c r="K2472">
        <v>0</v>
      </c>
      <c r="L2472">
        <v>0</v>
      </c>
      <c r="M2472">
        <v>0</v>
      </c>
      <c r="N2472" t="s">
        <v>162</v>
      </c>
      <c r="O2472">
        <v>2017</v>
      </c>
      <c r="P2472" t="s">
        <v>18</v>
      </c>
    </row>
    <row r="2473" spans="1:16" x14ac:dyDescent="0.3">
      <c r="A2473">
        <v>418</v>
      </c>
      <c r="B2473" t="s">
        <v>1921</v>
      </c>
      <c r="C2473" t="s">
        <v>5208</v>
      </c>
      <c r="D2473" t="str">
        <f>VLOOKUP(YouTube_University_Data_Final[[#This Row],[Title]],[1]!YouTube_University_Data_Final[[Title]:[Title_language]],2,FALSE)</f>
        <v>Bilingual</v>
      </c>
      <c r="E2473" t="s">
        <v>5209</v>
      </c>
      <c r="F2473">
        <v>27</v>
      </c>
      <c r="G2473" s="1">
        <v>42781</v>
      </c>
      <c r="H2473">
        <v>30</v>
      </c>
      <c r="I2473" t="s">
        <v>2944</v>
      </c>
      <c r="J2473">
        <v>919</v>
      </c>
      <c r="K2473">
        <v>2</v>
      </c>
      <c r="L2473">
        <v>0</v>
      </c>
      <c r="M2473">
        <v>0</v>
      </c>
      <c r="N2473" t="s">
        <v>162</v>
      </c>
      <c r="O2473">
        <v>2017</v>
      </c>
      <c r="P2473" t="s">
        <v>18</v>
      </c>
    </row>
    <row r="2474" spans="1:16" x14ac:dyDescent="0.3">
      <c r="A2474">
        <v>419</v>
      </c>
      <c r="B2474" t="s">
        <v>1921</v>
      </c>
      <c r="C2474" t="s">
        <v>5210</v>
      </c>
      <c r="D2474" t="str">
        <f>VLOOKUP(YouTube_University_Data_Final[[#This Row],[Title]],[1]!YouTube_University_Data_Final[[Title]:[Title_language]],2,FALSE)</f>
        <v>Bilingual</v>
      </c>
      <c r="E2474" t="s">
        <v>5211</v>
      </c>
      <c r="F2474">
        <v>27</v>
      </c>
      <c r="G2474" s="1">
        <v>42781</v>
      </c>
      <c r="H2474">
        <v>21</v>
      </c>
      <c r="I2474" t="s">
        <v>2944</v>
      </c>
      <c r="J2474">
        <v>407</v>
      </c>
      <c r="K2474">
        <v>1</v>
      </c>
      <c r="L2474">
        <v>0</v>
      </c>
      <c r="M2474">
        <v>0</v>
      </c>
      <c r="N2474" t="s">
        <v>162</v>
      </c>
      <c r="O2474">
        <v>2017</v>
      </c>
      <c r="P2474" t="s">
        <v>18</v>
      </c>
    </row>
    <row r="2475" spans="1:16" x14ac:dyDescent="0.3">
      <c r="A2475">
        <v>420</v>
      </c>
      <c r="B2475" t="s">
        <v>1921</v>
      </c>
      <c r="C2475" t="s">
        <v>5212</v>
      </c>
      <c r="D2475" t="str">
        <f>VLOOKUP(YouTube_University_Data_Final[[#This Row],[Title]],[1]!YouTube_University_Data_Final[[Title]:[Title_language]],2,FALSE)</f>
        <v>Bilingual</v>
      </c>
      <c r="E2475" t="s">
        <v>5213</v>
      </c>
      <c r="F2475">
        <v>27</v>
      </c>
      <c r="G2475" s="1">
        <v>42781</v>
      </c>
      <c r="H2475">
        <v>28</v>
      </c>
      <c r="I2475" t="s">
        <v>2944</v>
      </c>
      <c r="J2475">
        <v>538</v>
      </c>
      <c r="K2475">
        <v>1</v>
      </c>
      <c r="L2475">
        <v>0</v>
      </c>
      <c r="M2475">
        <v>0</v>
      </c>
      <c r="N2475" t="s">
        <v>162</v>
      </c>
      <c r="O2475">
        <v>2017</v>
      </c>
      <c r="P2475" t="s">
        <v>18</v>
      </c>
    </row>
    <row r="2476" spans="1:16" x14ac:dyDescent="0.3">
      <c r="A2476">
        <v>421</v>
      </c>
      <c r="B2476" t="s">
        <v>1921</v>
      </c>
      <c r="C2476" t="s">
        <v>5214</v>
      </c>
      <c r="D2476" t="str">
        <f>VLOOKUP(YouTube_University_Data_Final[[#This Row],[Title]],[1]!YouTube_University_Data_Final[[Title]:[Title_language]],2,FALSE)</f>
        <v>Bilingual</v>
      </c>
      <c r="E2476" t="s">
        <v>5199</v>
      </c>
      <c r="F2476">
        <v>27</v>
      </c>
      <c r="G2476" s="1">
        <v>42781</v>
      </c>
      <c r="H2476">
        <v>149</v>
      </c>
      <c r="I2476" t="s">
        <v>2944</v>
      </c>
      <c r="J2476">
        <v>410</v>
      </c>
      <c r="K2476">
        <v>1</v>
      </c>
      <c r="L2476">
        <v>0</v>
      </c>
      <c r="M2476">
        <v>0</v>
      </c>
      <c r="N2476" t="s">
        <v>162</v>
      </c>
      <c r="O2476">
        <v>2017</v>
      </c>
      <c r="P2476" t="s">
        <v>18</v>
      </c>
    </row>
    <row r="2477" spans="1:16" x14ac:dyDescent="0.3">
      <c r="A2477">
        <v>422</v>
      </c>
      <c r="B2477" t="s">
        <v>1921</v>
      </c>
      <c r="C2477" t="s">
        <v>2454</v>
      </c>
      <c r="D2477" t="str">
        <f>VLOOKUP(YouTube_University_Data_Final[[#This Row],[Title]],[1]!YouTube_University_Data_Final[[Title]:[Title_language]],2,FALSE)</f>
        <v>English</v>
      </c>
      <c r="E2477" t="s">
        <v>2454</v>
      </c>
      <c r="F2477">
        <v>27</v>
      </c>
      <c r="G2477" s="1">
        <v>42781</v>
      </c>
      <c r="H2477">
        <v>5</v>
      </c>
      <c r="I2477" t="s">
        <v>2455</v>
      </c>
      <c r="J2477">
        <v>334</v>
      </c>
      <c r="K2477">
        <v>0</v>
      </c>
      <c r="L2477">
        <v>0</v>
      </c>
      <c r="M2477">
        <v>0</v>
      </c>
      <c r="N2477" t="s">
        <v>162</v>
      </c>
      <c r="O2477">
        <v>2017</v>
      </c>
      <c r="P2477" t="s">
        <v>18</v>
      </c>
    </row>
    <row r="2478" spans="1:16" x14ac:dyDescent="0.3">
      <c r="A2478">
        <v>423</v>
      </c>
      <c r="B2478" t="s">
        <v>1921</v>
      </c>
      <c r="C2478" t="s">
        <v>5215</v>
      </c>
      <c r="D2478" t="str">
        <f>VLOOKUP(YouTube_University_Data_Final[[#This Row],[Title]],[1]!YouTube_University_Data_Final[[Title]:[Title_language]],2,FALSE)</f>
        <v>Bilingual</v>
      </c>
      <c r="E2478" t="s">
        <v>5216</v>
      </c>
      <c r="F2478">
        <v>27</v>
      </c>
      <c r="G2478" s="1">
        <v>42776</v>
      </c>
      <c r="H2478">
        <v>39</v>
      </c>
      <c r="I2478" t="s">
        <v>2944</v>
      </c>
      <c r="J2478">
        <v>526</v>
      </c>
      <c r="K2478">
        <v>3</v>
      </c>
      <c r="L2478">
        <v>0</v>
      </c>
      <c r="M2478">
        <v>0</v>
      </c>
      <c r="N2478" t="s">
        <v>162</v>
      </c>
      <c r="O2478">
        <v>2017</v>
      </c>
      <c r="P2478" t="s">
        <v>18</v>
      </c>
    </row>
    <row r="2479" spans="1:16" x14ac:dyDescent="0.3">
      <c r="A2479">
        <v>424</v>
      </c>
      <c r="B2479" t="s">
        <v>1921</v>
      </c>
      <c r="C2479" t="s">
        <v>5217</v>
      </c>
      <c r="D2479" t="str">
        <f>VLOOKUP(YouTube_University_Data_Final[[#This Row],[Title]],[1]!YouTube_University_Data_Final[[Title]:[Title_language]],2,FALSE)</f>
        <v>Bilingual</v>
      </c>
      <c r="E2479" t="s">
        <v>5218</v>
      </c>
      <c r="F2479">
        <v>27</v>
      </c>
      <c r="G2479" s="1">
        <v>42741</v>
      </c>
      <c r="H2479">
        <v>153</v>
      </c>
      <c r="I2479" t="s">
        <v>5219</v>
      </c>
      <c r="J2479">
        <v>486</v>
      </c>
      <c r="K2479">
        <v>6</v>
      </c>
      <c r="L2479">
        <v>0</v>
      </c>
      <c r="M2479">
        <v>0</v>
      </c>
      <c r="N2479" t="s">
        <v>93</v>
      </c>
      <c r="O2479">
        <v>2017</v>
      </c>
      <c r="P2479" t="s">
        <v>18</v>
      </c>
    </row>
    <row r="2480" spans="1:16" x14ac:dyDescent="0.3">
      <c r="A2480">
        <v>425</v>
      </c>
      <c r="B2480" t="s">
        <v>1921</v>
      </c>
      <c r="C2480" t="s">
        <v>2456</v>
      </c>
      <c r="D2480" t="str">
        <f>VLOOKUP(YouTube_University_Data_Final[[#This Row],[Title]],[1]!YouTube_University_Data_Final[[Title]:[Title_language]],2,FALSE)</f>
        <v>English</v>
      </c>
      <c r="E2480" t="s">
        <v>5220</v>
      </c>
      <c r="F2480">
        <v>27</v>
      </c>
      <c r="G2480" s="1">
        <v>42711</v>
      </c>
      <c r="H2480">
        <v>188</v>
      </c>
      <c r="I2480" t="s">
        <v>2457</v>
      </c>
      <c r="J2480">
        <v>340</v>
      </c>
      <c r="K2480">
        <v>2</v>
      </c>
      <c r="L2480">
        <v>0</v>
      </c>
      <c r="M2480">
        <v>0</v>
      </c>
      <c r="N2480" t="s">
        <v>98</v>
      </c>
      <c r="O2480">
        <v>2016</v>
      </c>
      <c r="P2480" t="s">
        <v>18</v>
      </c>
    </row>
    <row r="2481" spans="1:16" x14ac:dyDescent="0.3">
      <c r="A2481">
        <v>426</v>
      </c>
      <c r="B2481" t="s">
        <v>1921</v>
      </c>
      <c r="C2481" t="s">
        <v>5221</v>
      </c>
      <c r="D2481" t="str">
        <f>VLOOKUP(YouTube_University_Data_Final[[#This Row],[Title]],[1]!YouTube_University_Data_Final[[Title]:[Title_language]],2,FALSE)</f>
        <v>English</v>
      </c>
      <c r="E2481" t="s">
        <v>5222</v>
      </c>
      <c r="F2481">
        <v>27</v>
      </c>
      <c r="G2481" s="1">
        <v>42705</v>
      </c>
      <c r="H2481">
        <v>230</v>
      </c>
      <c r="I2481" t="s">
        <v>2458</v>
      </c>
      <c r="J2481">
        <v>2800</v>
      </c>
      <c r="K2481">
        <v>4</v>
      </c>
      <c r="L2481">
        <v>0</v>
      </c>
      <c r="M2481">
        <v>0</v>
      </c>
      <c r="N2481" t="s">
        <v>98</v>
      </c>
      <c r="O2481">
        <v>2016</v>
      </c>
      <c r="P2481" t="s">
        <v>18</v>
      </c>
    </row>
    <row r="2482" spans="1:16" x14ac:dyDescent="0.3">
      <c r="A2482">
        <v>427</v>
      </c>
      <c r="B2482" t="s">
        <v>1921</v>
      </c>
      <c r="C2482" t="s">
        <v>5223</v>
      </c>
      <c r="D2482" t="str">
        <f>VLOOKUP(YouTube_University_Data_Final[[#This Row],[Title]],[1]!YouTube_University_Data_Final[[Title]:[Title_language]],2,FALSE)</f>
        <v>Bilingual</v>
      </c>
      <c r="E2482" t="s">
        <v>5224</v>
      </c>
      <c r="F2482">
        <v>27</v>
      </c>
      <c r="G2482" s="1">
        <v>42703</v>
      </c>
      <c r="H2482">
        <v>258</v>
      </c>
      <c r="I2482" t="s">
        <v>2459</v>
      </c>
      <c r="J2482">
        <v>1362</v>
      </c>
      <c r="K2482">
        <v>0</v>
      </c>
      <c r="L2482">
        <v>0</v>
      </c>
      <c r="M2482">
        <v>0</v>
      </c>
      <c r="N2482" t="s">
        <v>101</v>
      </c>
      <c r="O2482">
        <v>2016</v>
      </c>
      <c r="P2482" t="s">
        <v>18</v>
      </c>
    </row>
    <row r="2483" spans="1:16" x14ac:dyDescent="0.3">
      <c r="A2483">
        <v>428</v>
      </c>
      <c r="B2483" t="s">
        <v>1921</v>
      </c>
      <c r="C2483" t="s">
        <v>5225</v>
      </c>
      <c r="D2483" t="str">
        <f>VLOOKUP(YouTube_University_Data_Final[[#This Row],[Title]],[1]!YouTube_University_Data_Final[[Title]:[Title_language]],2,FALSE)</f>
        <v>Bilingual</v>
      </c>
      <c r="E2483" t="s">
        <v>5226</v>
      </c>
      <c r="F2483">
        <v>27</v>
      </c>
      <c r="G2483" s="1">
        <v>42699</v>
      </c>
      <c r="H2483">
        <v>9787</v>
      </c>
      <c r="I2483" t="s">
        <v>2460</v>
      </c>
      <c r="J2483">
        <v>9512</v>
      </c>
      <c r="K2483">
        <v>0</v>
      </c>
      <c r="L2483">
        <v>0</v>
      </c>
      <c r="M2483">
        <v>0</v>
      </c>
      <c r="N2483" t="s">
        <v>101</v>
      </c>
      <c r="O2483">
        <v>2016</v>
      </c>
      <c r="P2483" t="s">
        <v>18</v>
      </c>
    </row>
    <row r="2484" spans="1:16" x14ac:dyDescent="0.3">
      <c r="A2484">
        <v>429</v>
      </c>
      <c r="B2484" t="s">
        <v>1921</v>
      </c>
      <c r="C2484" t="s">
        <v>2461</v>
      </c>
      <c r="D2484" t="str">
        <f>VLOOKUP(YouTube_University_Data_Final[[#This Row],[Title]],[1]!YouTube_University_Data_Final[[Title]:[Title_language]],2,FALSE)</f>
        <v>English</v>
      </c>
      <c r="E2484" t="s">
        <v>5227</v>
      </c>
      <c r="F2484">
        <v>27</v>
      </c>
      <c r="G2484" s="1">
        <v>42698</v>
      </c>
      <c r="H2484">
        <v>223</v>
      </c>
      <c r="I2484" t="s">
        <v>5228</v>
      </c>
      <c r="J2484">
        <v>35998</v>
      </c>
      <c r="K2484">
        <v>143</v>
      </c>
      <c r="L2484">
        <v>0</v>
      </c>
      <c r="M2484">
        <v>0</v>
      </c>
      <c r="N2484" t="s">
        <v>101</v>
      </c>
      <c r="O2484">
        <v>2016</v>
      </c>
      <c r="P2484" t="s">
        <v>18</v>
      </c>
    </row>
    <row r="2485" spans="1:16" x14ac:dyDescent="0.3">
      <c r="A2485">
        <v>430</v>
      </c>
      <c r="B2485" t="s">
        <v>1921</v>
      </c>
      <c r="C2485" t="s">
        <v>5229</v>
      </c>
      <c r="D2485" t="str">
        <f>VLOOKUP(YouTube_University_Data_Final[[#This Row],[Title]],[1]!YouTube_University_Data_Final[[Title]:[Title_language]],2,FALSE)</f>
        <v>Bilingual</v>
      </c>
      <c r="E2485" t="s">
        <v>5230</v>
      </c>
      <c r="F2485">
        <v>27</v>
      </c>
      <c r="G2485" s="1">
        <v>42698</v>
      </c>
      <c r="H2485">
        <v>264</v>
      </c>
      <c r="I2485" t="s">
        <v>2944</v>
      </c>
      <c r="J2485">
        <v>2878</v>
      </c>
      <c r="K2485">
        <v>11</v>
      </c>
      <c r="L2485">
        <v>0</v>
      </c>
      <c r="M2485">
        <v>0</v>
      </c>
      <c r="N2485" t="s">
        <v>101</v>
      </c>
      <c r="O2485">
        <v>2016</v>
      </c>
      <c r="P2485" t="s">
        <v>18</v>
      </c>
    </row>
    <row r="2486" spans="1:16" x14ac:dyDescent="0.3">
      <c r="A2486">
        <v>431</v>
      </c>
      <c r="B2486" t="s">
        <v>1921</v>
      </c>
      <c r="C2486" t="s">
        <v>5231</v>
      </c>
      <c r="D2486" t="str">
        <f>VLOOKUP(YouTube_University_Data_Final[[#This Row],[Title]],[1]!YouTube_University_Data_Final[[Title]:[Title_language]],2,FALSE)</f>
        <v>Bilingual</v>
      </c>
      <c r="E2486" t="s">
        <v>5011</v>
      </c>
      <c r="F2486">
        <v>27</v>
      </c>
      <c r="G2486" s="1">
        <v>42698</v>
      </c>
      <c r="H2486">
        <v>103</v>
      </c>
      <c r="I2486" t="s">
        <v>2944</v>
      </c>
      <c r="J2486">
        <v>2060</v>
      </c>
      <c r="K2486">
        <v>12</v>
      </c>
      <c r="L2486">
        <v>0</v>
      </c>
      <c r="M2486">
        <v>0</v>
      </c>
      <c r="N2486" t="s">
        <v>101</v>
      </c>
      <c r="O2486">
        <v>2016</v>
      </c>
      <c r="P2486" t="s">
        <v>18</v>
      </c>
    </row>
    <row r="2487" spans="1:16" x14ac:dyDescent="0.3">
      <c r="A2487">
        <v>432</v>
      </c>
      <c r="B2487" t="s">
        <v>1921</v>
      </c>
      <c r="C2487" t="s">
        <v>5232</v>
      </c>
      <c r="D2487" t="str">
        <f>VLOOKUP(YouTube_University_Data_Final[[#This Row],[Title]],[1]!YouTube_University_Data_Final[[Title]:[Title_language]],2,FALSE)</f>
        <v>Bilingual</v>
      </c>
      <c r="E2487" t="s">
        <v>2944</v>
      </c>
      <c r="F2487">
        <v>27</v>
      </c>
      <c r="G2487" s="1">
        <v>42502</v>
      </c>
      <c r="H2487">
        <v>196</v>
      </c>
      <c r="I2487" t="s">
        <v>2944</v>
      </c>
      <c r="J2487">
        <v>516</v>
      </c>
      <c r="K2487">
        <v>0</v>
      </c>
      <c r="L2487">
        <v>0</v>
      </c>
      <c r="M2487">
        <v>0</v>
      </c>
      <c r="N2487" t="s">
        <v>81</v>
      </c>
      <c r="O2487">
        <v>2016</v>
      </c>
      <c r="P2487" t="s">
        <v>18</v>
      </c>
    </row>
    <row r="2488" spans="1:16" x14ac:dyDescent="0.3">
      <c r="A2488">
        <v>433</v>
      </c>
      <c r="B2488" t="s">
        <v>1921</v>
      </c>
      <c r="C2488" t="s">
        <v>5233</v>
      </c>
      <c r="D2488" t="str">
        <f>VLOOKUP(YouTube_University_Data_Final[[#This Row],[Title]],[1]!YouTube_University_Data_Final[[Title]:[Title_language]],2,FALSE)</f>
        <v>English</v>
      </c>
      <c r="E2488" t="s">
        <v>5234</v>
      </c>
      <c r="F2488">
        <v>27</v>
      </c>
      <c r="G2488" s="1">
        <v>42486</v>
      </c>
      <c r="H2488">
        <v>166</v>
      </c>
      <c r="I2488" t="s">
        <v>2944</v>
      </c>
      <c r="J2488">
        <v>1259</v>
      </c>
      <c r="K2488">
        <v>1</v>
      </c>
      <c r="L2488">
        <v>0</v>
      </c>
      <c r="M2488">
        <v>0</v>
      </c>
      <c r="N2488" t="s">
        <v>87</v>
      </c>
      <c r="O2488">
        <v>2016</v>
      </c>
      <c r="P2488" t="s">
        <v>18</v>
      </c>
    </row>
    <row r="2489" spans="1:16" x14ac:dyDescent="0.3">
      <c r="A2489">
        <v>434</v>
      </c>
      <c r="B2489" t="s">
        <v>1921</v>
      </c>
      <c r="C2489" t="s">
        <v>2462</v>
      </c>
      <c r="D2489" t="str">
        <f>VLOOKUP(YouTube_University_Data_Final[[#This Row],[Title]],[1]!YouTube_University_Data_Final[[Title]:[Title_language]],2,FALSE)</f>
        <v>English</v>
      </c>
      <c r="E2489" t="s">
        <v>2463</v>
      </c>
      <c r="F2489">
        <v>27</v>
      </c>
      <c r="G2489" s="1">
        <v>42450</v>
      </c>
      <c r="H2489">
        <v>195</v>
      </c>
      <c r="I2489" t="s">
        <v>5235</v>
      </c>
      <c r="J2489">
        <v>6877</v>
      </c>
      <c r="K2489">
        <v>48</v>
      </c>
      <c r="L2489">
        <v>0</v>
      </c>
      <c r="M2489">
        <v>0</v>
      </c>
      <c r="N2489" t="s">
        <v>90</v>
      </c>
      <c r="O2489">
        <v>2016</v>
      </c>
      <c r="P2489" t="s">
        <v>18</v>
      </c>
    </row>
    <row r="2490" spans="1:16" x14ac:dyDescent="0.3">
      <c r="A2490">
        <v>435</v>
      </c>
      <c r="B2490" t="s">
        <v>1921</v>
      </c>
      <c r="C2490" t="s">
        <v>2464</v>
      </c>
      <c r="D2490" t="str">
        <f>VLOOKUP(YouTube_University_Data_Final[[#This Row],[Title]],[1]!YouTube_University_Data_Final[[Title]:[Title_language]],2,FALSE)</f>
        <v>English</v>
      </c>
      <c r="E2490" t="s">
        <v>5236</v>
      </c>
      <c r="F2490">
        <v>27</v>
      </c>
      <c r="G2490" s="1">
        <v>42450</v>
      </c>
      <c r="H2490">
        <v>136</v>
      </c>
      <c r="I2490" t="s">
        <v>5237</v>
      </c>
      <c r="J2490">
        <v>1377</v>
      </c>
      <c r="K2490">
        <v>12</v>
      </c>
      <c r="L2490">
        <v>0</v>
      </c>
      <c r="M2490">
        <v>0</v>
      </c>
      <c r="N2490" t="s">
        <v>90</v>
      </c>
      <c r="O2490">
        <v>2016</v>
      </c>
      <c r="P2490" t="s">
        <v>18</v>
      </c>
    </row>
    <row r="2491" spans="1:16" x14ac:dyDescent="0.3">
      <c r="A2491">
        <v>436</v>
      </c>
      <c r="B2491" t="s">
        <v>1921</v>
      </c>
      <c r="C2491" t="s">
        <v>5238</v>
      </c>
      <c r="D2491" t="str">
        <f>VLOOKUP(YouTube_University_Data_Final[[#This Row],[Title]],[1]!YouTube_University_Data_Final[[Title]:[Title_language]],2,FALSE)</f>
        <v>English</v>
      </c>
      <c r="E2491" t="s">
        <v>2465</v>
      </c>
      <c r="F2491">
        <v>27</v>
      </c>
      <c r="G2491" s="1">
        <v>42450</v>
      </c>
      <c r="H2491">
        <v>140</v>
      </c>
      <c r="I2491" t="s">
        <v>5239</v>
      </c>
      <c r="J2491">
        <v>1183</v>
      </c>
      <c r="K2491">
        <v>5</v>
      </c>
      <c r="L2491">
        <v>0</v>
      </c>
      <c r="M2491">
        <v>0</v>
      </c>
      <c r="N2491" t="s">
        <v>90</v>
      </c>
      <c r="O2491">
        <v>2016</v>
      </c>
      <c r="P2491" t="s">
        <v>18</v>
      </c>
    </row>
    <row r="2492" spans="1:16" x14ac:dyDescent="0.3">
      <c r="A2492">
        <v>437</v>
      </c>
      <c r="B2492" t="s">
        <v>1921</v>
      </c>
      <c r="C2492" t="s">
        <v>2466</v>
      </c>
      <c r="D2492" t="str">
        <f>VLOOKUP(YouTube_University_Data_Final[[#This Row],[Title]],[1]!YouTube_University_Data_Final[[Title]:[Title_language]],2,FALSE)</f>
        <v>English</v>
      </c>
      <c r="E2492" t="s">
        <v>2467</v>
      </c>
      <c r="F2492">
        <v>27</v>
      </c>
      <c r="G2492" s="1">
        <v>42426</v>
      </c>
      <c r="H2492">
        <v>160</v>
      </c>
      <c r="I2492" t="s">
        <v>5240</v>
      </c>
      <c r="J2492">
        <v>11519</v>
      </c>
      <c r="K2492">
        <v>51</v>
      </c>
      <c r="L2492">
        <v>0</v>
      </c>
      <c r="M2492">
        <v>0</v>
      </c>
      <c r="N2492" t="s">
        <v>162</v>
      </c>
      <c r="O2492">
        <v>2016</v>
      </c>
      <c r="P2492" t="s">
        <v>18</v>
      </c>
    </row>
    <row r="2493" spans="1:16" x14ac:dyDescent="0.3">
      <c r="A2493">
        <v>438</v>
      </c>
      <c r="B2493" t="s">
        <v>1921</v>
      </c>
      <c r="C2493" t="s">
        <v>5241</v>
      </c>
      <c r="D2493" t="str">
        <f>VLOOKUP(YouTube_University_Data_Final[[#This Row],[Title]],[1]!YouTube_University_Data_Final[[Title]:[Title_language]],2,FALSE)</f>
        <v>Chinese</v>
      </c>
      <c r="E2493" t="s">
        <v>5242</v>
      </c>
      <c r="F2493">
        <v>27</v>
      </c>
      <c r="G2493" s="1">
        <v>42425</v>
      </c>
      <c r="H2493">
        <v>126</v>
      </c>
      <c r="I2493" t="s">
        <v>5243</v>
      </c>
      <c r="J2493">
        <v>1128</v>
      </c>
      <c r="K2493">
        <v>4</v>
      </c>
      <c r="L2493">
        <v>0</v>
      </c>
      <c r="M2493">
        <v>0</v>
      </c>
      <c r="N2493" t="s">
        <v>162</v>
      </c>
      <c r="O2493">
        <v>2016</v>
      </c>
      <c r="P2493" t="s">
        <v>18</v>
      </c>
    </row>
    <row r="2494" spans="1:16" x14ac:dyDescent="0.3">
      <c r="A2494">
        <v>439</v>
      </c>
      <c r="B2494" t="s">
        <v>1921</v>
      </c>
      <c r="C2494" t="s">
        <v>2468</v>
      </c>
      <c r="D2494" t="str">
        <f>VLOOKUP(YouTube_University_Data_Final[[#This Row],[Title]],[1]!YouTube_University_Data_Final[[Title]:[Title_language]],2,FALSE)</f>
        <v>English</v>
      </c>
      <c r="E2494" t="s">
        <v>2469</v>
      </c>
      <c r="F2494">
        <v>27</v>
      </c>
      <c r="G2494" s="1">
        <v>42424</v>
      </c>
      <c r="H2494">
        <v>139</v>
      </c>
      <c r="I2494" t="s">
        <v>5244</v>
      </c>
      <c r="J2494">
        <v>24933</v>
      </c>
      <c r="K2494">
        <v>266</v>
      </c>
      <c r="L2494">
        <v>0</v>
      </c>
      <c r="M2494">
        <v>0</v>
      </c>
      <c r="N2494" t="s">
        <v>162</v>
      </c>
      <c r="O2494">
        <v>2016</v>
      </c>
      <c r="P2494" t="s">
        <v>18</v>
      </c>
    </row>
    <row r="2495" spans="1:16" x14ac:dyDescent="0.3">
      <c r="A2495">
        <v>440</v>
      </c>
      <c r="B2495" t="s">
        <v>1921</v>
      </c>
      <c r="C2495" t="s">
        <v>2470</v>
      </c>
      <c r="D2495" t="str">
        <f>VLOOKUP(YouTube_University_Data_Final[[#This Row],[Title]],[1]!YouTube_University_Data_Final[[Title]:[Title_language]],2,FALSE)</f>
        <v>English</v>
      </c>
      <c r="E2495" t="s">
        <v>5245</v>
      </c>
      <c r="F2495">
        <v>27</v>
      </c>
      <c r="G2495" s="1">
        <v>42375</v>
      </c>
      <c r="H2495">
        <v>202</v>
      </c>
      <c r="I2495" t="s">
        <v>2471</v>
      </c>
      <c r="J2495">
        <v>1072</v>
      </c>
      <c r="K2495">
        <v>0</v>
      </c>
      <c r="L2495">
        <v>0</v>
      </c>
      <c r="M2495">
        <v>0</v>
      </c>
      <c r="N2495" t="s">
        <v>93</v>
      </c>
      <c r="O2495">
        <v>2016</v>
      </c>
      <c r="P2495" t="s">
        <v>18</v>
      </c>
    </row>
    <row r="2496" spans="1:16" x14ac:dyDescent="0.3">
      <c r="A2496">
        <v>441</v>
      </c>
      <c r="B2496" t="s">
        <v>1921</v>
      </c>
      <c r="C2496" t="s">
        <v>2472</v>
      </c>
      <c r="D2496" t="str">
        <f>VLOOKUP(YouTube_University_Data_Final[[#This Row],[Title]],[1]!YouTube_University_Data_Final[[Title]:[Title_language]],2,FALSE)</f>
        <v>English</v>
      </c>
      <c r="E2496" t="s">
        <v>2473</v>
      </c>
      <c r="F2496">
        <v>27</v>
      </c>
      <c r="G2496" s="1">
        <v>42362</v>
      </c>
      <c r="H2496">
        <v>193</v>
      </c>
      <c r="I2496" t="s">
        <v>5246</v>
      </c>
      <c r="J2496">
        <v>1421</v>
      </c>
      <c r="K2496">
        <v>4</v>
      </c>
      <c r="L2496">
        <v>0</v>
      </c>
      <c r="M2496">
        <v>0</v>
      </c>
      <c r="N2496" t="s">
        <v>98</v>
      </c>
      <c r="O2496">
        <v>2015</v>
      </c>
      <c r="P2496" t="s">
        <v>18</v>
      </c>
    </row>
    <row r="2497" spans="1:16" x14ac:dyDescent="0.3">
      <c r="A2497">
        <v>442</v>
      </c>
      <c r="B2497" t="s">
        <v>1921</v>
      </c>
      <c r="C2497" t="s">
        <v>2474</v>
      </c>
      <c r="D2497" t="str">
        <f>VLOOKUP(YouTube_University_Data_Final[[#This Row],[Title]],[1]!YouTube_University_Data_Final[[Title]:[Title_language]],2,FALSE)</f>
        <v>English</v>
      </c>
      <c r="E2497" t="s">
        <v>5247</v>
      </c>
      <c r="F2497">
        <v>27</v>
      </c>
      <c r="G2497" s="1">
        <v>42362</v>
      </c>
      <c r="H2497">
        <v>145</v>
      </c>
      <c r="I2497" t="s">
        <v>2475</v>
      </c>
      <c r="J2497">
        <v>510</v>
      </c>
      <c r="K2497">
        <v>0</v>
      </c>
      <c r="L2497">
        <v>0</v>
      </c>
      <c r="M2497">
        <v>0</v>
      </c>
      <c r="N2497" t="s">
        <v>98</v>
      </c>
      <c r="O2497">
        <v>2015</v>
      </c>
      <c r="P2497" t="s">
        <v>18</v>
      </c>
    </row>
    <row r="2498" spans="1:16" x14ac:dyDescent="0.3">
      <c r="A2498">
        <v>443</v>
      </c>
      <c r="B2498" t="s">
        <v>1921</v>
      </c>
      <c r="C2498" t="s">
        <v>2476</v>
      </c>
      <c r="D2498" t="str">
        <f>VLOOKUP(YouTube_University_Data_Final[[#This Row],[Title]],[1]!YouTube_University_Data_Final[[Title]:[Title_language]],2,FALSE)</f>
        <v>English</v>
      </c>
      <c r="E2498" t="s">
        <v>2477</v>
      </c>
      <c r="F2498">
        <v>27</v>
      </c>
      <c r="G2498" s="1">
        <v>42362</v>
      </c>
      <c r="H2498">
        <v>6</v>
      </c>
      <c r="I2498" t="s">
        <v>2478</v>
      </c>
      <c r="J2498">
        <v>963</v>
      </c>
      <c r="K2498">
        <v>5</v>
      </c>
      <c r="L2498">
        <v>0</v>
      </c>
      <c r="M2498">
        <v>0</v>
      </c>
      <c r="N2498" t="s">
        <v>98</v>
      </c>
      <c r="O2498">
        <v>2015</v>
      </c>
      <c r="P2498" t="s">
        <v>18</v>
      </c>
    </row>
    <row r="2499" spans="1:16" x14ac:dyDescent="0.3">
      <c r="A2499">
        <v>444</v>
      </c>
      <c r="B2499" t="s">
        <v>1921</v>
      </c>
      <c r="C2499" t="s">
        <v>2479</v>
      </c>
      <c r="D2499" t="str">
        <f>VLOOKUP(YouTube_University_Data_Final[[#This Row],[Title]],[1]!YouTube_University_Data_Final[[Title]:[Title_language]],2,FALSE)</f>
        <v>English</v>
      </c>
      <c r="E2499" t="s">
        <v>5248</v>
      </c>
      <c r="F2499">
        <v>27</v>
      </c>
      <c r="G2499" s="1">
        <v>42359</v>
      </c>
      <c r="H2499">
        <v>65</v>
      </c>
      <c r="I2499" t="s">
        <v>5249</v>
      </c>
      <c r="J2499">
        <v>196</v>
      </c>
      <c r="K2499">
        <v>0</v>
      </c>
      <c r="L2499">
        <v>0</v>
      </c>
      <c r="M2499">
        <v>0</v>
      </c>
      <c r="N2499" t="s">
        <v>98</v>
      </c>
      <c r="O2499">
        <v>2015</v>
      </c>
      <c r="P2499" t="s">
        <v>18</v>
      </c>
    </row>
    <row r="2500" spans="1:16" x14ac:dyDescent="0.3">
      <c r="A2500">
        <v>445</v>
      </c>
      <c r="B2500" t="s">
        <v>1921</v>
      </c>
      <c r="C2500" t="s">
        <v>2480</v>
      </c>
      <c r="D2500" t="str">
        <f>VLOOKUP(YouTube_University_Data_Final[[#This Row],[Title]],[1]!YouTube_University_Data_Final[[Title]:[Title_language]],2,FALSE)</f>
        <v>English</v>
      </c>
      <c r="E2500" t="s">
        <v>2481</v>
      </c>
      <c r="F2500">
        <v>27</v>
      </c>
      <c r="G2500" s="1">
        <v>42356</v>
      </c>
      <c r="H2500">
        <v>216</v>
      </c>
      <c r="I2500" t="s">
        <v>2482</v>
      </c>
      <c r="J2500">
        <v>2629</v>
      </c>
      <c r="K2500">
        <v>12</v>
      </c>
      <c r="L2500">
        <v>0</v>
      </c>
      <c r="M2500">
        <v>0</v>
      </c>
      <c r="N2500" t="s">
        <v>98</v>
      </c>
      <c r="O2500">
        <v>2015</v>
      </c>
      <c r="P2500" t="s">
        <v>18</v>
      </c>
    </row>
    <row r="2501" spans="1:16" x14ac:dyDescent="0.3">
      <c r="A2501">
        <v>446</v>
      </c>
      <c r="B2501" t="s">
        <v>1921</v>
      </c>
      <c r="C2501" t="s">
        <v>2483</v>
      </c>
      <c r="D2501" t="str">
        <f>VLOOKUP(YouTube_University_Data_Final[[#This Row],[Title]],[1]!YouTube_University_Data_Final[[Title]:[Title_language]],2,FALSE)</f>
        <v>English</v>
      </c>
      <c r="E2501" t="s">
        <v>2484</v>
      </c>
      <c r="F2501">
        <v>27</v>
      </c>
      <c r="G2501" s="1">
        <v>42353</v>
      </c>
      <c r="H2501">
        <v>142</v>
      </c>
      <c r="I2501" t="s">
        <v>2485</v>
      </c>
      <c r="J2501">
        <v>6083</v>
      </c>
      <c r="K2501">
        <v>30</v>
      </c>
      <c r="L2501">
        <v>0</v>
      </c>
      <c r="M2501">
        <v>0</v>
      </c>
      <c r="N2501" t="s">
        <v>98</v>
      </c>
      <c r="O2501">
        <v>2015</v>
      </c>
      <c r="P2501" t="s">
        <v>18</v>
      </c>
    </row>
    <row r="2502" spans="1:16" x14ac:dyDescent="0.3">
      <c r="A2502">
        <v>447</v>
      </c>
      <c r="B2502" t="s">
        <v>1921</v>
      </c>
      <c r="C2502" t="s">
        <v>5250</v>
      </c>
      <c r="D2502" t="str">
        <f>VLOOKUP(YouTube_University_Data_Final[[#This Row],[Title]],[1]!YouTube_University_Data_Final[[Title]:[Title_language]],2,FALSE)</f>
        <v>Bilingual</v>
      </c>
      <c r="E2502" t="s">
        <v>5251</v>
      </c>
      <c r="F2502">
        <v>27</v>
      </c>
      <c r="G2502" s="1">
        <v>42353</v>
      </c>
      <c r="H2502">
        <v>185</v>
      </c>
      <c r="I2502" t="s">
        <v>5252</v>
      </c>
      <c r="J2502">
        <v>2836</v>
      </c>
      <c r="K2502">
        <v>13</v>
      </c>
      <c r="L2502">
        <v>0</v>
      </c>
      <c r="M2502">
        <v>0</v>
      </c>
      <c r="N2502" t="s">
        <v>98</v>
      </c>
      <c r="O2502">
        <v>2015</v>
      </c>
      <c r="P2502" t="s">
        <v>18</v>
      </c>
    </row>
    <row r="2503" spans="1:16" x14ac:dyDescent="0.3">
      <c r="A2503">
        <v>448</v>
      </c>
      <c r="B2503" t="s">
        <v>1921</v>
      </c>
      <c r="C2503" t="s">
        <v>2486</v>
      </c>
      <c r="D2503" t="str">
        <f>VLOOKUP(YouTube_University_Data_Final[[#This Row],[Title]],[1]!YouTube_University_Data_Final[[Title]:[Title_language]],2,FALSE)</f>
        <v>English</v>
      </c>
      <c r="E2503" t="s">
        <v>2487</v>
      </c>
      <c r="F2503">
        <v>27</v>
      </c>
      <c r="G2503" s="1">
        <v>42349</v>
      </c>
      <c r="H2503">
        <v>110</v>
      </c>
      <c r="I2503" t="s">
        <v>2488</v>
      </c>
      <c r="J2503">
        <v>1415</v>
      </c>
      <c r="K2503">
        <v>9</v>
      </c>
      <c r="L2503">
        <v>0</v>
      </c>
      <c r="M2503">
        <v>0</v>
      </c>
      <c r="N2503" t="s">
        <v>98</v>
      </c>
      <c r="O2503">
        <v>2015</v>
      </c>
      <c r="P2503" t="s">
        <v>18</v>
      </c>
    </row>
    <row r="2504" spans="1:16" x14ac:dyDescent="0.3">
      <c r="A2504">
        <v>449</v>
      </c>
      <c r="B2504" t="s">
        <v>1921</v>
      </c>
      <c r="C2504" t="s">
        <v>2489</v>
      </c>
      <c r="D2504" t="str">
        <f>VLOOKUP(YouTube_University_Data_Final[[#This Row],[Title]],[1]!YouTube_University_Data_Final[[Title]:[Title_language]],2,FALSE)</f>
        <v>English</v>
      </c>
      <c r="E2504" t="s">
        <v>5253</v>
      </c>
      <c r="F2504">
        <v>27</v>
      </c>
      <c r="G2504" s="1">
        <v>42345</v>
      </c>
      <c r="H2504">
        <v>162</v>
      </c>
      <c r="I2504" t="s">
        <v>2490</v>
      </c>
      <c r="J2504">
        <v>9086</v>
      </c>
      <c r="K2504">
        <v>53</v>
      </c>
      <c r="L2504">
        <v>0</v>
      </c>
      <c r="M2504">
        <v>0</v>
      </c>
      <c r="N2504" t="s">
        <v>98</v>
      </c>
      <c r="O2504">
        <v>2015</v>
      </c>
      <c r="P2504" t="s">
        <v>18</v>
      </c>
    </row>
    <row r="2505" spans="1:16" x14ac:dyDescent="0.3">
      <c r="A2505">
        <v>450</v>
      </c>
      <c r="B2505" t="s">
        <v>1921</v>
      </c>
      <c r="C2505" t="s">
        <v>5254</v>
      </c>
      <c r="D2505" t="str">
        <f>VLOOKUP(YouTube_University_Data_Final[[#This Row],[Title]],[1]!YouTube_University_Data_Final[[Title]:[Title_language]],2,FALSE)</f>
        <v>English</v>
      </c>
      <c r="E2505" t="s">
        <v>5255</v>
      </c>
      <c r="F2505">
        <v>27</v>
      </c>
      <c r="G2505" s="1">
        <v>42339</v>
      </c>
      <c r="H2505">
        <v>204</v>
      </c>
      <c r="I2505" t="s">
        <v>2491</v>
      </c>
      <c r="J2505">
        <v>505</v>
      </c>
      <c r="K2505">
        <v>3</v>
      </c>
      <c r="L2505">
        <v>0</v>
      </c>
      <c r="M2505">
        <v>0</v>
      </c>
      <c r="N2505" t="s">
        <v>98</v>
      </c>
      <c r="O2505">
        <v>2015</v>
      </c>
      <c r="P2505" t="s">
        <v>18</v>
      </c>
    </row>
    <row r="2506" spans="1:16" x14ac:dyDescent="0.3">
      <c r="A2506">
        <v>451</v>
      </c>
      <c r="B2506" t="s">
        <v>1921</v>
      </c>
      <c r="C2506" t="s">
        <v>2492</v>
      </c>
      <c r="D2506" t="str">
        <f>VLOOKUP(YouTube_University_Data_Final[[#This Row],[Title]],[1]!YouTube_University_Data_Final[[Title]:[Title_language]],2,FALSE)</f>
        <v>English</v>
      </c>
      <c r="E2506" t="s">
        <v>2493</v>
      </c>
      <c r="F2506">
        <v>27</v>
      </c>
      <c r="G2506" s="1">
        <v>42335</v>
      </c>
      <c r="H2506">
        <v>216</v>
      </c>
      <c r="I2506" t="s">
        <v>2494</v>
      </c>
      <c r="J2506">
        <v>2150</v>
      </c>
      <c r="K2506">
        <v>8</v>
      </c>
      <c r="L2506">
        <v>0</v>
      </c>
      <c r="M2506">
        <v>0</v>
      </c>
      <c r="N2506" t="s">
        <v>101</v>
      </c>
      <c r="O2506">
        <v>2015</v>
      </c>
      <c r="P2506" t="s">
        <v>18</v>
      </c>
    </row>
    <row r="2507" spans="1:16" x14ac:dyDescent="0.3">
      <c r="A2507">
        <v>452</v>
      </c>
      <c r="B2507" t="s">
        <v>1921</v>
      </c>
      <c r="C2507" t="s">
        <v>2495</v>
      </c>
      <c r="D2507" t="str">
        <f>VLOOKUP(YouTube_University_Data_Final[[#This Row],[Title]],[1]!YouTube_University_Data_Final[[Title]:[Title_language]],2,FALSE)</f>
        <v>English</v>
      </c>
      <c r="E2507" t="s">
        <v>2496</v>
      </c>
      <c r="F2507">
        <v>27</v>
      </c>
      <c r="G2507" s="1">
        <v>42333</v>
      </c>
      <c r="H2507">
        <v>307</v>
      </c>
      <c r="I2507" t="s">
        <v>2497</v>
      </c>
      <c r="J2507">
        <v>985</v>
      </c>
      <c r="K2507">
        <v>3</v>
      </c>
      <c r="L2507">
        <v>0</v>
      </c>
      <c r="M2507">
        <v>0</v>
      </c>
      <c r="N2507" t="s">
        <v>101</v>
      </c>
      <c r="O2507">
        <v>2015</v>
      </c>
      <c r="P2507" t="s">
        <v>18</v>
      </c>
    </row>
    <row r="2508" spans="1:16" x14ac:dyDescent="0.3">
      <c r="A2508">
        <v>453</v>
      </c>
      <c r="B2508" t="s">
        <v>1921</v>
      </c>
      <c r="C2508" t="s">
        <v>5256</v>
      </c>
      <c r="D2508" t="str">
        <f>VLOOKUP(YouTube_University_Data_Final[[#This Row],[Title]],[1]!YouTube_University_Data_Final[[Title]:[Title_language]],2,FALSE)</f>
        <v>English</v>
      </c>
      <c r="E2508" t="s">
        <v>2498</v>
      </c>
      <c r="F2508">
        <v>27</v>
      </c>
      <c r="G2508" s="1">
        <v>42333</v>
      </c>
      <c r="H2508">
        <v>189</v>
      </c>
      <c r="I2508" t="s">
        <v>2499</v>
      </c>
      <c r="J2508">
        <v>683</v>
      </c>
      <c r="K2508">
        <v>8</v>
      </c>
      <c r="L2508">
        <v>0</v>
      </c>
      <c r="M2508">
        <v>0</v>
      </c>
      <c r="N2508" t="s">
        <v>101</v>
      </c>
      <c r="O2508">
        <v>2015</v>
      </c>
      <c r="P2508" t="s">
        <v>18</v>
      </c>
    </row>
    <row r="2509" spans="1:16" x14ac:dyDescent="0.3">
      <c r="A2509">
        <v>454</v>
      </c>
      <c r="B2509" t="s">
        <v>1921</v>
      </c>
      <c r="C2509" t="s">
        <v>5257</v>
      </c>
      <c r="D2509" t="str">
        <f>VLOOKUP(YouTube_University_Data_Final[[#This Row],[Title]],[1]!YouTube_University_Data_Final[[Title]:[Title_language]],2,FALSE)</f>
        <v>English</v>
      </c>
      <c r="E2509" t="s">
        <v>5258</v>
      </c>
      <c r="F2509">
        <v>27</v>
      </c>
      <c r="G2509" s="1">
        <v>42290</v>
      </c>
      <c r="H2509">
        <v>187</v>
      </c>
      <c r="I2509" t="s">
        <v>2500</v>
      </c>
      <c r="J2509">
        <v>2282</v>
      </c>
      <c r="K2509">
        <v>8</v>
      </c>
      <c r="L2509">
        <v>0</v>
      </c>
      <c r="M2509">
        <v>0</v>
      </c>
      <c r="N2509" t="s">
        <v>17</v>
      </c>
      <c r="O2509">
        <v>2015</v>
      </c>
      <c r="P2509" t="s">
        <v>18</v>
      </c>
    </row>
    <row r="2510" spans="1:16" x14ac:dyDescent="0.3">
      <c r="A2510">
        <v>455</v>
      </c>
      <c r="B2510" t="s">
        <v>1921</v>
      </c>
      <c r="C2510" t="s">
        <v>2501</v>
      </c>
      <c r="D2510" t="str">
        <f>VLOOKUP(YouTube_University_Data_Final[[#This Row],[Title]],[1]!YouTube_University_Data_Final[[Title]:[Title_language]],2,FALSE)</f>
        <v>English</v>
      </c>
      <c r="E2510" t="s">
        <v>5259</v>
      </c>
      <c r="F2510">
        <v>27</v>
      </c>
      <c r="G2510" s="1">
        <v>42289</v>
      </c>
      <c r="H2510">
        <v>169</v>
      </c>
      <c r="I2510" t="s">
        <v>2502</v>
      </c>
      <c r="J2510">
        <v>821</v>
      </c>
      <c r="K2510">
        <v>2</v>
      </c>
      <c r="L2510">
        <v>0</v>
      </c>
      <c r="M2510">
        <v>0</v>
      </c>
      <c r="N2510" t="s">
        <v>17</v>
      </c>
      <c r="O2510">
        <v>2015</v>
      </c>
      <c r="P2510" t="s">
        <v>18</v>
      </c>
    </row>
    <row r="2511" spans="1:16" x14ac:dyDescent="0.3">
      <c r="A2511">
        <v>456</v>
      </c>
      <c r="B2511" t="s">
        <v>1921</v>
      </c>
      <c r="C2511" t="s">
        <v>2503</v>
      </c>
      <c r="D2511" t="str">
        <f>VLOOKUP(YouTube_University_Data_Final[[#This Row],[Title]],[1]!YouTube_University_Data_Final[[Title]:[Title_language]],2,FALSE)</f>
        <v>English</v>
      </c>
      <c r="E2511" t="s">
        <v>2504</v>
      </c>
      <c r="F2511">
        <v>27</v>
      </c>
      <c r="G2511" s="1">
        <v>42289</v>
      </c>
      <c r="H2511">
        <v>290</v>
      </c>
      <c r="I2511" t="s">
        <v>2505</v>
      </c>
      <c r="J2511">
        <v>4261</v>
      </c>
      <c r="K2511">
        <v>18</v>
      </c>
      <c r="L2511">
        <v>0</v>
      </c>
      <c r="M2511">
        <v>0</v>
      </c>
      <c r="N2511" t="s">
        <v>17</v>
      </c>
      <c r="O2511">
        <v>2015</v>
      </c>
      <c r="P2511" t="s">
        <v>18</v>
      </c>
    </row>
    <row r="2512" spans="1:16" x14ac:dyDescent="0.3">
      <c r="A2512">
        <v>457</v>
      </c>
      <c r="B2512" t="s">
        <v>1921</v>
      </c>
      <c r="C2512" t="s">
        <v>5260</v>
      </c>
      <c r="D2512" t="str">
        <f>VLOOKUP(YouTube_University_Data_Final[[#This Row],[Title]],[1]!YouTube_University_Data_Final[[Title]:[Title_language]],2,FALSE)</f>
        <v>Bilingual</v>
      </c>
      <c r="E2512" t="s">
        <v>5261</v>
      </c>
      <c r="F2512">
        <v>27</v>
      </c>
      <c r="G2512" s="1">
        <v>42289</v>
      </c>
      <c r="H2512">
        <v>182</v>
      </c>
      <c r="I2512" t="s">
        <v>5262</v>
      </c>
      <c r="J2512">
        <v>340</v>
      </c>
      <c r="K2512">
        <v>0</v>
      </c>
      <c r="L2512">
        <v>0</v>
      </c>
      <c r="M2512">
        <v>0</v>
      </c>
      <c r="N2512" t="s">
        <v>17</v>
      </c>
      <c r="O2512">
        <v>2015</v>
      </c>
      <c r="P2512" t="s">
        <v>18</v>
      </c>
    </row>
    <row r="2513" spans="1:16" x14ac:dyDescent="0.3">
      <c r="A2513">
        <v>458</v>
      </c>
      <c r="B2513" t="s">
        <v>1921</v>
      </c>
      <c r="C2513" t="s">
        <v>5263</v>
      </c>
      <c r="D2513" t="str">
        <f>VLOOKUP(YouTube_University_Data_Final[[#This Row],[Title]],[1]!YouTube_University_Data_Final[[Title]:[Title_language]],2,FALSE)</f>
        <v>Bilingual</v>
      </c>
      <c r="E2513" t="s">
        <v>5264</v>
      </c>
      <c r="F2513">
        <v>27</v>
      </c>
      <c r="G2513" s="1">
        <v>42283</v>
      </c>
      <c r="H2513">
        <v>80</v>
      </c>
      <c r="I2513" t="s">
        <v>2506</v>
      </c>
      <c r="J2513">
        <v>851</v>
      </c>
      <c r="K2513">
        <v>3</v>
      </c>
      <c r="L2513">
        <v>0</v>
      </c>
      <c r="M2513">
        <v>0</v>
      </c>
      <c r="N2513" t="s">
        <v>17</v>
      </c>
      <c r="O2513">
        <v>2015</v>
      </c>
      <c r="P2513" t="s">
        <v>18</v>
      </c>
    </row>
    <row r="2514" spans="1:16" x14ac:dyDescent="0.3">
      <c r="A2514">
        <v>459</v>
      </c>
      <c r="B2514" t="s">
        <v>1921</v>
      </c>
      <c r="C2514" t="s">
        <v>2507</v>
      </c>
      <c r="D2514" t="str">
        <f>VLOOKUP(YouTube_University_Data_Final[[#This Row],[Title]],[1]!YouTube_University_Data_Final[[Title]:[Title_language]],2,FALSE)</f>
        <v>English</v>
      </c>
      <c r="E2514" t="s">
        <v>5265</v>
      </c>
      <c r="F2514">
        <v>27</v>
      </c>
      <c r="G2514" s="1">
        <v>42261</v>
      </c>
      <c r="H2514">
        <v>213</v>
      </c>
      <c r="I2514" t="s">
        <v>2508</v>
      </c>
      <c r="J2514">
        <v>1836</v>
      </c>
      <c r="K2514">
        <v>10</v>
      </c>
      <c r="L2514">
        <v>0</v>
      </c>
      <c r="M2514">
        <v>0</v>
      </c>
      <c r="N2514" t="s">
        <v>21</v>
      </c>
      <c r="O2514">
        <v>2015</v>
      </c>
      <c r="P2514" t="s">
        <v>18</v>
      </c>
    </row>
    <row r="2515" spans="1:16" x14ac:dyDescent="0.3">
      <c r="A2515">
        <v>460</v>
      </c>
      <c r="B2515" t="s">
        <v>1921</v>
      </c>
      <c r="C2515" t="s">
        <v>2509</v>
      </c>
      <c r="D2515" t="str">
        <f>VLOOKUP(YouTube_University_Data_Final[[#This Row],[Title]],[1]!YouTube_University_Data_Final[[Title]:[Title_language]],2,FALSE)</f>
        <v>English</v>
      </c>
      <c r="E2515" t="s">
        <v>2510</v>
      </c>
      <c r="F2515">
        <v>27</v>
      </c>
      <c r="G2515" s="1">
        <v>42237</v>
      </c>
      <c r="H2515">
        <v>268</v>
      </c>
      <c r="I2515" t="s">
        <v>2511</v>
      </c>
      <c r="J2515">
        <v>786</v>
      </c>
      <c r="K2515">
        <v>3</v>
      </c>
      <c r="L2515">
        <v>0</v>
      </c>
      <c r="M2515">
        <v>0</v>
      </c>
      <c r="N2515" t="s">
        <v>48</v>
      </c>
      <c r="O2515">
        <v>2015</v>
      </c>
      <c r="P2515" t="s">
        <v>18</v>
      </c>
    </row>
    <row r="2516" spans="1:16" x14ac:dyDescent="0.3">
      <c r="A2516">
        <v>461</v>
      </c>
      <c r="B2516" t="s">
        <v>1921</v>
      </c>
      <c r="C2516" t="s">
        <v>5266</v>
      </c>
      <c r="D2516" t="str">
        <f>VLOOKUP(YouTube_University_Data_Final[[#This Row],[Title]],[1]!YouTube_University_Data_Final[[Title]:[Title_language]],2,FALSE)</f>
        <v>Bilingual</v>
      </c>
      <c r="E2516" t="s">
        <v>5267</v>
      </c>
      <c r="F2516">
        <v>27</v>
      </c>
      <c r="G2516" s="1">
        <v>42235</v>
      </c>
      <c r="H2516">
        <v>168</v>
      </c>
      <c r="I2516" t="s">
        <v>2512</v>
      </c>
      <c r="J2516">
        <v>22613</v>
      </c>
      <c r="K2516">
        <v>117</v>
      </c>
      <c r="L2516">
        <v>0</v>
      </c>
      <c r="M2516">
        <v>0</v>
      </c>
      <c r="N2516" t="s">
        <v>48</v>
      </c>
      <c r="O2516">
        <v>2015</v>
      </c>
      <c r="P2516" t="s">
        <v>18</v>
      </c>
    </row>
    <row r="2517" spans="1:16" x14ac:dyDescent="0.3">
      <c r="A2517">
        <v>462</v>
      </c>
      <c r="B2517" t="s">
        <v>1921</v>
      </c>
      <c r="C2517" t="s">
        <v>2513</v>
      </c>
      <c r="D2517" t="str">
        <f>VLOOKUP(YouTube_University_Data_Final[[#This Row],[Title]],[1]!YouTube_University_Data_Final[[Title]:[Title_language]],2,FALSE)</f>
        <v>English</v>
      </c>
      <c r="E2517" t="s">
        <v>2514</v>
      </c>
      <c r="F2517">
        <v>27</v>
      </c>
      <c r="G2517" s="1">
        <v>42160</v>
      </c>
      <c r="H2517">
        <v>6</v>
      </c>
      <c r="I2517" t="s">
        <v>2515</v>
      </c>
      <c r="J2517">
        <v>15708</v>
      </c>
      <c r="K2517">
        <v>95</v>
      </c>
      <c r="L2517">
        <v>0</v>
      </c>
      <c r="M2517">
        <v>0</v>
      </c>
      <c r="N2517" t="s">
        <v>78</v>
      </c>
      <c r="O2517">
        <v>2015</v>
      </c>
      <c r="P2517" t="s">
        <v>18</v>
      </c>
    </row>
    <row r="2518" spans="1:16" x14ac:dyDescent="0.3">
      <c r="A2518">
        <v>463</v>
      </c>
      <c r="B2518" t="s">
        <v>1921</v>
      </c>
      <c r="C2518" t="s">
        <v>2516</v>
      </c>
      <c r="D2518" t="str">
        <f>VLOOKUP(YouTube_University_Data_Final[[#This Row],[Title]],[1]!YouTube_University_Data_Final[[Title]:[Title_language]],2,FALSE)</f>
        <v>English</v>
      </c>
      <c r="E2518" t="s">
        <v>2517</v>
      </c>
      <c r="F2518">
        <v>27</v>
      </c>
      <c r="G2518" s="1">
        <v>42158</v>
      </c>
      <c r="H2518">
        <v>158</v>
      </c>
      <c r="I2518" t="s">
        <v>2518</v>
      </c>
      <c r="J2518">
        <v>913</v>
      </c>
      <c r="K2518">
        <v>7</v>
      </c>
      <c r="L2518">
        <v>0</v>
      </c>
      <c r="M2518">
        <v>0</v>
      </c>
      <c r="N2518" t="s">
        <v>78</v>
      </c>
      <c r="O2518">
        <v>2015</v>
      </c>
      <c r="P2518" t="s">
        <v>18</v>
      </c>
    </row>
    <row r="2519" spans="1:16" x14ac:dyDescent="0.3">
      <c r="A2519">
        <v>464</v>
      </c>
      <c r="B2519" t="s">
        <v>1921</v>
      </c>
      <c r="C2519" t="s">
        <v>2519</v>
      </c>
      <c r="D2519" t="str">
        <f>VLOOKUP(YouTube_University_Data_Final[[#This Row],[Title]],[1]!YouTube_University_Data_Final[[Title]:[Title_language]],2,FALSE)</f>
        <v>English</v>
      </c>
      <c r="E2519" t="s">
        <v>2520</v>
      </c>
      <c r="F2519">
        <v>27</v>
      </c>
      <c r="G2519" s="1">
        <v>42158</v>
      </c>
      <c r="H2519">
        <v>181</v>
      </c>
      <c r="I2519" t="s">
        <v>2521</v>
      </c>
      <c r="J2519">
        <v>630</v>
      </c>
      <c r="K2519">
        <v>0</v>
      </c>
      <c r="L2519">
        <v>0</v>
      </c>
      <c r="M2519">
        <v>0</v>
      </c>
      <c r="N2519" t="s">
        <v>78</v>
      </c>
      <c r="O2519">
        <v>2015</v>
      </c>
      <c r="P2519" t="s">
        <v>18</v>
      </c>
    </row>
    <row r="2520" spans="1:16" x14ac:dyDescent="0.3">
      <c r="A2520">
        <v>465</v>
      </c>
      <c r="B2520" t="s">
        <v>1921</v>
      </c>
      <c r="C2520" t="s">
        <v>2522</v>
      </c>
      <c r="D2520" t="str">
        <f>VLOOKUP(YouTube_University_Data_Final[[#This Row],[Title]],[1]!YouTube_University_Data_Final[[Title]:[Title_language]],2,FALSE)</f>
        <v>English</v>
      </c>
      <c r="E2520" t="s">
        <v>2523</v>
      </c>
      <c r="F2520">
        <v>27</v>
      </c>
      <c r="G2520" s="1">
        <v>42158</v>
      </c>
      <c r="H2520">
        <v>164</v>
      </c>
      <c r="I2520" t="s">
        <v>2524</v>
      </c>
      <c r="J2520">
        <v>1034</v>
      </c>
      <c r="K2520">
        <v>0</v>
      </c>
      <c r="L2520">
        <v>0</v>
      </c>
      <c r="M2520">
        <v>0</v>
      </c>
      <c r="N2520" t="s">
        <v>78</v>
      </c>
      <c r="O2520">
        <v>2015</v>
      </c>
      <c r="P2520" t="s">
        <v>18</v>
      </c>
    </row>
    <row r="2521" spans="1:16" x14ac:dyDescent="0.3">
      <c r="A2521">
        <v>466</v>
      </c>
      <c r="B2521" t="s">
        <v>1921</v>
      </c>
      <c r="C2521" t="s">
        <v>2525</v>
      </c>
      <c r="D2521" t="str">
        <f>VLOOKUP(YouTube_University_Data_Final[[#This Row],[Title]],[1]!YouTube_University_Data_Final[[Title]:[Title_language]],2,FALSE)</f>
        <v>English</v>
      </c>
      <c r="E2521" t="s">
        <v>2526</v>
      </c>
      <c r="F2521">
        <v>27</v>
      </c>
      <c r="G2521" s="1">
        <v>42158</v>
      </c>
      <c r="H2521">
        <v>156</v>
      </c>
      <c r="I2521" t="s">
        <v>2527</v>
      </c>
      <c r="J2521">
        <v>705</v>
      </c>
      <c r="K2521">
        <v>1</v>
      </c>
      <c r="L2521">
        <v>0</v>
      </c>
      <c r="M2521">
        <v>0</v>
      </c>
      <c r="N2521" t="s">
        <v>78</v>
      </c>
      <c r="O2521">
        <v>2015</v>
      </c>
      <c r="P2521" t="s">
        <v>18</v>
      </c>
    </row>
    <row r="2522" spans="1:16" x14ac:dyDescent="0.3">
      <c r="A2522">
        <v>467</v>
      </c>
      <c r="B2522" t="s">
        <v>1921</v>
      </c>
      <c r="C2522" t="s">
        <v>2528</v>
      </c>
      <c r="D2522" t="str">
        <f>VLOOKUP(YouTube_University_Data_Final[[#This Row],[Title]],[1]!YouTube_University_Data_Final[[Title]:[Title_language]],2,FALSE)</f>
        <v>English</v>
      </c>
      <c r="E2522" t="s">
        <v>2529</v>
      </c>
      <c r="F2522">
        <v>27</v>
      </c>
      <c r="G2522" s="1">
        <v>42158</v>
      </c>
      <c r="H2522">
        <v>189</v>
      </c>
      <c r="I2522" t="s">
        <v>2530</v>
      </c>
      <c r="J2522">
        <v>1401</v>
      </c>
      <c r="K2522">
        <v>5</v>
      </c>
      <c r="L2522">
        <v>0</v>
      </c>
      <c r="M2522">
        <v>0</v>
      </c>
      <c r="N2522" t="s">
        <v>78</v>
      </c>
      <c r="O2522">
        <v>2015</v>
      </c>
      <c r="P2522" t="s">
        <v>18</v>
      </c>
    </row>
    <row r="2523" spans="1:16" x14ac:dyDescent="0.3">
      <c r="A2523">
        <v>468</v>
      </c>
      <c r="B2523" t="s">
        <v>1921</v>
      </c>
      <c r="C2523" t="s">
        <v>2531</v>
      </c>
      <c r="D2523" t="str">
        <f>VLOOKUP(YouTube_University_Data_Final[[#This Row],[Title]],[1]!YouTube_University_Data_Final[[Title]:[Title_language]],2,FALSE)</f>
        <v>English</v>
      </c>
      <c r="E2523" t="s">
        <v>2532</v>
      </c>
      <c r="F2523">
        <v>27</v>
      </c>
      <c r="G2523" s="1">
        <v>42158</v>
      </c>
      <c r="H2523">
        <v>162</v>
      </c>
      <c r="I2523" t="s">
        <v>2533</v>
      </c>
      <c r="J2523">
        <v>668</v>
      </c>
      <c r="K2523">
        <v>1</v>
      </c>
      <c r="L2523">
        <v>0</v>
      </c>
      <c r="M2523">
        <v>0</v>
      </c>
      <c r="N2523" t="s">
        <v>78</v>
      </c>
      <c r="O2523">
        <v>2015</v>
      </c>
      <c r="P2523" t="s">
        <v>18</v>
      </c>
    </row>
    <row r="2524" spans="1:16" x14ac:dyDescent="0.3">
      <c r="A2524">
        <v>469</v>
      </c>
      <c r="B2524" t="s">
        <v>1921</v>
      </c>
      <c r="C2524" t="s">
        <v>5268</v>
      </c>
      <c r="D2524" t="str">
        <f>VLOOKUP(YouTube_University_Data_Final[[#This Row],[Title]],[1]!YouTube_University_Data_Final[[Title]:[Title_language]],2,FALSE)</f>
        <v>Bilingual</v>
      </c>
      <c r="E2524" t="s">
        <v>5269</v>
      </c>
      <c r="F2524">
        <v>27</v>
      </c>
      <c r="G2524" s="1">
        <v>42094</v>
      </c>
      <c r="H2524">
        <v>170</v>
      </c>
      <c r="I2524" t="s">
        <v>5270</v>
      </c>
      <c r="J2524">
        <v>2569</v>
      </c>
      <c r="K2524">
        <v>16</v>
      </c>
      <c r="L2524">
        <v>0</v>
      </c>
      <c r="M2524">
        <v>0</v>
      </c>
      <c r="N2524" t="s">
        <v>90</v>
      </c>
      <c r="O2524">
        <v>2015</v>
      </c>
      <c r="P2524" t="s">
        <v>18</v>
      </c>
    </row>
    <row r="2525" spans="1:16" x14ac:dyDescent="0.3">
      <c r="A2525">
        <v>470</v>
      </c>
      <c r="B2525" t="s">
        <v>1921</v>
      </c>
      <c r="C2525" t="s">
        <v>5271</v>
      </c>
      <c r="D2525" t="str">
        <f>VLOOKUP(YouTube_University_Data_Final[[#This Row],[Title]],[1]!YouTube_University_Data_Final[[Title]:[Title_language]],2,FALSE)</f>
        <v>Bilingual</v>
      </c>
      <c r="E2525" t="s">
        <v>5272</v>
      </c>
      <c r="F2525">
        <v>27</v>
      </c>
      <c r="G2525" s="1">
        <v>42075</v>
      </c>
      <c r="H2525">
        <v>170</v>
      </c>
      <c r="I2525" t="s">
        <v>2534</v>
      </c>
      <c r="J2525">
        <v>3484</v>
      </c>
      <c r="K2525">
        <v>16</v>
      </c>
      <c r="L2525">
        <v>0</v>
      </c>
      <c r="M2525">
        <v>0</v>
      </c>
      <c r="N2525" t="s">
        <v>90</v>
      </c>
      <c r="O2525">
        <v>2015</v>
      </c>
      <c r="P2525" t="s">
        <v>18</v>
      </c>
    </row>
    <row r="2526" spans="1:16" x14ac:dyDescent="0.3">
      <c r="A2526">
        <v>471</v>
      </c>
      <c r="B2526" t="s">
        <v>1921</v>
      </c>
      <c r="C2526" t="s">
        <v>2535</v>
      </c>
      <c r="D2526" t="str">
        <f>VLOOKUP(YouTube_University_Data_Final[[#This Row],[Title]],[1]!YouTube_University_Data_Final[[Title]:[Title_language]],2,FALSE)</f>
        <v>English</v>
      </c>
      <c r="E2526" t="s">
        <v>5273</v>
      </c>
      <c r="F2526">
        <v>27</v>
      </c>
      <c r="G2526" s="1">
        <v>42032</v>
      </c>
      <c r="H2526">
        <v>267</v>
      </c>
      <c r="I2526" t="s">
        <v>2536</v>
      </c>
      <c r="J2526">
        <v>7130</v>
      </c>
      <c r="K2526">
        <v>20</v>
      </c>
      <c r="L2526">
        <v>0</v>
      </c>
      <c r="M2526">
        <v>0</v>
      </c>
      <c r="N2526" t="s">
        <v>93</v>
      </c>
      <c r="O2526">
        <v>2015</v>
      </c>
      <c r="P2526" t="s">
        <v>18</v>
      </c>
    </row>
    <row r="2527" spans="1:16" x14ac:dyDescent="0.3">
      <c r="A2527">
        <v>472</v>
      </c>
      <c r="B2527" t="s">
        <v>1921</v>
      </c>
      <c r="C2527" t="s">
        <v>2537</v>
      </c>
      <c r="D2527" t="str">
        <f>VLOOKUP(YouTube_University_Data_Final[[#This Row],[Title]],[1]!YouTube_University_Data_Final[[Title]:[Title_language]],2,FALSE)</f>
        <v>English</v>
      </c>
      <c r="E2527" t="s">
        <v>2538</v>
      </c>
      <c r="F2527">
        <v>27</v>
      </c>
      <c r="G2527" s="1">
        <v>42009</v>
      </c>
      <c r="H2527">
        <v>207</v>
      </c>
      <c r="I2527" t="s">
        <v>2539</v>
      </c>
      <c r="J2527">
        <v>1020</v>
      </c>
      <c r="K2527">
        <v>0</v>
      </c>
      <c r="L2527">
        <v>0</v>
      </c>
      <c r="M2527">
        <v>0</v>
      </c>
      <c r="N2527" t="s">
        <v>93</v>
      </c>
      <c r="O2527">
        <v>2015</v>
      </c>
      <c r="P2527" t="s">
        <v>18</v>
      </c>
    </row>
    <row r="2528" spans="1:16" x14ac:dyDescent="0.3">
      <c r="A2528">
        <v>473</v>
      </c>
      <c r="B2528" t="s">
        <v>1921</v>
      </c>
      <c r="C2528" t="s">
        <v>2540</v>
      </c>
      <c r="D2528" t="str">
        <f>VLOOKUP(YouTube_University_Data_Final[[#This Row],[Title]],[1]!YouTube_University_Data_Final[[Title]:[Title_language]],2,FALSE)</f>
        <v>English</v>
      </c>
      <c r="E2528" t="s">
        <v>5274</v>
      </c>
      <c r="F2528">
        <v>27</v>
      </c>
      <c r="G2528" s="1">
        <v>42009</v>
      </c>
      <c r="H2528">
        <v>266</v>
      </c>
      <c r="I2528" t="s">
        <v>2541</v>
      </c>
      <c r="J2528">
        <v>1034</v>
      </c>
      <c r="K2528">
        <v>2</v>
      </c>
      <c r="L2528">
        <v>0</v>
      </c>
      <c r="M2528">
        <v>0</v>
      </c>
      <c r="N2528" t="s">
        <v>93</v>
      </c>
      <c r="O2528">
        <v>2015</v>
      </c>
      <c r="P2528" t="s">
        <v>18</v>
      </c>
    </row>
    <row r="2529" spans="1:16" x14ac:dyDescent="0.3">
      <c r="A2529">
        <v>474</v>
      </c>
      <c r="B2529" t="s">
        <v>1921</v>
      </c>
      <c r="C2529" t="s">
        <v>2542</v>
      </c>
      <c r="D2529" t="str">
        <f>VLOOKUP(YouTube_University_Data_Final[[#This Row],[Title]],[1]!YouTube_University_Data_Final[[Title]:[Title_language]],2,FALSE)</f>
        <v>English</v>
      </c>
      <c r="E2529" t="s">
        <v>2543</v>
      </c>
      <c r="F2529">
        <v>27</v>
      </c>
      <c r="G2529" s="1">
        <v>42009</v>
      </c>
      <c r="H2529">
        <v>254</v>
      </c>
      <c r="I2529" t="s">
        <v>2544</v>
      </c>
      <c r="J2529">
        <v>1785</v>
      </c>
      <c r="K2529">
        <v>3</v>
      </c>
      <c r="L2529">
        <v>0</v>
      </c>
      <c r="M2529">
        <v>0</v>
      </c>
      <c r="N2529" t="s">
        <v>93</v>
      </c>
      <c r="O2529">
        <v>2015</v>
      </c>
      <c r="P2529" t="s">
        <v>18</v>
      </c>
    </row>
    <row r="2530" spans="1:16" x14ac:dyDescent="0.3">
      <c r="A2530">
        <v>475</v>
      </c>
      <c r="B2530" t="s">
        <v>1921</v>
      </c>
      <c r="C2530" t="s">
        <v>2545</v>
      </c>
      <c r="D2530" t="str">
        <f>VLOOKUP(YouTube_University_Data_Final[[#This Row],[Title]],[1]!YouTube_University_Data_Final[[Title]:[Title_language]],2,FALSE)</f>
        <v>English</v>
      </c>
      <c r="E2530" t="s">
        <v>2546</v>
      </c>
      <c r="F2530">
        <v>27</v>
      </c>
      <c r="G2530" s="1">
        <v>42009</v>
      </c>
      <c r="H2530">
        <v>234</v>
      </c>
      <c r="I2530" t="s">
        <v>2547</v>
      </c>
      <c r="J2530">
        <v>1910</v>
      </c>
      <c r="K2530">
        <v>4</v>
      </c>
      <c r="L2530">
        <v>0</v>
      </c>
      <c r="M2530">
        <v>0</v>
      </c>
      <c r="N2530" t="s">
        <v>93</v>
      </c>
      <c r="O2530">
        <v>2015</v>
      </c>
      <c r="P2530" t="s">
        <v>18</v>
      </c>
    </row>
    <row r="2531" spans="1:16" x14ac:dyDescent="0.3">
      <c r="A2531">
        <v>476</v>
      </c>
      <c r="B2531" t="s">
        <v>1921</v>
      </c>
      <c r="C2531" t="s">
        <v>2548</v>
      </c>
      <c r="D2531" t="str">
        <f>VLOOKUP(YouTube_University_Data_Final[[#This Row],[Title]],[1]!YouTube_University_Data_Final[[Title]:[Title_language]],2,FALSE)</f>
        <v>English</v>
      </c>
      <c r="E2531" t="s">
        <v>2549</v>
      </c>
      <c r="F2531">
        <v>27</v>
      </c>
      <c r="G2531" s="1">
        <v>41991</v>
      </c>
      <c r="H2531">
        <v>955</v>
      </c>
      <c r="I2531" t="s">
        <v>2550</v>
      </c>
      <c r="J2531">
        <v>391</v>
      </c>
      <c r="K2531">
        <v>1</v>
      </c>
      <c r="L2531">
        <v>0</v>
      </c>
      <c r="M2531">
        <v>0</v>
      </c>
      <c r="N2531" t="s">
        <v>98</v>
      </c>
      <c r="O2531">
        <v>2014</v>
      </c>
      <c r="P2531" t="s">
        <v>18</v>
      </c>
    </row>
    <row r="2532" spans="1:16" x14ac:dyDescent="0.3">
      <c r="A2532">
        <v>477</v>
      </c>
      <c r="B2532" t="s">
        <v>1921</v>
      </c>
      <c r="C2532" t="s">
        <v>2551</v>
      </c>
      <c r="D2532" t="str">
        <f>VLOOKUP(YouTube_University_Data_Final[[#This Row],[Title]],[1]!YouTube_University_Data_Final[[Title]:[Title_language]],2,FALSE)</f>
        <v>English</v>
      </c>
      <c r="E2532" t="s">
        <v>2552</v>
      </c>
      <c r="F2532">
        <v>27</v>
      </c>
      <c r="G2532" s="1">
        <v>41991</v>
      </c>
      <c r="H2532">
        <v>5710</v>
      </c>
      <c r="I2532" t="s">
        <v>2553</v>
      </c>
      <c r="J2532">
        <v>348</v>
      </c>
      <c r="K2532">
        <v>3</v>
      </c>
      <c r="L2532">
        <v>0</v>
      </c>
      <c r="M2532">
        <v>0</v>
      </c>
      <c r="N2532" t="s">
        <v>98</v>
      </c>
      <c r="O2532">
        <v>2014</v>
      </c>
      <c r="P2532" t="s">
        <v>18</v>
      </c>
    </row>
    <row r="2533" spans="1:16" x14ac:dyDescent="0.3">
      <c r="A2533">
        <v>478</v>
      </c>
      <c r="B2533" t="s">
        <v>1921</v>
      </c>
      <c r="C2533" t="s">
        <v>2554</v>
      </c>
      <c r="D2533" t="str">
        <f>VLOOKUP(YouTube_University_Data_Final[[#This Row],[Title]],[1]!YouTube_University_Data_Final[[Title]:[Title_language]],2,FALSE)</f>
        <v>English</v>
      </c>
      <c r="E2533" t="s">
        <v>2555</v>
      </c>
      <c r="F2533">
        <v>27</v>
      </c>
      <c r="G2533" s="1">
        <v>41991</v>
      </c>
      <c r="H2533">
        <v>257</v>
      </c>
      <c r="I2533" t="s">
        <v>2550</v>
      </c>
      <c r="J2533">
        <v>146</v>
      </c>
      <c r="K2533">
        <v>2</v>
      </c>
      <c r="L2533">
        <v>0</v>
      </c>
      <c r="M2533">
        <v>0</v>
      </c>
      <c r="N2533" t="s">
        <v>98</v>
      </c>
      <c r="O2533">
        <v>2014</v>
      </c>
      <c r="P2533" t="s">
        <v>18</v>
      </c>
    </row>
    <row r="2534" spans="1:16" x14ac:dyDescent="0.3">
      <c r="A2534">
        <v>479</v>
      </c>
      <c r="B2534" t="s">
        <v>1921</v>
      </c>
      <c r="C2534" t="s">
        <v>2556</v>
      </c>
      <c r="D2534" t="str">
        <f>VLOOKUP(YouTube_University_Data_Final[[#This Row],[Title]],[1]!YouTube_University_Data_Final[[Title]:[Title_language]],2,FALSE)</f>
        <v>English</v>
      </c>
      <c r="E2534" t="s">
        <v>2557</v>
      </c>
      <c r="F2534">
        <v>27</v>
      </c>
      <c r="G2534" s="1">
        <v>41991</v>
      </c>
      <c r="H2534">
        <v>5887</v>
      </c>
      <c r="I2534" t="s">
        <v>2550</v>
      </c>
      <c r="J2534">
        <v>85</v>
      </c>
      <c r="K2534">
        <v>0</v>
      </c>
      <c r="L2534">
        <v>0</v>
      </c>
      <c r="M2534">
        <v>0</v>
      </c>
      <c r="N2534" t="s">
        <v>98</v>
      </c>
      <c r="O2534">
        <v>2014</v>
      </c>
      <c r="P2534" t="s">
        <v>18</v>
      </c>
    </row>
    <row r="2535" spans="1:16" x14ac:dyDescent="0.3">
      <c r="A2535">
        <v>480</v>
      </c>
      <c r="B2535" t="s">
        <v>1921</v>
      </c>
      <c r="C2535" t="s">
        <v>2558</v>
      </c>
      <c r="D2535" t="str">
        <f>VLOOKUP(YouTube_University_Data_Final[[#This Row],[Title]],[1]!YouTube_University_Data_Final[[Title]:[Title_language]],2,FALSE)</f>
        <v>English</v>
      </c>
      <c r="E2535" t="s">
        <v>2559</v>
      </c>
      <c r="F2535">
        <v>27</v>
      </c>
      <c r="G2535" s="1">
        <v>41991</v>
      </c>
      <c r="H2535">
        <v>2413</v>
      </c>
      <c r="I2535" t="s">
        <v>2550</v>
      </c>
      <c r="J2535">
        <v>163</v>
      </c>
      <c r="K2535">
        <v>1</v>
      </c>
      <c r="L2535">
        <v>0</v>
      </c>
      <c r="M2535">
        <v>0</v>
      </c>
      <c r="N2535" t="s">
        <v>98</v>
      </c>
      <c r="O2535">
        <v>2014</v>
      </c>
      <c r="P2535" t="s">
        <v>18</v>
      </c>
    </row>
    <row r="2536" spans="1:16" x14ac:dyDescent="0.3">
      <c r="A2536">
        <v>481</v>
      </c>
      <c r="B2536" t="s">
        <v>1921</v>
      </c>
      <c r="C2536" t="s">
        <v>2560</v>
      </c>
      <c r="D2536" t="str">
        <f>VLOOKUP(YouTube_University_Data_Final[[#This Row],[Title]],[1]!YouTube_University_Data_Final[[Title]:[Title_language]],2,FALSE)</f>
        <v>English</v>
      </c>
      <c r="E2536" t="s">
        <v>5275</v>
      </c>
      <c r="F2536">
        <v>27</v>
      </c>
      <c r="G2536" s="1">
        <v>41989</v>
      </c>
      <c r="H2536">
        <v>55</v>
      </c>
      <c r="I2536" t="s">
        <v>2561</v>
      </c>
      <c r="J2536">
        <v>722</v>
      </c>
      <c r="K2536">
        <v>10</v>
      </c>
      <c r="L2536">
        <v>0</v>
      </c>
      <c r="M2536">
        <v>0</v>
      </c>
      <c r="N2536" t="s">
        <v>98</v>
      </c>
      <c r="O2536">
        <v>2014</v>
      </c>
      <c r="P2536" t="s">
        <v>18</v>
      </c>
    </row>
    <row r="2537" spans="1:16" x14ac:dyDescent="0.3">
      <c r="A2537">
        <v>482</v>
      </c>
      <c r="B2537" t="s">
        <v>1921</v>
      </c>
      <c r="C2537" t="s">
        <v>2562</v>
      </c>
      <c r="D2537" t="str">
        <f>VLOOKUP(YouTube_University_Data_Final[[#This Row],[Title]],[1]!YouTube_University_Data_Final[[Title]:[Title_language]],2,FALSE)</f>
        <v>English</v>
      </c>
      <c r="E2537" t="s">
        <v>2563</v>
      </c>
      <c r="F2537">
        <v>27</v>
      </c>
      <c r="G2537" s="1">
        <v>41974</v>
      </c>
      <c r="H2537">
        <v>132</v>
      </c>
      <c r="I2537" t="s">
        <v>2564</v>
      </c>
      <c r="J2537">
        <v>973</v>
      </c>
      <c r="K2537">
        <v>2</v>
      </c>
      <c r="L2537">
        <v>0</v>
      </c>
      <c r="M2537">
        <v>0</v>
      </c>
      <c r="N2537" t="s">
        <v>98</v>
      </c>
      <c r="O2537">
        <v>2014</v>
      </c>
      <c r="P2537" t="s">
        <v>18</v>
      </c>
    </row>
    <row r="2538" spans="1:16" x14ac:dyDescent="0.3">
      <c r="A2538">
        <v>483</v>
      </c>
      <c r="B2538" t="s">
        <v>1921</v>
      </c>
      <c r="C2538" t="s">
        <v>2565</v>
      </c>
      <c r="D2538" t="str">
        <f>VLOOKUP(YouTube_University_Data_Final[[#This Row],[Title]],[1]!YouTube_University_Data_Final[[Title]:[Title_language]],2,FALSE)</f>
        <v>English</v>
      </c>
      <c r="E2538" t="s">
        <v>5276</v>
      </c>
      <c r="F2538">
        <v>27</v>
      </c>
      <c r="G2538" s="1">
        <v>41947</v>
      </c>
      <c r="H2538">
        <v>256</v>
      </c>
      <c r="I2538" t="s">
        <v>5277</v>
      </c>
      <c r="J2538">
        <v>7287</v>
      </c>
      <c r="K2538">
        <v>8</v>
      </c>
      <c r="L2538">
        <v>0</v>
      </c>
      <c r="M2538">
        <v>0</v>
      </c>
      <c r="N2538" t="s">
        <v>101</v>
      </c>
      <c r="O2538">
        <v>2014</v>
      </c>
      <c r="P2538" t="s">
        <v>18</v>
      </c>
    </row>
    <row r="2539" spans="1:16" x14ac:dyDescent="0.3">
      <c r="A2539">
        <v>484</v>
      </c>
      <c r="B2539" t="s">
        <v>1921</v>
      </c>
      <c r="C2539" t="s">
        <v>2566</v>
      </c>
      <c r="D2539" t="str">
        <f>VLOOKUP(YouTube_University_Data_Final[[#This Row],[Title]],[1]!YouTube_University_Data_Final[[Title]:[Title_language]],2,FALSE)</f>
        <v>English</v>
      </c>
      <c r="E2539" t="s">
        <v>2567</v>
      </c>
      <c r="F2539">
        <v>27</v>
      </c>
      <c r="G2539" s="1">
        <v>41941</v>
      </c>
      <c r="H2539">
        <v>264</v>
      </c>
      <c r="I2539" t="s">
        <v>2568</v>
      </c>
      <c r="J2539">
        <v>1077</v>
      </c>
      <c r="K2539">
        <v>1</v>
      </c>
      <c r="L2539">
        <v>0</v>
      </c>
      <c r="M2539">
        <v>0</v>
      </c>
      <c r="N2539" t="s">
        <v>17</v>
      </c>
      <c r="O2539">
        <v>2014</v>
      </c>
      <c r="P2539" t="s">
        <v>18</v>
      </c>
    </row>
    <row r="2540" spans="1:16" x14ac:dyDescent="0.3">
      <c r="A2540">
        <v>485</v>
      </c>
      <c r="B2540" t="s">
        <v>1921</v>
      </c>
      <c r="C2540" t="s">
        <v>2569</v>
      </c>
      <c r="D2540" t="str">
        <f>VLOOKUP(YouTube_University_Data_Final[[#This Row],[Title]],[1]!YouTube_University_Data_Final[[Title]:[Title_language]],2,FALSE)</f>
        <v>English</v>
      </c>
      <c r="E2540" t="s">
        <v>2570</v>
      </c>
      <c r="F2540">
        <v>27</v>
      </c>
      <c r="G2540" s="1">
        <v>41941</v>
      </c>
      <c r="H2540">
        <v>304</v>
      </c>
      <c r="I2540" t="s">
        <v>2571</v>
      </c>
      <c r="J2540">
        <v>2387</v>
      </c>
      <c r="K2540">
        <v>7</v>
      </c>
      <c r="L2540">
        <v>0</v>
      </c>
      <c r="M2540">
        <v>0</v>
      </c>
      <c r="N2540" t="s">
        <v>17</v>
      </c>
      <c r="O2540">
        <v>2014</v>
      </c>
      <c r="P2540" t="s">
        <v>18</v>
      </c>
    </row>
    <row r="2541" spans="1:16" x14ac:dyDescent="0.3">
      <c r="A2541">
        <v>486</v>
      </c>
      <c r="B2541" t="s">
        <v>1921</v>
      </c>
      <c r="C2541" t="s">
        <v>2572</v>
      </c>
      <c r="D2541" t="str">
        <f>VLOOKUP(YouTube_University_Data_Final[[#This Row],[Title]],[1]!YouTube_University_Data_Final[[Title]:[Title_language]],2,FALSE)</f>
        <v>English</v>
      </c>
      <c r="E2541" t="s">
        <v>2573</v>
      </c>
      <c r="F2541">
        <v>27</v>
      </c>
      <c r="G2541" s="1">
        <v>41941</v>
      </c>
      <c r="H2541">
        <v>214</v>
      </c>
      <c r="I2541" t="s">
        <v>2568</v>
      </c>
      <c r="J2541">
        <v>5380</v>
      </c>
      <c r="K2541">
        <v>1</v>
      </c>
      <c r="L2541">
        <v>0</v>
      </c>
      <c r="M2541">
        <v>0</v>
      </c>
      <c r="N2541" t="s">
        <v>17</v>
      </c>
      <c r="O2541">
        <v>2014</v>
      </c>
      <c r="P2541" t="s">
        <v>18</v>
      </c>
    </row>
    <row r="2542" spans="1:16" x14ac:dyDescent="0.3">
      <c r="A2542">
        <v>487</v>
      </c>
      <c r="B2542" t="s">
        <v>1921</v>
      </c>
      <c r="C2542" t="s">
        <v>2574</v>
      </c>
      <c r="D2542" t="str">
        <f>VLOOKUP(YouTube_University_Data_Final[[#This Row],[Title]],[1]!YouTube_University_Data_Final[[Title]:[Title_language]],2,FALSE)</f>
        <v>English</v>
      </c>
      <c r="E2542" t="s">
        <v>2575</v>
      </c>
      <c r="F2542">
        <v>27</v>
      </c>
      <c r="G2542" s="1">
        <v>41941</v>
      </c>
      <c r="H2542">
        <v>215</v>
      </c>
      <c r="I2542" t="s">
        <v>2568</v>
      </c>
      <c r="J2542">
        <v>1996</v>
      </c>
      <c r="K2542">
        <v>3</v>
      </c>
      <c r="L2542">
        <v>0</v>
      </c>
      <c r="M2542">
        <v>0</v>
      </c>
      <c r="N2542" t="s">
        <v>17</v>
      </c>
      <c r="O2542">
        <v>2014</v>
      </c>
      <c r="P2542" t="s">
        <v>18</v>
      </c>
    </row>
    <row r="2543" spans="1:16" x14ac:dyDescent="0.3">
      <c r="A2543">
        <v>488</v>
      </c>
      <c r="B2543" t="s">
        <v>1921</v>
      </c>
      <c r="C2543" t="s">
        <v>2540</v>
      </c>
      <c r="D2543" t="str">
        <f>VLOOKUP(YouTube_University_Data_Final[[#This Row],[Title]],[1]!YouTube_University_Data_Final[[Title]:[Title_language]],2,FALSE)</f>
        <v>English</v>
      </c>
      <c r="E2543" t="s">
        <v>2576</v>
      </c>
      <c r="F2543">
        <v>27</v>
      </c>
      <c r="G2543" s="1">
        <v>41941</v>
      </c>
      <c r="H2543">
        <v>27</v>
      </c>
      <c r="I2543" t="s">
        <v>2577</v>
      </c>
      <c r="J2543">
        <v>995</v>
      </c>
      <c r="K2543">
        <v>0</v>
      </c>
      <c r="L2543">
        <v>0</v>
      </c>
      <c r="M2543">
        <v>0</v>
      </c>
      <c r="N2543" t="s">
        <v>17</v>
      </c>
      <c r="O2543">
        <v>2014</v>
      </c>
      <c r="P2543" t="s">
        <v>18</v>
      </c>
    </row>
    <row r="2544" spans="1:16" x14ac:dyDescent="0.3">
      <c r="A2544">
        <v>489</v>
      </c>
      <c r="B2544" t="s">
        <v>1921</v>
      </c>
      <c r="C2544" t="s">
        <v>2578</v>
      </c>
      <c r="D2544" t="str">
        <f>VLOOKUP(YouTube_University_Data_Final[[#This Row],[Title]],[1]!YouTube_University_Data_Final[[Title]:[Title_language]],2,FALSE)</f>
        <v>English</v>
      </c>
      <c r="E2544" t="s">
        <v>5278</v>
      </c>
      <c r="F2544">
        <v>27</v>
      </c>
      <c r="G2544" s="1">
        <v>41929</v>
      </c>
      <c r="H2544">
        <v>1010</v>
      </c>
      <c r="I2544" t="s">
        <v>2579</v>
      </c>
      <c r="J2544">
        <v>1955</v>
      </c>
      <c r="K2544">
        <v>1</v>
      </c>
      <c r="L2544">
        <v>0</v>
      </c>
      <c r="M2544">
        <v>0</v>
      </c>
      <c r="N2544" t="s">
        <v>17</v>
      </c>
      <c r="O2544">
        <v>2014</v>
      </c>
      <c r="P2544" t="s">
        <v>18</v>
      </c>
    </row>
    <row r="2545" spans="1:16" x14ac:dyDescent="0.3">
      <c r="A2545">
        <v>490</v>
      </c>
      <c r="B2545" t="s">
        <v>1921</v>
      </c>
      <c r="C2545" t="s">
        <v>2580</v>
      </c>
      <c r="D2545" t="str">
        <f>VLOOKUP(YouTube_University_Data_Final[[#This Row],[Title]],[1]!YouTube_University_Data_Final[[Title]:[Title_language]],2,FALSE)</f>
        <v>English</v>
      </c>
      <c r="E2545" t="s">
        <v>2581</v>
      </c>
      <c r="F2545">
        <v>27</v>
      </c>
      <c r="G2545" s="1">
        <v>41927</v>
      </c>
      <c r="H2545">
        <v>187</v>
      </c>
      <c r="I2545" t="s">
        <v>2582</v>
      </c>
      <c r="J2545">
        <v>2268</v>
      </c>
      <c r="K2545">
        <v>4</v>
      </c>
      <c r="L2545">
        <v>0</v>
      </c>
      <c r="M2545">
        <v>0</v>
      </c>
      <c r="N2545" t="s">
        <v>17</v>
      </c>
      <c r="O2545">
        <v>2014</v>
      </c>
      <c r="P2545" t="s">
        <v>18</v>
      </c>
    </row>
    <row r="2546" spans="1:16" x14ac:dyDescent="0.3">
      <c r="A2546">
        <v>491</v>
      </c>
      <c r="B2546" t="s">
        <v>1921</v>
      </c>
      <c r="C2546" t="s">
        <v>5279</v>
      </c>
      <c r="D2546" t="str">
        <f>VLOOKUP(YouTube_University_Data_Final[[#This Row],[Title]],[1]!YouTube_University_Data_Final[[Title]:[Title_language]],2,FALSE)</f>
        <v>Chinese</v>
      </c>
      <c r="E2546" t="s">
        <v>5280</v>
      </c>
      <c r="F2546">
        <v>27</v>
      </c>
      <c r="G2546" s="1">
        <v>41922</v>
      </c>
      <c r="H2546">
        <v>284</v>
      </c>
      <c r="I2546" t="s">
        <v>5281</v>
      </c>
      <c r="J2546">
        <v>25163</v>
      </c>
      <c r="K2546">
        <v>67</v>
      </c>
      <c r="L2546">
        <v>0</v>
      </c>
      <c r="M2546">
        <v>0</v>
      </c>
      <c r="N2546" t="s">
        <v>17</v>
      </c>
      <c r="O2546">
        <v>2014</v>
      </c>
      <c r="P2546" t="s">
        <v>18</v>
      </c>
    </row>
    <row r="2547" spans="1:16" x14ac:dyDescent="0.3">
      <c r="A2547">
        <v>492</v>
      </c>
      <c r="B2547" t="s">
        <v>1921</v>
      </c>
      <c r="C2547" t="s">
        <v>2583</v>
      </c>
      <c r="D2547" t="str">
        <f>VLOOKUP(YouTube_University_Data_Final[[#This Row],[Title]],[1]!YouTube_University_Data_Final[[Title]:[Title_language]],2,FALSE)</f>
        <v>English</v>
      </c>
      <c r="E2547" t="s">
        <v>5282</v>
      </c>
      <c r="F2547">
        <v>27</v>
      </c>
      <c r="G2547" s="1">
        <v>41885</v>
      </c>
      <c r="H2547">
        <v>322</v>
      </c>
      <c r="I2547" t="s">
        <v>2584</v>
      </c>
      <c r="J2547">
        <v>3872</v>
      </c>
      <c r="K2547">
        <v>14</v>
      </c>
      <c r="L2547">
        <v>0</v>
      </c>
      <c r="M2547">
        <v>0</v>
      </c>
      <c r="N2547" t="s">
        <v>21</v>
      </c>
      <c r="O2547">
        <v>2014</v>
      </c>
      <c r="P2547" t="s">
        <v>18</v>
      </c>
    </row>
    <row r="2548" spans="1:16" x14ac:dyDescent="0.3">
      <c r="A2548">
        <v>493</v>
      </c>
      <c r="B2548" t="s">
        <v>1921</v>
      </c>
      <c r="C2548" t="s">
        <v>2585</v>
      </c>
      <c r="D2548" t="str">
        <f>VLOOKUP(YouTube_University_Data_Final[[#This Row],[Title]],[1]!YouTube_University_Data_Final[[Title]:[Title_language]],2,FALSE)</f>
        <v>English</v>
      </c>
      <c r="E2548" t="s">
        <v>5283</v>
      </c>
      <c r="F2548">
        <v>27</v>
      </c>
      <c r="G2548" s="1">
        <v>41873</v>
      </c>
      <c r="H2548">
        <v>288</v>
      </c>
      <c r="I2548" t="s">
        <v>5284</v>
      </c>
      <c r="J2548">
        <v>1644</v>
      </c>
      <c r="K2548">
        <v>4</v>
      </c>
      <c r="L2548">
        <v>0</v>
      </c>
      <c r="M2548">
        <v>0</v>
      </c>
      <c r="N2548" t="s">
        <v>48</v>
      </c>
      <c r="O2548">
        <v>2014</v>
      </c>
      <c r="P2548" t="s">
        <v>18</v>
      </c>
    </row>
    <row r="2549" spans="1:16" x14ac:dyDescent="0.3">
      <c r="A2549">
        <v>494</v>
      </c>
      <c r="B2549" t="s">
        <v>1921</v>
      </c>
      <c r="C2549" t="s">
        <v>2586</v>
      </c>
      <c r="D2549" t="str">
        <f>VLOOKUP(YouTube_University_Data_Final[[#This Row],[Title]],[1]!YouTube_University_Data_Final[[Title]:[Title_language]],2,FALSE)</f>
        <v>English</v>
      </c>
      <c r="E2549" t="s">
        <v>2587</v>
      </c>
      <c r="F2549">
        <v>27</v>
      </c>
      <c r="G2549" s="1">
        <v>41845</v>
      </c>
      <c r="H2549">
        <v>91</v>
      </c>
      <c r="I2549" t="s">
        <v>2588</v>
      </c>
      <c r="J2549">
        <v>4666</v>
      </c>
      <c r="K2549">
        <v>11</v>
      </c>
      <c r="L2549">
        <v>0</v>
      </c>
      <c r="M2549">
        <v>0</v>
      </c>
      <c r="N2549" t="s">
        <v>56</v>
      </c>
      <c r="O2549">
        <v>2014</v>
      </c>
      <c r="P2549" t="s">
        <v>18</v>
      </c>
    </row>
    <row r="2550" spans="1:16" x14ac:dyDescent="0.3">
      <c r="A2550">
        <v>495</v>
      </c>
      <c r="B2550" t="s">
        <v>1921</v>
      </c>
      <c r="C2550" t="s">
        <v>2589</v>
      </c>
      <c r="D2550" t="str">
        <f>VLOOKUP(YouTube_University_Data_Final[[#This Row],[Title]],[1]!YouTube_University_Data_Final[[Title]:[Title_language]],2,FALSE)</f>
        <v>English</v>
      </c>
      <c r="E2550" t="s">
        <v>2590</v>
      </c>
      <c r="F2550">
        <v>27</v>
      </c>
      <c r="G2550" s="1">
        <v>41831</v>
      </c>
      <c r="H2550">
        <v>233</v>
      </c>
      <c r="I2550" t="s">
        <v>2591</v>
      </c>
      <c r="J2550">
        <v>4663</v>
      </c>
      <c r="K2550">
        <v>9</v>
      </c>
      <c r="L2550">
        <v>0</v>
      </c>
      <c r="M2550">
        <v>0</v>
      </c>
      <c r="N2550" t="s">
        <v>56</v>
      </c>
      <c r="O2550">
        <v>2014</v>
      </c>
      <c r="P2550" t="s">
        <v>18</v>
      </c>
    </row>
    <row r="2551" spans="1:16" x14ac:dyDescent="0.3">
      <c r="A2551">
        <v>496</v>
      </c>
      <c r="B2551" t="s">
        <v>1921</v>
      </c>
      <c r="C2551" t="s">
        <v>2592</v>
      </c>
      <c r="D2551" t="str">
        <f>VLOOKUP(YouTube_University_Data_Final[[#This Row],[Title]],[1]!YouTube_University_Data_Final[[Title]:[Title_language]],2,FALSE)</f>
        <v>English</v>
      </c>
      <c r="E2551" t="s">
        <v>2593</v>
      </c>
      <c r="F2551">
        <v>27</v>
      </c>
      <c r="G2551" s="1">
        <v>41768</v>
      </c>
      <c r="H2551">
        <v>20</v>
      </c>
      <c r="I2551" t="s">
        <v>2594</v>
      </c>
      <c r="J2551">
        <v>8411</v>
      </c>
      <c r="K2551">
        <v>3</v>
      </c>
      <c r="L2551">
        <v>0</v>
      </c>
      <c r="M2551">
        <v>0</v>
      </c>
      <c r="N2551" t="s">
        <v>81</v>
      </c>
      <c r="O2551">
        <v>2014</v>
      </c>
      <c r="P2551" t="s">
        <v>18</v>
      </c>
    </row>
    <row r="2552" spans="1:16" x14ac:dyDescent="0.3">
      <c r="A2552">
        <v>497</v>
      </c>
      <c r="B2552" t="s">
        <v>1921</v>
      </c>
      <c r="C2552" t="s">
        <v>5285</v>
      </c>
      <c r="D2552" t="str">
        <f>VLOOKUP(YouTube_University_Data_Final[[#This Row],[Title]],[1]!YouTube_University_Data_Final[[Title]:[Title_language]],2,FALSE)</f>
        <v>Bilingual</v>
      </c>
      <c r="E2552" t="s">
        <v>5286</v>
      </c>
      <c r="F2552">
        <v>27</v>
      </c>
      <c r="G2552" s="1">
        <v>41758</v>
      </c>
      <c r="H2552">
        <v>5229</v>
      </c>
      <c r="I2552" t="s">
        <v>5287</v>
      </c>
      <c r="J2552">
        <v>1127</v>
      </c>
      <c r="K2552">
        <v>3</v>
      </c>
      <c r="L2552">
        <v>0</v>
      </c>
      <c r="M2552">
        <v>0</v>
      </c>
      <c r="N2552" t="s">
        <v>87</v>
      </c>
      <c r="O2552">
        <v>2014</v>
      </c>
      <c r="P2552" t="s">
        <v>18</v>
      </c>
    </row>
    <row r="2553" spans="1:16" x14ac:dyDescent="0.3">
      <c r="A2553">
        <v>498</v>
      </c>
      <c r="B2553" t="s">
        <v>1921</v>
      </c>
      <c r="C2553" t="s">
        <v>2595</v>
      </c>
      <c r="D2553" t="str">
        <f>VLOOKUP(YouTube_University_Data_Final[[#This Row],[Title]],[1]!YouTube_University_Data_Final[[Title]:[Title_language]],2,FALSE)</f>
        <v>English</v>
      </c>
      <c r="E2553" t="s">
        <v>2596</v>
      </c>
      <c r="F2553">
        <v>27</v>
      </c>
      <c r="G2553" s="1">
        <v>41715</v>
      </c>
      <c r="H2553">
        <v>26</v>
      </c>
      <c r="I2553" t="s">
        <v>2597</v>
      </c>
      <c r="J2553">
        <v>13115</v>
      </c>
      <c r="K2553">
        <v>7</v>
      </c>
      <c r="L2553">
        <v>0</v>
      </c>
      <c r="M2553">
        <v>0</v>
      </c>
      <c r="N2553" t="s">
        <v>90</v>
      </c>
      <c r="O2553">
        <v>2014</v>
      </c>
      <c r="P2553" t="s">
        <v>18</v>
      </c>
    </row>
    <row r="2554" spans="1:16" x14ac:dyDescent="0.3">
      <c r="A2554">
        <v>499</v>
      </c>
      <c r="B2554" t="s">
        <v>1921</v>
      </c>
      <c r="C2554" t="s">
        <v>2598</v>
      </c>
      <c r="D2554" t="str">
        <f>VLOOKUP(YouTube_University_Data_Final[[#This Row],[Title]],[1]!YouTube_University_Data_Final[[Title]:[Title_language]],2,FALSE)</f>
        <v>English</v>
      </c>
      <c r="E2554" t="s">
        <v>2599</v>
      </c>
      <c r="F2554">
        <v>27</v>
      </c>
      <c r="G2554" s="1">
        <v>41683</v>
      </c>
      <c r="H2554">
        <v>335</v>
      </c>
      <c r="I2554" t="s">
        <v>2600</v>
      </c>
      <c r="J2554">
        <v>1117</v>
      </c>
      <c r="K2554">
        <v>0</v>
      </c>
      <c r="L2554">
        <v>0</v>
      </c>
      <c r="M2554">
        <v>0</v>
      </c>
      <c r="N2554" t="s">
        <v>162</v>
      </c>
      <c r="O2554">
        <v>2014</v>
      </c>
      <c r="P2554" t="s">
        <v>18</v>
      </c>
    </row>
    <row r="2555" spans="1:16" x14ac:dyDescent="0.3">
      <c r="A2555">
        <v>500</v>
      </c>
      <c r="B2555" t="s">
        <v>1921</v>
      </c>
      <c r="C2555" t="s">
        <v>2601</v>
      </c>
      <c r="D2555" t="str">
        <f>VLOOKUP(YouTube_University_Data_Final[[#This Row],[Title]],[1]!YouTube_University_Data_Final[[Title]:[Title_language]],2,FALSE)</f>
        <v>English</v>
      </c>
      <c r="E2555" t="s">
        <v>2602</v>
      </c>
      <c r="F2555">
        <v>27</v>
      </c>
      <c r="G2555" s="1">
        <v>41663</v>
      </c>
      <c r="H2555">
        <v>44</v>
      </c>
      <c r="I2555" t="s">
        <v>5288</v>
      </c>
      <c r="J2555">
        <v>2247</v>
      </c>
      <c r="K2555">
        <v>31</v>
      </c>
      <c r="L2555">
        <v>0</v>
      </c>
      <c r="M2555">
        <v>0</v>
      </c>
      <c r="N2555" t="s">
        <v>93</v>
      </c>
      <c r="O2555">
        <v>2014</v>
      </c>
      <c r="P2555" t="s">
        <v>18</v>
      </c>
    </row>
    <row r="2556" spans="1:16" x14ac:dyDescent="0.3">
      <c r="A2556">
        <v>501</v>
      </c>
      <c r="B2556" t="s">
        <v>1921</v>
      </c>
      <c r="C2556" t="s">
        <v>2603</v>
      </c>
      <c r="D2556" t="str">
        <f>VLOOKUP(YouTube_University_Data_Final[[#This Row],[Title]],[1]!YouTube_University_Data_Final[[Title]:[Title_language]],2,FALSE)</f>
        <v>English</v>
      </c>
      <c r="E2556" t="s">
        <v>2604</v>
      </c>
      <c r="F2556">
        <v>27</v>
      </c>
      <c r="G2556" s="1">
        <v>41660</v>
      </c>
      <c r="H2556">
        <v>210</v>
      </c>
      <c r="I2556" t="s">
        <v>2605</v>
      </c>
      <c r="J2556">
        <v>13511</v>
      </c>
      <c r="K2556">
        <v>10</v>
      </c>
      <c r="L2556">
        <v>0</v>
      </c>
      <c r="M2556">
        <v>0</v>
      </c>
      <c r="N2556" t="s">
        <v>93</v>
      </c>
      <c r="O2556">
        <v>2014</v>
      </c>
      <c r="P2556" t="s">
        <v>18</v>
      </c>
    </row>
    <row r="2557" spans="1:16" x14ac:dyDescent="0.3">
      <c r="A2557">
        <v>502</v>
      </c>
      <c r="B2557" t="s">
        <v>1921</v>
      </c>
      <c r="C2557" t="s">
        <v>2606</v>
      </c>
      <c r="D2557" t="str">
        <f>VLOOKUP(YouTube_University_Data_Final[[#This Row],[Title]],[1]!YouTube_University_Data_Final[[Title]:[Title_language]],2,FALSE)</f>
        <v>English</v>
      </c>
      <c r="E2557" t="s">
        <v>2607</v>
      </c>
      <c r="F2557">
        <v>27</v>
      </c>
      <c r="G2557" s="1">
        <v>41624</v>
      </c>
      <c r="H2557">
        <v>226</v>
      </c>
      <c r="I2557" t="s">
        <v>2608</v>
      </c>
      <c r="J2557">
        <v>3428</v>
      </c>
      <c r="K2557">
        <v>9</v>
      </c>
      <c r="L2557">
        <v>0</v>
      </c>
      <c r="M2557">
        <v>0</v>
      </c>
      <c r="N2557" t="s">
        <v>98</v>
      </c>
      <c r="O2557">
        <v>2013</v>
      </c>
      <c r="P2557" t="s">
        <v>18</v>
      </c>
    </row>
    <row r="2558" spans="1:16" x14ac:dyDescent="0.3">
      <c r="A2558">
        <v>503</v>
      </c>
      <c r="B2558" t="s">
        <v>1921</v>
      </c>
      <c r="C2558" t="s">
        <v>2609</v>
      </c>
      <c r="D2558" t="str">
        <f>VLOOKUP(YouTube_University_Data_Final[[#This Row],[Title]],[1]!YouTube_University_Data_Final[[Title]:[Title_language]],2,FALSE)</f>
        <v>English</v>
      </c>
      <c r="E2558" t="s">
        <v>2610</v>
      </c>
      <c r="F2558">
        <v>27</v>
      </c>
      <c r="G2558" s="1">
        <v>41607</v>
      </c>
      <c r="H2558">
        <v>110</v>
      </c>
      <c r="I2558" t="s">
        <v>2611</v>
      </c>
      <c r="J2558">
        <v>2874</v>
      </c>
      <c r="K2558">
        <v>8</v>
      </c>
      <c r="L2558">
        <v>0</v>
      </c>
      <c r="M2558">
        <v>0</v>
      </c>
      <c r="N2558" t="s">
        <v>101</v>
      </c>
      <c r="O2558">
        <v>2013</v>
      </c>
      <c r="P2558" t="s">
        <v>18</v>
      </c>
    </row>
    <row r="2559" spans="1:16" x14ac:dyDescent="0.3">
      <c r="A2559">
        <v>504</v>
      </c>
      <c r="B2559" t="s">
        <v>1921</v>
      </c>
      <c r="C2559" t="s">
        <v>2612</v>
      </c>
      <c r="D2559" t="str">
        <f>VLOOKUP(YouTube_University_Data_Final[[#This Row],[Title]],[1]!YouTube_University_Data_Final[[Title]:[Title_language]],2,FALSE)</f>
        <v>English</v>
      </c>
      <c r="E2559" t="s">
        <v>2613</v>
      </c>
      <c r="F2559">
        <v>27</v>
      </c>
      <c r="G2559" s="1">
        <v>41599</v>
      </c>
      <c r="H2559">
        <v>544</v>
      </c>
      <c r="I2559" t="s">
        <v>2614</v>
      </c>
      <c r="J2559">
        <v>4977</v>
      </c>
      <c r="K2559">
        <v>16</v>
      </c>
      <c r="L2559">
        <v>0</v>
      </c>
      <c r="M2559">
        <v>0</v>
      </c>
      <c r="N2559" t="s">
        <v>101</v>
      </c>
      <c r="O2559">
        <v>2013</v>
      </c>
      <c r="P2559" t="s">
        <v>18</v>
      </c>
    </row>
    <row r="2560" spans="1:16" x14ac:dyDescent="0.3">
      <c r="A2560">
        <v>505</v>
      </c>
      <c r="B2560" t="s">
        <v>1921</v>
      </c>
      <c r="C2560" t="s">
        <v>5289</v>
      </c>
      <c r="D2560" t="str">
        <f>VLOOKUP(YouTube_University_Data_Final[[#This Row],[Title]],[1]!YouTube_University_Data_Final[[Title]:[Title_language]],2,FALSE)</f>
        <v>Chinese</v>
      </c>
      <c r="E2560" t="s">
        <v>5290</v>
      </c>
      <c r="F2560">
        <v>27</v>
      </c>
      <c r="G2560" s="1">
        <v>41584</v>
      </c>
      <c r="H2560">
        <v>544</v>
      </c>
      <c r="I2560" t="s">
        <v>5291</v>
      </c>
      <c r="J2560">
        <v>8113</v>
      </c>
      <c r="K2560">
        <v>37</v>
      </c>
      <c r="L2560">
        <v>0</v>
      </c>
      <c r="M2560">
        <v>0</v>
      </c>
      <c r="N2560" t="s">
        <v>101</v>
      </c>
      <c r="O2560">
        <v>2013</v>
      </c>
      <c r="P2560" t="s">
        <v>18</v>
      </c>
    </row>
    <row r="2561" spans="1:16" x14ac:dyDescent="0.3">
      <c r="A2561">
        <v>506</v>
      </c>
      <c r="B2561" t="s">
        <v>1921</v>
      </c>
      <c r="C2561" t="s">
        <v>2615</v>
      </c>
      <c r="D2561" t="str">
        <f>VLOOKUP(YouTube_University_Data_Final[[#This Row],[Title]],[1]!YouTube_University_Data_Final[[Title]:[Title_language]],2,FALSE)</f>
        <v>English</v>
      </c>
      <c r="E2561" t="s">
        <v>2616</v>
      </c>
      <c r="F2561">
        <v>27</v>
      </c>
      <c r="G2561" s="1">
        <v>41572</v>
      </c>
      <c r="H2561">
        <v>180</v>
      </c>
      <c r="I2561" t="s">
        <v>2617</v>
      </c>
      <c r="J2561">
        <v>1511</v>
      </c>
      <c r="K2561">
        <v>3</v>
      </c>
      <c r="L2561">
        <v>0</v>
      </c>
      <c r="M2561">
        <v>0</v>
      </c>
      <c r="N2561" t="s">
        <v>17</v>
      </c>
      <c r="O2561">
        <v>2013</v>
      </c>
      <c r="P2561" t="s">
        <v>18</v>
      </c>
    </row>
    <row r="2562" spans="1:16" x14ac:dyDescent="0.3">
      <c r="A2562">
        <v>507</v>
      </c>
      <c r="B2562" t="s">
        <v>1921</v>
      </c>
      <c r="C2562" t="s">
        <v>2618</v>
      </c>
      <c r="D2562" t="str">
        <f>VLOOKUP(YouTube_University_Data_Final[[#This Row],[Title]],[1]!YouTube_University_Data_Final[[Title]:[Title_language]],2,FALSE)</f>
        <v>English</v>
      </c>
      <c r="E2562" t="s">
        <v>2619</v>
      </c>
      <c r="F2562">
        <v>27</v>
      </c>
      <c r="G2562" s="1">
        <v>41563</v>
      </c>
      <c r="H2562">
        <v>250</v>
      </c>
      <c r="I2562" t="s">
        <v>2620</v>
      </c>
      <c r="J2562">
        <v>1102</v>
      </c>
      <c r="K2562">
        <v>1</v>
      </c>
      <c r="L2562">
        <v>0</v>
      </c>
      <c r="M2562">
        <v>0</v>
      </c>
      <c r="N2562" t="s">
        <v>17</v>
      </c>
      <c r="O2562">
        <v>2013</v>
      </c>
      <c r="P2562" t="s">
        <v>18</v>
      </c>
    </row>
    <row r="2563" spans="1:16" x14ac:dyDescent="0.3">
      <c r="A2563">
        <v>508</v>
      </c>
      <c r="B2563" t="s">
        <v>1921</v>
      </c>
      <c r="C2563" t="s">
        <v>2621</v>
      </c>
      <c r="D2563" t="str">
        <f>VLOOKUP(YouTube_University_Data_Final[[#This Row],[Title]],[1]!YouTube_University_Data_Final[[Title]:[Title_language]],2,FALSE)</f>
        <v>English</v>
      </c>
      <c r="E2563" t="s">
        <v>2622</v>
      </c>
      <c r="F2563">
        <v>27</v>
      </c>
      <c r="G2563" s="1">
        <v>41562</v>
      </c>
      <c r="H2563">
        <v>222</v>
      </c>
      <c r="I2563" t="s">
        <v>2623</v>
      </c>
      <c r="J2563">
        <v>1383</v>
      </c>
      <c r="K2563">
        <v>3</v>
      </c>
      <c r="L2563">
        <v>0</v>
      </c>
      <c r="M2563">
        <v>0</v>
      </c>
      <c r="N2563" t="s">
        <v>17</v>
      </c>
      <c r="O2563">
        <v>2013</v>
      </c>
      <c r="P2563" t="s">
        <v>18</v>
      </c>
    </row>
    <row r="2564" spans="1:16" x14ac:dyDescent="0.3">
      <c r="A2564">
        <v>509</v>
      </c>
      <c r="B2564" t="s">
        <v>1921</v>
      </c>
      <c r="C2564" t="s">
        <v>2624</v>
      </c>
      <c r="D2564" t="str">
        <f>VLOOKUP(YouTube_University_Data_Final[[#This Row],[Title]],[1]!YouTube_University_Data_Final[[Title]:[Title_language]],2,FALSE)</f>
        <v>English</v>
      </c>
      <c r="E2564" t="s">
        <v>2625</v>
      </c>
      <c r="F2564">
        <v>27</v>
      </c>
      <c r="G2564" s="1">
        <v>41533</v>
      </c>
      <c r="H2564">
        <v>210</v>
      </c>
      <c r="I2564" t="s">
        <v>2626</v>
      </c>
      <c r="J2564">
        <v>1874</v>
      </c>
      <c r="K2564">
        <v>3</v>
      </c>
      <c r="L2564">
        <v>0</v>
      </c>
      <c r="M2564">
        <v>0</v>
      </c>
      <c r="N2564" t="s">
        <v>21</v>
      </c>
      <c r="O2564">
        <v>2013</v>
      </c>
      <c r="P2564" t="s">
        <v>18</v>
      </c>
    </row>
    <row r="2565" spans="1:16" x14ac:dyDescent="0.3">
      <c r="A2565">
        <v>510</v>
      </c>
      <c r="B2565" t="s">
        <v>1921</v>
      </c>
      <c r="C2565" t="s">
        <v>2627</v>
      </c>
      <c r="D2565" t="str">
        <f>VLOOKUP(YouTube_University_Data_Final[[#This Row],[Title]],[1]!YouTube_University_Data_Final[[Title]:[Title_language]],2,FALSE)</f>
        <v>English</v>
      </c>
      <c r="E2565" t="s">
        <v>5292</v>
      </c>
      <c r="F2565">
        <v>27</v>
      </c>
      <c r="G2565" s="1">
        <v>41529</v>
      </c>
      <c r="H2565">
        <v>99</v>
      </c>
      <c r="I2565" t="s">
        <v>2628</v>
      </c>
      <c r="J2565">
        <v>1555</v>
      </c>
      <c r="K2565">
        <v>4</v>
      </c>
      <c r="L2565">
        <v>0</v>
      </c>
      <c r="M2565">
        <v>0</v>
      </c>
      <c r="N2565" t="s">
        <v>21</v>
      </c>
      <c r="O2565">
        <v>2013</v>
      </c>
      <c r="P2565" t="s">
        <v>18</v>
      </c>
    </row>
    <row r="2566" spans="1:16" x14ac:dyDescent="0.3">
      <c r="A2566">
        <v>511</v>
      </c>
      <c r="B2566" t="s">
        <v>1921</v>
      </c>
      <c r="C2566" t="s">
        <v>2629</v>
      </c>
      <c r="D2566" t="str">
        <f>VLOOKUP(YouTube_University_Data_Final[[#This Row],[Title]],[1]!YouTube_University_Data_Final[[Title]:[Title_language]],2,FALSE)</f>
        <v>English</v>
      </c>
      <c r="E2566" t="s">
        <v>2630</v>
      </c>
      <c r="F2566">
        <v>27</v>
      </c>
      <c r="G2566" s="1">
        <v>41529</v>
      </c>
      <c r="H2566">
        <v>652</v>
      </c>
      <c r="I2566" t="s">
        <v>2944</v>
      </c>
      <c r="J2566">
        <v>492</v>
      </c>
      <c r="K2566">
        <v>1</v>
      </c>
      <c r="L2566">
        <v>0</v>
      </c>
      <c r="M2566">
        <v>0</v>
      </c>
      <c r="N2566" t="s">
        <v>21</v>
      </c>
      <c r="O2566">
        <v>2013</v>
      </c>
      <c r="P2566" t="s">
        <v>18</v>
      </c>
    </row>
    <row r="2567" spans="1:16" x14ac:dyDescent="0.3">
      <c r="A2567">
        <v>512</v>
      </c>
      <c r="B2567" t="s">
        <v>1921</v>
      </c>
      <c r="C2567" t="s">
        <v>2631</v>
      </c>
      <c r="D2567" t="str">
        <f>VLOOKUP(YouTube_University_Data_Final[[#This Row],[Title]],[1]!YouTube_University_Data_Final[[Title]:[Title_language]],2,FALSE)</f>
        <v>English</v>
      </c>
      <c r="E2567" t="s">
        <v>2632</v>
      </c>
      <c r="F2567">
        <v>27</v>
      </c>
      <c r="G2567" s="1">
        <v>41529</v>
      </c>
      <c r="H2567">
        <v>2690</v>
      </c>
      <c r="I2567" t="s">
        <v>2944</v>
      </c>
      <c r="J2567">
        <v>675</v>
      </c>
      <c r="K2567">
        <v>0</v>
      </c>
      <c r="L2567">
        <v>0</v>
      </c>
      <c r="M2567">
        <v>0</v>
      </c>
      <c r="N2567" t="s">
        <v>21</v>
      </c>
      <c r="O2567">
        <v>2013</v>
      </c>
      <c r="P2567" t="s">
        <v>18</v>
      </c>
    </row>
    <row r="2568" spans="1:16" x14ac:dyDescent="0.3">
      <c r="A2568">
        <v>513</v>
      </c>
      <c r="B2568" t="s">
        <v>1921</v>
      </c>
      <c r="C2568" t="s">
        <v>2633</v>
      </c>
      <c r="D2568" t="str">
        <f>VLOOKUP(YouTube_University_Data_Final[[#This Row],[Title]],[1]!YouTube_University_Data_Final[[Title]:[Title_language]],2,FALSE)</f>
        <v>English</v>
      </c>
      <c r="E2568" t="s">
        <v>5293</v>
      </c>
      <c r="F2568">
        <v>27</v>
      </c>
      <c r="G2568" s="1">
        <v>41498</v>
      </c>
      <c r="H2568">
        <v>466</v>
      </c>
      <c r="I2568" t="s">
        <v>2634</v>
      </c>
      <c r="J2568">
        <v>169</v>
      </c>
      <c r="K2568">
        <v>0</v>
      </c>
      <c r="L2568">
        <v>0</v>
      </c>
      <c r="M2568">
        <v>0</v>
      </c>
      <c r="N2568" t="s">
        <v>48</v>
      </c>
      <c r="O2568">
        <v>2013</v>
      </c>
      <c r="P2568" t="s">
        <v>18</v>
      </c>
    </row>
    <row r="2569" spans="1:16" x14ac:dyDescent="0.3">
      <c r="A2569">
        <v>514</v>
      </c>
      <c r="B2569" t="s">
        <v>1921</v>
      </c>
      <c r="C2569" t="s">
        <v>2635</v>
      </c>
      <c r="D2569" t="str">
        <f>VLOOKUP(YouTube_University_Data_Final[[#This Row],[Title]],[1]!YouTube_University_Data_Final[[Title]:[Title_language]],2,FALSE)</f>
        <v>English</v>
      </c>
      <c r="E2569" t="s">
        <v>5294</v>
      </c>
      <c r="F2569">
        <v>27</v>
      </c>
      <c r="G2569" s="1">
        <v>41498</v>
      </c>
      <c r="H2569">
        <v>492</v>
      </c>
      <c r="I2569" t="s">
        <v>2636</v>
      </c>
      <c r="J2569">
        <v>457</v>
      </c>
      <c r="K2569">
        <v>0</v>
      </c>
      <c r="L2569">
        <v>0</v>
      </c>
      <c r="M2569">
        <v>0</v>
      </c>
      <c r="N2569" t="s">
        <v>48</v>
      </c>
      <c r="O2569">
        <v>2013</v>
      </c>
      <c r="P2569" t="s">
        <v>18</v>
      </c>
    </row>
    <row r="2570" spans="1:16" x14ac:dyDescent="0.3">
      <c r="A2570">
        <v>515</v>
      </c>
      <c r="B2570" t="s">
        <v>1921</v>
      </c>
      <c r="C2570" t="s">
        <v>2637</v>
      </c>
      <c r="D2570" t="str">
        <f>VLOOKUP(YouTube_University_Data_Final[[#This Row],[Title]],[1]!YouTube_University_Data_Final[[Title]:[Title_language]],2,FALSE)</f>
        <v>English</v>
      </c>
      <c r="E2570" t="s">
        <v>5295</v>
      </c>
      <c r="F2570">
        <v>27</v>
      </c>
      <c r="G2570" s="1">
        <v>41498</v>
      </c>
      <c r="H2570">
        <v>462</v>
      </c>
      <c r="I2570" t="s">
        <v>2638</v>
      </c>
      <c r="J2570">
        <v>204</v>
      </c>
      <c r="K2570">
        <v>0</v>
      </c>
      <c r="L2570">
        <v>0</v>
      </c>
      <c r="M2570">
        <v>0</v>
      </c>
      <c r="N2570" t="s">
        <v>48</v>
      </c>
      <c r="O2570">
        <v>2013</v>
      </c>
      <c r="P2570" t="s">
        <v>18</v>
      </c>
    </row>
    <row r="2571" spans="1:16" x14ac:dyDescent="0.3">
      <c r="A2571">
        <v>516</v>
      </c>
      <c r="B2571" t="s">
        <v>1921</v>
      </c>
      <c r="C2571" t="s">
        <v>2639</v>
      </c>
      <c r="D2571" t="str">
        <f>VLOOKUP(YouTube_University_Data_Final[[#This Row],[Title]],[1]!YouTube_University_Data_Final[[Title]:[Title_language]],2,FALSE)</f>
        <v>English</v>
      </c>
      <c r="E2571" t="s">
        <v>5296</v>
      </c>
      <c r="F2571">
        <v>27</v>
      </c>
      <c r="G2571" s="1">
        <v>41498</v>
      </c>
      <c r="H2571">
        <v>354</v>
      </c>
      <c r="I2571" t="s">
        <v>2640</v>
      </c>
      <c r="J2571">
        <v>150</v>
      </c>
      <c r="K2571">
        <v>1</v>
      </c>
      <c r="L2571">
        <v>0</v>
      </c>
      <c r="M2571">
        <v>0</v>
      </c>
      <c r="N2571" t="s">
        <v>48</v>
      </c>
      <c r="O2571">
        <v>2013</v>
      </c>
      <c r="P2571" t="s">
        <v>18</v>
      </c>
    </row>
    <row r="2572" spans="1:16" x14ac:dyDescent="0.3">
      <c r="A2572">
        <v>517</v>
      </c>
      <c r="B2572" t="s">
        <v>1921</v>
      </c>
      <c r="C2572" t="s">
        <v>2641</v>
      </c>
      <c r="D2572" t="str">
        <f>VLOOKUP(YouTube_University_Data_Final[[#This Row],[Title]],[1]!YouTube_University_Data_Final[[Title]:[Title_language]],2,FALSE)</f>
        <v>English</v>
      </c>
      <c r="E2572" t="s">
        <v>5297</v>
      </c>
      <c r="F2572">
        <v>27</v>
      </c>
      <c r="G2572" s="1">
        <v>41498</v>
      </c>
      <c r="H2572">
        <v>324</v>
      </c>
      <c r="I2572" t="s">
        <v>2642</v>
      </c>
      <c r="J2572">
        <v>177</v>
      </c>
      <c r="K2572">
        <v>0</v>
      </c>
      <c r="L2572">
        <v>0</v>
      </c>
      <c r="M2572">
        <v>0</v>
      </c>
      <c r="N2572" t="s">
        <v>48</v>
      </c>
      <c r="O2572">
        <v>2013</v>
      </c>
      <c r="P2572" t="s">
        <v>18</v>
      </c>
    </row>
    <row r="2573" spans="1:16" x14ac:dyDescent="0.3">
      <c r="A2573">
        <v>518</v>
      </c>
      <c r="B2573" t="s">
        <v>1921</v>
      </c>
      <c r="C2573" t="s">
        <v>2643</v>
      </c>
      <c r="D2573" t="str">
        <f>VLOOKUP(YouTube_University_Data_Final[[#This Row],[Title]],[1]!YouTube_University_Data_Final[[Title]:[Title_language]],2,FALSE)</f>
        <v>Bilingual</v>
      </c>
      <c r="E2573" t="s">
        <v>5298</v>
      </c>
      <c r="F2573">
        <v>27</v>
      </c>
      <c r="G2573" s="1">
        <v>41498</v>
      </c>
      <c r="H2573">
        <v>437</v>
      </c>
      <c r="I2573" t="s">
        <v>2644</v>
      </c>
      <c r="J2573">
        <v>485</v>
      </c>
      <c r="K2573">
        <v>1</v>
      </c>
      <c r="L2573">
        <v>0</v>
      </c>
      <c r="M2573">
        <v>0</v>
      </c>
      <c r="N2573" t="s">
        <v>48</v>
      </c>
      <c r="O2573">
        <v>2013</v>
      </c>
      <c r="P2573" t="s">
        <v>18</v>
      </c>
    </row>
    <row r="2574" spans="1:16" x14ac:dyDescent="0.3">
      <c r="A2574">
        <v>519</v>
      </c>
      <c r="B2574" t="s">
        <v>1921</v>
      </c>
      <c r="C2574" t="s">
        <v>2645</v>
      </c>
      <c r="D2574" t="str">
        <f>VLOOKUP(YouTube_University_Data_Final[[#This Row],[Title]],[1]!YouTube_University_Data_Final[[Title]:[Title_language]],2,FALSE)</f>
        <v>English</v>
      </c>
      <c r="E2574" t="s">
        <v>2646</v>
      </c>
      <c r="F2574">
        <v>27</v>
      </c>
      <c r="G2574" s="1">
        <v>41498</v>
      </c>
      <c r="H2574">
        <v>779</v>
      </c>
      <c r="I2574" t="s">
        <v>2647</v>
      </c>
      <c r="J2574">
        <v>945</v>
      </c>
      <c r="K2574">
        <v>1</v>
      </c>
      <c r="L2574">
        <v>0</v>
      </c>
      <c r="M2574">
        <v>0</v>
      </c>
      <c r="N2574" t="s">
        <v>48</v>
      </c>
      <c r="O2574">
        <v>2013</v>
      </c>
      <c r="P2574" t="s">
        <v>18</v>
      </c>
    </row>
    <row r="2575" spans="1:16" x14ac:dyDescent="0.3">
      <c r="A2575">
        <v>520</v>
      </c>
      <c r="B2575" t="s">
        <v>1921</v>
      </c>
      <c r="C2575" t="s">
        <v>2648</v>
      </c>
      <c r="D2575" t="str">
        <f>VLOOKUP(YouTube_University_Data_Final[[#This Row],[Title]],[1]!YouTube_University_Data_Final[[Title]:[Title_language]],2,FALSE)</f>
        <v>English</v>
      </c>
      <c r="E2575" t="s">
        <v>2649</v>
      </c>
      <c r="F2575">
        <v>27</v>
      </c>
      <c r="G2575" s="1">
        <v>41481</v>
      </c>
      <c r="H2575">
        <v>402</v>
      </c>
      <c r="I2575" t="s">
        <v>2650</v>
      </c>
      <c r="J2575">
        <v>7325</v>
      </c>
      <c r="K2575">
        <v>25</v>
      </c>
      <c r="L2575">
        <v>0</v>
      </c>
      <c r="M2575">
        <v>0</v>
      </c>
      <c r="N2575" t="s">
        <v>56</v>
      </c>
      <c r="O2575">
        <v>2013</v>
      </c>
      <c r="P2575" t="s">
        <v>18</v>
      </c>
    </row>
    <row r="2576" spans="1:16" x14ac:dyDescent="0.3">
      <c r="A2576">
        <v>521</v>
      </c>
      <c r="B2576" t="s">
        <v>1921</v>
      </c>
      <c r="C2576" t="s">
        <v>2651</v>
      </c>
      <c r="D2576" t="str">
        <f>VLOOKUP(YouTube_University_Data_Final[[#This Row],[Title]],[1]!YouTube_University_Data_Final[[Title]:[Title_language]],2,FALSE)</f>
        <v>English</v>
      </c>
      <c r="E2576" t="s">
        <v>2652</v>
      </c>
      <c r="F2576">
        <v>27</v>
      </c>
      <c r="G2576" s="1">
        <v>41479</v>
      </c>
      <c r="H2576">
        <v>380</v>
      </c>
      <c r="I2576" t="s">
        <v>2653</v>
      </c>
      <c r="J2576">
        <v>42776</v>
      </c>
      <c r="K2576">
        <v>236</v>
      </c>
      <c r="L2576">
        <v>0</v>
      </c>
      <c r="M2576">
        <v>0</v>
      </c>
      <c r="N2576" t="s">
        <v>56</v>
      </c>
      <c r="O2576">
        <v>2013</v>
      </c>
      <c r="P2576" t="s">
        <v>18</v>
      </c>
    </row>
    <row r="2577" spans="1:16" x14ac:dyDescent="0.3">
      <c r="A2577">
        <v>522</v>
      </c>
      <c r="B2577" t="s">
        <v>1921</v>
      </c>
      <c r="C2577" t="s">
        <v>2654</v>
      </c>
      <c r="D2577" t="str">
        <f>VLOOKUP(YouTube_University_Data_Final[[#This Row],[Title]],[1]!YouTube_University_Data_Final[[Title]:[Title_language]],2,FALSE)</f>
        <v>English</v>
      </c>
      <c r="E2577" t="s">
        <v>2655</v>
      </c>
      <c r="F2577">
        <v>27</v>
      </c>
      <c r="G2577" s="1">
        <v>41478</v>
      </c>
      <c r="H2577">
        <v>163</v>
      </c>
      <c r="I2577" t="s">
        <v>2656</v>
      </c>
      <c r="J2577">
        <v>1807</v>
      </c>
      <c r="K2577">
        <v>7</v>
      </c>
      <c r="L2577">
        <v>0</v>
      </c>
      <c r="M2577">
        <v>0</v>
      </c>
      <c r="N2577" t="s">
        <v>56</v>
      </c>
      <c r="O2577">
        <v>2013</v>
      </c>
      <c r="P2577" t="s">
        <v>18</v>
      </c>
    </row>
    <row r="2578" spans="1:16" x14ac:dyDescent="0.3">
      <c r="A2578">
        <v>523</v>
      </c>
      <c r="B2578" t="s">
        <v>1921</v>
      </c>
      <c r="C2578" t="s">
        <v>2657</v>
      </c>
      <c r="D2578" t="str">
        <f>VLOOKUP(YouTube_University_Data_Final[[#This Row],[Title]],[1]!YouTube_University_Data_Final[[Title]:[Title_language]],2,FALSE)</f>
        <v>English</v>
      </c>
      <c r="E2578" t="s">
        <v>2658</v>
      </c>
      <c r="F2578">
        <v>27</v>
      </c>
      <c r="G2578" s="1">
        <v>41457</v>
      </c>
      <c r="H2578">
        <v>149</v>
      </c>
      <c r="I2578" t="s">
        <v>2659</v>
      </c>
      <c r="J2578">
        <v>332</v>
      </c>
      <c r="K2578">
        <v>1</v>
      </c>
      <c r="L2578">
        <v>0</v>
      </c>
      <c r="M2578">
        <v>0</v>
      </c>
      <c r="N2578" t="s">
        <v>56</v>
      </c>
      <c r="O2578">
        <v>2013</v>
      </c>
      <c r="P2578" t="s">
        <v>18</v>
      </c>
    </row>
    <row r="2579" spans="1:16" x14ac:dyDescent="0.3">
      <c r="A2579">
        <v>524</v>
      </c>
      <c r="B2579" t="s">
        <v>1921</v>
      </c>
      <c r="C2579" t="s">
        <v>2660</v>
      </c>
      <c r="D2579" t="str">
        <f>VLOOKUP(YouTube_University_Data_Final[[#This Row],[Title]],[1]!YouTube_University_Data_Final[[Title]:[Title_language]],2,FALSE)</f>
        <v>English</v>
      </c>
      <c r="E2579" t="s">
        <v>2661</v>
      </c>
      <c r="F2579">
        <v>27</v>
      </c>
      <c r="G2579" s="1">
        <v>41457</v>
      </c>
      <c r="H2579">
        <v>152</v>
      </c>
      <c r="I2579" t="s">
        <v>2662</v>
      </c>
      <c r="J2579">
        <v>669</v>
      </c>
      <c r="K2579">
        <v>2</v>
      </c>
      <c r="L2579">
        <v>0</v>
      </c>
      <c r="M2579">
        <v>0</v>
      </c>
      <c r="N2579" t="s">
        <v>56</v>
      </c>
      <c r="O2579">
        <v>2013</v>
      </c>
      <c r="P2579" t="s">
        <v>18</v>
      </c>
    </row>
    <row r="2580" spans="1:16" x14ac:dyDescent="0.3">
      <c r="A2580">
        <v>525</v>
      </c>
      <c r="B2580" t="s">
        <v>1921</v>
      </c>
      <c r="C2580" t="s">
        <v>2663</v>
      </c>
      <c r="D2580" t="str">
        <f>VLOOKUP(YouTube_University_Data_Final[[#This Row],[Title]],[1]!YouTube_University_Data_Final[[Title]:[Title_language]],2,FALSE)</f>
        <v>English</v>
      </c>
      <c r="E2580" t="s">
        <v>2664</v>
      </c>
      <c r="F2580">
        <v>27</v>
      </c>
      <c r="G2580" s="1">
        <v>41446</v>
      </c>
      <c r="H2580">
        <v>151</v>
      </c>
      <c r="I2580" t="s">
        <v>2665</v>
      </c>
      <c r="J2580">
        <v>770</v>
      </c>
      <c r="K2580">
        <v>4</v>
      </c>
      <c r="L2580">
        <v>0</v>
      </c>
      <c r="M2580">
        <v>0</v>
      </c>
      <c r="N2580" t="s">
        <v>78</v>
      </c>
      <c r="O2580">
        <v>2013</v>
      </c>
      <c r="P2580" t="s">
        <v>18</v>
      </c>
    </row>
    <row r="2581" spans="1:16" x14ac:dyDescent="0.3">
      <c r="A2581">
        <v>526</v>
      </c>
      <c r="B2581" t="s">
        <v>1921</v>
      </c>
      <c r="C2581" t="s">
        <v>2666</v>
      </c>
      <c r="D2581" t="str">
        <f>VLOOKUP(YouTube_University_Data_Final[[#This Row],[Title]],[1]!YouTube_University_Data_Final[[Title]:[Title_language]],2,FALSE)</f>
        <v>English</v>
      </c>
      <c r="E2581" t="s">
        <v>2667</v>
      </c>
      <c r="F2581">
        <v>27</v>
      </c>
      <c r="G2581" s="1">
        <v>41443</v>
      </c>
      <c r="H2581">
        <v>306</v>
      </c>
      <c r="I2581" t="s">
        <v>2668</v>
      </c>
      <c r="J2581">
        <v>20673</v>
      </c>
      <c r="K2581">
        <v>70</v>
      </c>
      <c r="L2581">
        <v>0</v>
      </c>
      <c r="M2581">
        <v>0</v>
      </c>
      <c r="N2581" t="s">
        <v>78</v>
      </c>
      <c r="O2581">
        <v>2013</v>
      </c>
      <c r="P2581" t="s">
        <v>18</v>
      </c>
    </row>
    <row r="2582" spans="1:16" x14ac:dyDescent="0.3">
      <c r="A2582">
        <v>527</v>
      </c>
      <c r="B2582" t="s">
        <v>1921</v>
      </c>
      <c r="C2582" t="s">
        <v>2669</v>
      </c>
      <c r="D2582" t="str">
        <f>VLOOKUP(YouTube_University_Data_Final[[#This Row],[Title]],[1]!YouTube_University_Data_Final[[Title]:[Title_language]],2,FALSE)</f>
        <v>English</v>
      </c>
      <c r="E2582" t="s">
        <v>2670</v>
      </c>
      <c r="F2582">
        <v>27</v>
      </c>
      <c r="G2582" s="1">
        <v>41375</v>
      </c>
      <c r="H2582">
        <v>127</v>
      </c>
      <c r="I2582" t="s">
        <v>2671</v>
      </c>
      <c r="J2582">
        <v>1428</v>
      </c>
      <c r="K2582">
        <v>1</v>
      </c>
      <c r="L2582">
        <v>0</v>
      </c>
      <c r="M2582">
        <v>0</v>
      </c>
      <c r="N2582" t="s">
        <v>87</v>
      </c>
      <c r="O2582">
        <v>2013</v>
      </c>
      <c r="P2582" t="s">
        <v>18</v>
      </c>
    </row>
    <row r="2583" spans="1:16" x14ac:dyDescent="0.3">
      <c r="A2583">
        <v>528</v>
      </c>
      <c r="B2583" t="s">
        <v>1921</v>
      </c>
      <c r="C2583" t="s">
        <v>2672</v>
      </c>
      <c r="D2583" t="str">
        <f>VLOOKUP(YouTube_University_Data_Final[[#This Row],[Title]],[1]!YouTube_University_Data_Final[[Title]:[Title_language]],2,FALSE)</f>
        <v>English</v>
      </c>
      <c r="E2583" t="s">
        <v>2673</v>
      </c>
      <c r="F2583">
        <v>27</v>
      </c>
      <c r="G2583" s="1">
        <v>41346</v>
      </c>
      <c r="H2583">
        <v>86</v>
      </c>
      <c r="I2583" t="s">
        <v>2944</v>
      </c>
      <c r="J2583">
        <v>817</v>
      </c>
      <c r="K2583">
        <v>3</v>
      </c>
      <c r="L2583">
        <v>0</v>
      </c>
      <c r="M2583">
        <v>0</v>
      </c>
      <c r="N2583" t="s">
        <v>90</v>
      </c>
      <c r="O2583">
        <v>2013</v>
      </c>
      <c r="P2583" t="s">
        <v>18</v>
      </c>
    </row>
    <row r="2584" spans="1:16" x14ac:dyDescent="0.3">
      <c r="A2584">
        <v>529</v>
      </c>
      <c r="B2584" t="s">
        <v>1921</v>
      </c>
      <c r="C2584" t="s">
        <v>2674</v>
      </c>
      <c r="D2584" t="str">
        <f>VLOOKUP(YouTube_University_Data_Final[[#This Row],[Title]],[1]!YouTube_University_Data_Final[[Title]:[Title_language]],2,FALSE)</f>
        <v>English</v>
      </c>
      <c r="E2584" t="s">
        <v>5299</v>
      </c>
      <c r="F2584">
        <v>27</v>
      </c>
      <c r="G2584" s="1">
        <v>41310</v>
      </c>
      <c r="H2584">
        <v>135</v>
      </c>
      <c r="I2584" t="s">
        <v>2675</v>
      </c>
      <c r="J2584">
        <v>3975</v>
      </c>
      <c r="K2584">
        <v>4</v>
      </c>
      <c r="L2584">
        <v>0</v>
      </c>
      <c r="M2584">
        <v>0</v>
      </c>
      <c r="N2584" t="s">
        <v>162</v>
      </c>
      <c r="O2584">
        <v>2013</v>
      </c>
      <c r="P2584" t="s">
        <v>18</v>
      </c>
    </row>
    <row r="2585" spans="1:16" x14ac:dyDescent="0.3">
      <c r="A2585">
        <v>530</v>
      </c>
      <c r="B2585" t="s">
        <v>1921</v>
      </c>
      <c r="C2585" t="s">
        <v>2676</v>
      </c>
      <c r="D2585" t="str">
        <f>VLOOKUP(YouTube_University_Data_Final[[#This Row],[Title]],[1]!YouTube_University_Data_Final[[Title]:[Title_language]],2,FALSE)</f>
        <v>English</v>
      </c>
      <c r="E2585" t="s">
        <v>2677</v>
      </c>
      <c r="F2585">
        <v>27</v>
      </c>
      <c r="G2585" s="1">
        <v>41264</v>
      </c>
      <c r="H2585">
        <v>2552</v>
      </c>
      <c r="I2585" t="s">
        <v>2678</v>
      </c>
      <c r="J2585">
        <v>456</v>
      </c>
      <c r="K2585">
        <v>0</v>
      </c>
      <c r="L2585">
        <v>0</v>
      </c>
      <c r="M2585">
        <v>0</v>
      </c>
      <c r="N2585" t="s">
        <v>98</v>
      </c>
      <c r="O2585">
        <v>2012</v>
      </c>
      <c r="P2585" t="s">
        <v>18</v>
      </c>
    </row>
    <row r="2586" spans="1:16" x14ac:dyDescent="0.3">
      <c r="A2586">
        <v>531</v>
      </c>
      <c r="B2586" t="s">
        <v>1921</v>
      </c>
      <c r="C2586" t="s">
        <v>2679</v>
      </c>
      <c r="D2586" t="str">
        <f>VLOOKUP(YouTube_University_Data_Final[[#This Row],[Title]],[1]!YouTube_University_Data_Final[[Title]:[Title_language]],2,FALSE)</f>
        <v>English</v>
      </c>
      <c r="E2586" t="s">
        <v>2680</v>
      </c>
      <c r="F2586">
        <v>27</v>
      </c>
      <c r="G2586" s="1">
        <v>41264</v>
      </c>
      <c r="H2586">
        <v>770</v>
      </c>
      <c r="I2586" t="s">
        <v>2681</v>
      </c>
      <c r="J2586">
        <v>205</v>
      </c>
      <c r="K2586">
        <v>0</v>
      </c>
      <c r="L2586">
        <v>0</v>
      </c>
      <c r="M2586">
        <v>0</v>
      </c>
      <c r="N2586" t="s">
        <v>98</v>
      </c>
      <c r="O2586">
        <v>2012</v>
      </c>
      <c r="P2586" t="s">
        <v>18</v>
      </c>
    </row>
    <row r="2587" spans="1:16" x14ac:dyDescent="0.3">
      <c r="A2587">
        <v>532</v>
      </c>
      <c r="B2587" t="s">
        <v>1921</v>
      </c>
      <c r="C2587" t="s">
        <v>5300</v>
      </c>
      <c r="D2587" t="str">
        <f>VLOOKUP(YouTube_University_Data_Final[[#This Row],[Title]],[1]!YouTube_University_Data_Final[[Title]:[Title_language]],2,FALSE)</f>
        <v>Bilingual</v>
      </c>
      <c r="E2587" t="s">
        <v>5301</v>
      </c>
      <c r="F2587">
        <v>27</v>
      </c>
      <c r="G2587" s="1">
        <v>41239</v>
      </c>
      <c r="H2587">
        <v>627</v>
      </c>
      <c r="I2587" t="s">
        <v>5302</v>
      </c>
      <c r="J2587">
        <v>643</v>
      </c>
      <c r="K2587">
        <v>2</v>
      </c>
      <c r="L2587">
        <v>0</v>
      </c>
      <c r="M2587">
        <v>0</v>
      </c>
      <c r="N2587" t="s">
        <v>101</v>
      </c>
      <c r="O2587">
        <v>2012</v>
      </c>
      <c r="P2587" t="s">
        <v>18</v>
      </c>
    </row>
    <row r="2588" spans="1:16" x14ac:dyDescent="0.3">
      <c r="A2588">
        <v>533</v>
      </c>
      <c r="B2588" t="s">
        <v>1921</v>
      </c>
      <c r="C2588" t="s">
        <v>2682</v>
      </c>
      <c r="D2588" t="str">
        <f>VLOOKUP(YouTube_University_Data_Final[[#This Row],[Title]],[1]!YouTube_University_Data_Final[[Title]:[Title_language]],2,FALSE)</f>
        <v>English</v>
      </c>
      <c r="E2588" t="s">
        <v>2683</v>
      </c>
      <c r="F2588">
        <v>27</v>
      </c>
      <c r="G2588" s="1">
        <v>41239</v>
      </c>
      <c r="H2588">
        <v>116</v>
      </c>
      <c r="I2588" t="s">
        <v>2684</v>
      </c>
      <c r="J2588">
        <v>457</v>
      </c>
      <c r="K2588">
        <v>2</v>
      </c>
      <c r="L2588">
        <v>0</v>
      </c>
      <c r="M2588">
        <v>0</v>
      </c>
      <c r="N2588" t="s">
        <v>101</v>
      </c>
      <c r="O2588">
        <v>2012</v>
      </c>
      <c r="P2588" t="s">
        <v>18</v>
      </c>
    </row>
    <row r="2589" spans="1:16" x14ac:dyDescent="0.3">
      <c r="A2589">
        <v>534</v>
      </c>
      <c r="B2589" t="s">
        <v>1921</v>
      </c>
      <c r="C2589" t="s">
        <v>2685</v>
      </c>
      <c r="D2589" t="str">
        <f>VLOOKUP(YouTube_University_Data_Final[[#This Row],[Title]],[1]!YouTube_University_Data_Final[[Title]:[Title_language]],2,FALSE)</f>
        <v>English</v>
      </c>
      <c r="E2589" t="s">
        <v>2686</v>
      </c>
      <c r="F2589">
        <v>27</v>
      </c>
      <c r="G2589" s="1">
        <v>41239</v>
      </c>
      <c r="H2589">
        <v>102</v>
      </c>
      <c r="I2589" t="s">
        <v>2687</v>
      </c>
      <c r="J2589">
        <v>359</v>
      </c>
      <c r="K2589">
        <v>0</v>
      </c>
      <c r="L2589">
        <v>0</v>
      </c>
      <c r="M2589">
        <v>0</v>
      </c>
      <c r="N2589" t="s">
        <v>101</v>
      </c>
      <c r="O2589">
        <v>2012</v>
      </c>
      <c r="P2589" t="s">
        <v>18</v>
      </c>
    </row>
    <row r="2590" spans="1:16" x14ac:dyDescent="0.3">
      <c r="A2590">
        <v>535</v>
      </c>
      <c r="B2590" t="s">
        <v>1921</v>
      </c>
      <c r="C2590" t="s">
        <v>2688</v>
      </c>
      <c r="D2590" t="str">
        <f>VLOOKUP(YouTube_University_Data_Final[[#This Row],[Title]],[1]!YouTube_University_Data_Final[[Title]:[Title_language]],2,FALSE)</f>
        <v>English</v>
      </c>
      <c r="E2590" t="s">
        <v>2689</v>
      </c>
      <c r="F2590">
        <v>27</v>
      </c>
      <c r="G2590" s="1">
        <v>41239</v>
      </c>
      <c r="H2590">
        <v>92</v>
      </c>
      <c r="I2590" t="s">
        <v>2690</v>
      </c>
      <c r="J2590">
        <v>463</v>
      </c>
      <c r="K2590">
        <v>1</v>
      </c>
      <c r="L2590">
        <v>0</v>
      </c>
      <c r="M2590">
        <v>0</v>
      </c>
      <c r="N2590" t="s">
        <v>101</v>
      </c>
      <c r="O2590">
        <v>2012</v>
      </c>
      <c r="P2590" t="s">
        <v>18</v>
      </c>
    </row>
    <row r="2591" spans="1:16" x14ac:dyDescent="0.3">
      <c r="A2591">
        <v>536</v>
      </c>
      <c r="B2591" t="s">
        <v>1921</v>
      </c>
      <c r="C2591" t="s">
        <v>2691</v>
      </c>
      <c r="D2591" t="str">
        <f>VLOOKUP(YouTube_University_Data_Final[[#This Row],[Title]],[1]!YouTube_University_Data_Final[[Title]:[Title_language]],2,FALSE)</f>
        <v>English</v>
      </c>
      <c r="E2591" t="s">
        <v>2692</v>
      </c>
      <c r="F2591">
        <v>27</v>
      </c>
      <c r="G2591" s="1">
        <v>41239</v>
      </c>
      <c r="H2591">
        <v>97</v>
      </c>
      <c r="I2591" t="s">
        <v>2693</v>
      </c>
      <c r="J2591">
        <v>1055</v>
      </c>
      <c r="K2591">
        <v>0</v>
      </c>
      <c r="L2591">
        <v>0</v>
      </c>
      <c r="M2591">
        <v>0</v>
      </c>
      <c r="N2591" t="s">
        <v>101</v>
      </c>
      <c r="O2591">
        <v>2012</v>
      </c>
      <c r="P2591" t="s">
        <v>18</v>
      </c>
    </row>
    <row r="2592" spans="1:16" x14ac:dyDescent="0.3">
      <c r="A2592">
        <v>537</v>
      </c>
      <c r="B2592" t="s">
        <v>1921</v>
      </c>
      <c r="C2592" t="s">
        <v>2694</v>
      </c>
      <c r="D2592" t="str">
        <f>VLOOKUP(YouTube_University_Data_Final[[#This Row],[Title]],[1]!YouTube_University_Data_Final[[Title]:[Title_language]],2,FALSE)</f>
        <v>English</v>
      </c>
      <c r="E2592" t="s">
        <v>2695</v>
      </c>
      <c r="F2592">
        <v>27</v>
      </c>
      <c r="G2592" s="1">
        <v>41239</v>
      </c>
      <c r="H2592">
        <v>116</v>
      </c>
      <c r="I2592" t="s">
        <v>2696</v>
      </c>
      <c r="J2592">
        <v>327</v>
      </c>
      <c r="K2592">
        <v>1</v>
      </c>
      <c r="L2592">
        <v>0</v>
      </c>
      <c r="M2592">
        <v>0</v>
      </c>
      <c r="N2592" t="s">
        <v>101</v>
      </c>
      <c r="O2592">
        <v>2012</v>
      </c>
      <c r="P2592" t="s">
        <v>18</v>
      </c>
    </row>
    <row r="2593" spans="1:16" x14ac:dyDescent="0.3">
      <c r="A2593">
        <v>538</v>
      </c>
      <c r="B2593" t="s">
        <v>1921</v>
      </c>
      <c r="C2593" t="s">
        <v>2697</v>
      </c>
      <c r="D2593" t="str">
        <f>VLOOKUP(YouTube_University_Data_Final[[#This Row],[Title]],[1]!YouTube_University_Data_Final[[Title]:[Title_language]],2,FALSE)</f>
        <v>English</v>
      </c>
      <c r="E2593" t="s">
        <v>2698</v>
      </c>
      <c r="F2593">
        <v>27</v>
      </c>
      <c r="G2593" s="1">
        <v>41239</v>
      </c>
      <c r="H2593">
        <v>108</v>
      </c>
      <c r="I2593" t="s">
        <v>2699</v>
      </c>
      <c r="J2593">
        <v>952</v>
      </c>
      <c r="K2593">
        <v>1</v>
      </c>
      <c r="L2593">
        <v>0</v>
      </c>
      <c r="M2593">
        <v>0</v>
      </c>
      <c r="N2593" t="s">
        <v>101</v>
      </c>
      <c r="O2593">
        <v>2012</v>
      </c>
      <c r="P2593" t="s">
        <v>18</v>
      </c>
    </row>
    <row r="2594" spans="1:16" x14ac:dyDescent="0.3">
      <c r="A2594">
        <v>539</v>
      </c>
      <c r="B2594" t="s">
        <v>1921</v>
      </c>
      <c r="C2594" t="s">
        <v>2700</v>
      </c>
      <c r="D2594" t="str">
        <f>VLOOKUP(YouTube_University_Data_Final[[#This Row],[Title]],[1]!YouTube_University_Data_Final[[Title]:[Title_language]],2,FALSE)</f>
        <v>English</v>
      </c>
      <c r="E2594" t="s">
        <v>2701</v>
      </c>
      <c r="F2594">
        <v>27</v>
      </c>
      <c r="G2594" s="1">
        <v>41239</v>
      </c>
      <c r="H2594">
        <v>94</v>
      </c>
      <c r="I2594" t="s">
        <v>2564</v>
      </c>
      <c r="J2594">
        <v>476</v>
      </c>
      <c r="K2594">
        <v>0</v>
      </c>
      <c r="L2594">
        <v>0</v>
      </c>
      <c r="M2594">
        <v>0</v>
      </c>
      <c r="N2594" t="s">
        <v>101</v>
      </c>
      <c r="O2594">
        <v>2012</v>
      </c>
      <c r="P2594" t="s">
        <v>18</v>
      </c>
    </row>
    <row r="2595" spans="1:16" x14ac:dyDescent="0.3">
      <c r="A2595">
        <v>540</v>
      </c>
      <c r="B2595" t="s">
        <v>1921</v>
      </c>
      <c r="C2595" t="s">
        <v>2702</v>
      </c>
      <c r="D2595" t="str">
        <f>VLOOKUP(YouTube_University_Data_Final[[#This Row],[Title]],[1]!YouTube_University_Data_Final[[Title]:[Title_language]],2,FALSE)</f>
        <v>English</v>
      </c>
      <c r="E2595" t="s">
        <v>2703</v>
      </c>
      <c r="F2595">
        <v>27</v>
      </c>
      <c r="G2595" s="1">
        <v>41192</v>
      </c>
      <c r="H2595">
        <v>272</v>
      </c>
      <c r="I2595" t="s">
        <v>2704</v>
      </c>
      <c r="J2595">
        <v>24261</v>
      </c>
      <c r="K2595">
        <v>112</v>
      </c>
      <c r="L2595">
        <v>0</v>
      </c>
      <c r="M2595">
        <v>0</v>
      </c>
      <c r="N2595" t="s">
        <v>17</v>
      </c>
      <c r="O2595">
        <v>2012</v>
      </c>
      <c r="P2595" t="s">
        <v>18</v>
      </c>
    </row>
    <row r="2596" spans="1:16" x14ac:dyDescent="0.3">
      <c r="A2596">
        <v>541</v>
      </c>
      <c r="B2596" t="s">
        <v>1921</v>
      </c>
      <c r="C2596" t="s">
        <v>5303</v>
      </c>
      <c r="D2596" t="str">
        <f>VLOOKUP(YouTube_University_Data_Final[[#This Row],[Title]],[1]!YouTube_University_Data_Final[[Title]:[Title_language]],2,FALSE)</f>
        <v>Chinese</v>
      </c>
      <c r="E2596" t="s">
        <v>5304</v>
      </c>
      <c r="F2596">
        <v>27</v>
      </c>
      <c r="G2596" s="1">
        <v>41144</v>
      </c>
      <c r="H2596">
        <v>255</v>
      </c>
      <c r="I2596" t="s">
        <v>5305</v>
      </c>
      <c r="J2596">
        <v>1168</v>
      </c>
      <c r="K2596">
        <v>4</v>
      </c>
      <c r="L2596">
        <v>0</v>
      </c>
      <c r="M2596">
        <v>0</v>
      </c>
      <c r="N2596" t="s">
        <v>48</v>
      </c>
      <c r="O2596">
        <v>2012</v>
      </c>
      <c r="P2596" t="s">
        <v>18</v>
      </c>
    </row>
    <row r="2597" spans="1:16" x14ac:dyDescent="0.3">
      <c r="A2597">
        <v>542</v>
      </c>
      <c r="B2597" t="s">
        <v>1921</v>
      </c>
      <c r="C2597" t="s">
        <v>2705</v>
      </c>
      <c r="D2597" t="str">
        <f>VLOOKUP(YouTube_University_Data_Final[[#This Row],[Title]],[1]!YouTube_University_Data_Final[[Title]:[Title_language]],2,FALSE)</f>
        <v>English</v>
      </c>
      <c r="E2597" t="s">
        <v>2706</v>
      </c>
      <c r="F2597">
        <v>27</v>
      </c>
      <c r="G2597" s="1">
        <v>41108</v>
      </c>
      <c r="H2597">
        <v>229</v>
      </c>
      <c r="I2597" t="s">
        <v>2707</v>
      </c>
      <c r="J2597">
        <v>4299</v>
      </c>
      <c r="K2597">
        <v>7</v>
      </c>
      <c r="L2597">
        <v>0</v>
      </c>
      <c r="M2597">
        <v>0</v>
      </c>
      <c r="N2597" t="s">
        <v>56</v>
      </c>
      <c r="O2597">
        <v>2012</v>
      </c>
      <c r="P2597" t="s">
        <v>18</v>
      </c>
    </row>
    <row r="2598" spans="1:16" x14ac:dyDescent="0.3">
      <c r="A2598">
        <v>543</v>
      </c>
      <c r="B2598" t="s">
        <v>1921</v>
      </c>
      <c r="C2598" t="s">
        <v>2708</v>
      </c>
      <c r="D2598" t="str">
        <f>VLOOKUP(YouTube_University_Data_Final[[#This Row],[Title]],[1]!YouTube_University_Data_Final[[Title]:[Title_language]],2,FALSE)</f>
        <v>English</v>
      </c>
      <c r="E2598" t="s">
        <v>2709</v>
      </c>
      <c r="F2598">
        <v>27</v>
      </c>
      <c r="G2598" s="1">
        <v>41102</v>
      </c>
      <c r="H2598">
        <v>91</v>
      </c>
      <c r="I2598" t="s">
        <v>5306</v>
      </c>
      <c r="J2598">
        <v>779</v>
      </c>
      <c r="K2598">
        <v>0</v>
      </c>
      <c r="L2598">
        <v>0</v>
      </c>
      <c r="M2598">
        <v>0</v>
      </c>
      <c r="N2598" t="s">
        <v>56</v>
      </c>
      <c r="O2598">
        <v>2012</v>
      </c>
      <c r="P2598" t="s">
        <v>18</v>
      </c>
    </row>
    <row r="2599" spans="1:16" x14ac:dyDescent="0.3">
      <c r="A2599">
        <v>544</v>
      </c>
      <c r="B2599" t="s">
        <v>1921</v>
      </c>
      <c r="C2599" t="s">
        <v>5307</v>
      </c>
      <c r="D2599" t="str">
        <f>VLOOKUP(YouTube_University_Data_Final[[#This Row],[Title]],[1]!YouTube_University_Data_Final[[Title]:[Title_language]],2,FALSE)</f>
        <v>Chinese</v>
      </c>
      <c r="E2599" t="s">
        <v>5308</v>
      </c>
      <c r="F2599">
        <v>27</v>
      </c>
      <c r="G2599" s="1">
        <v>41102</v>
      </c>
      <c r="H2599">
        <v>91</v>
      </c>
      <c r="I2599" t="s">
        <v>5309</v>
      </c>
      <c r="J2599">
        <v>866</v>
      </c>
      <c r="K2599">
        <v>1</v>
      </c>
      <c r="L2599">
        <v>0</v>
      </c>
      <c r="M2599">
        <v>0</v>
      </c>
      <c r="N2599" t="s">
        <v>56</v>
      </c>
      <c r="O2599">
        <v>2012</v>
      </c>
      <c r="P2599" t="s">
        <v>18</v>
      </c>
    </row>
    <row r="2600" spans="1:16" x14ac:dyDescent="0.3">
      <c r="A2600">
        <v>545</v>
      </c>
      <c r="B2600" t="s">
        <v>1921</v>
      </c>
      <c r="C2600" t="s">
        <v>5310</v>
      </c>
      <c r="D2600" t="str">
        <f>VLOOKUP(YouTube_University_Data_Final[[#This Row],[Title]],[1]!YouTube_University_Data_Final[[Title]:[Title_language]],2,FALSE)</f>
        <v>Chinese</v>
      </c>
      <c r="E2600" t="s">
        <v>5311</v>
      </c>
      <c r="F2600">
        <v>27</v>
      </c>
      <c r="G2600" s="1">
        <v>41102</v>
      </c>
      <c r="H2600">
        <v>91</v>
      </c>
      <c r="I2600" t="s">
        <v>5312</v>
      </c>
      <c r="J2600">
        <v>1774</v>
      </c>
      <c r="K2600">
        <v>1</v>
      </c>
      <c r="L2600">
        <v>0</v>
      </c>
      <c r="M2600">
        <v>0</v>
      </c>
      <c r="N2600" t="s">
        <v>56</v>
      </c>
      <c r="O2600">
        <v>2012</v>
      </c>
      <c r="P2600" t="s">
        <v>18</v>
      </c>
    </row>
    <row r="2601" spans="1:16" x14ac:dyDescent="0.3">
      <c r="A2601">
        <v>546</v>
      </c>
      <c r="B2601" t="s">
        <v>1921</v>
      </c>
      <c r="C2601" t="s">
        <v>5313</v>
      </c>
      <c r="D2601" t="str">
        <f>VLOOKUP(YouTube_University_Data_Final[[#This Row],[Title]],[1]!YouTube_University_Data_Final[[Title]:[Title_language]],2,FALSE)</f>
        <v>Chinese</v>
      </c>
      <c r="E2601" t="s">
        <v>5314</v>
      </c>
      <c r="F2601">
        <v>27</v>
      </c>
      <c r="G2601" s="1">
        <v>41102</v>
      </c>
      <c r="H2601">
        <v>91</v>
      </c>
      <c r="I2601" t="s">
        <v>5315</v>
      </c>
      <c r="J2601">
        <v>852</v>
      </c>
      <c r="K2601">
        <v>0</v>
      </c>
      <c r="L2601">
        <v>0</v>
      </c>
      <c r="M2601">
        <v>0</v>
      </c>
      <c r="N2601" t="s">
        <v>56</v>
      </c>
      <c r="O2601">
        <v>2012</v>
      </c>
      <c r="P2601" t="s">
        <v>18</v>
      </c>
    </row>
    <row r="2602" spans="1:16" x14ac:dyDescent="0.3">
      <c r="A2602">
        <v>547</v>
      </c>
      <c r="B2602" t="s">
        <v>1921</v>
      </c>
      <c r="C2602" t="s">
        <v>5316</v>
      </c>
      <c r="D2602" t="str">
        <f>VLOOKUP(YouTube_University_Data_Final[[#This Row],[Title]],[1]!YouTube_University_Data_Final[[Title]:[Title_language]],2,FALSE)</f>
        <v>Chinese</v>
      </c>
      <c r="E2602" t="s">
        <v>5317</v>
      </c>
      <c r="F2602">
        <v>27</v>
      </c>
      <c r="G2602" s="1">
        <v>41102</v>
      </c>
      <c r="H2602">
        <v>91</v>
      </c>
      <c r="I2602" t="s">
        <v>5318</v>
      </c>
      <c r="J2602">
        <v>3016</v>
      </c>
      <c r="K2602">
        <v>2</v>
      </c>
      <c r="L2602">
        <v>0</v>
      </c>
      <c r="M2602">
        <v>0</v>
      </c>
      <c r="N2602" t="s">
        <v>56</v>
      </c>
      <c r="O2602">
        <v>2012</v>
      </c>
      <c r="P2602" t="s">
        <v>18</v>
      </c>
    </row>
    <row r="2603" spans="1:16" x14ac:dyDescent="0.3">
      <c r="A2603">
        <v>548</v>
      </c>
      <c r="B2603" t="s">
        <v>1921</v>
      </c>
      <c r="C2603" t="s">
        <v>5319</v>
      </c>
      <c r="D2603" t="str">
        <f>VLOOKUP(YouTube_University_Data_Final[[#This Row],[Title]],[1]!YouTube_University_Data_Final[[Title]:[Title_language]],2,FALSE)</f>
        <v>Chinese</v>
      </c>
      <c r="E2603" t="s">
        <v>5320</v>
      </c>
      <c r="F2603">
        <v>27</v>
      </c>
      <c r="G2603" s="1">
        <v>41102</v>
      </c>
      <c r="H2603">
        <v>91</v>
      </c>
      <c r="I2603" t="s">
        <v>5321</v>
      </c>
      <c r="J2603">
        <v>778</v>
      </c>
      <c r="K2603">
        <v>1</v>
      </c>
      <c r="L2603">
        <v>0</v>
      </c>
      <c r="M2603">
        <v>0</v>
      </c>
      <c r="N2603" t="s">
        <v>56</v>
      </c>
      <c r="O2603">
        <v>2012</v>
      </c>
      <c r="P2603" t="s">
        <v>18</v>
      </c>
    </row>
    <row r="2604" spans="1:16" x14ac:dyDescent="0.3">
      <c r="A2604">
        <v>549</v>
      </c>
      <c r="B2604" t="s">
        <v>1921</v>
      </c>
      <c r="C2604" t="s">
        <v>5322</v>
      </c>
      <c r="D2604" t="str">
        <f>VLOOKUP(YouTube_University_Data_Final[[#This Row],[Title]],[1]!YouTube_University_Data_Final[[Title]:[Title_language]],2,FALSE)</f>
        <v>Chinese</v>
      </c>
      <c r="E2604" t="s">
        <v>5323</v>
      </c>
      <c r="F2604">
        <v>27</v>
      </c>
      <c r="G2604" s="1">
        <v>41102</v>
      </c>
      <c r="H2604">
        <v>91</v>
      </c>
      <c r="I2604" t="s">
        <v>5324</v>
      </c>
      <c r="J2604">
        <v>866</v>
      </c>
      <c r="K2604">
        <v>0</v>
      </c>
      <c r="L2604">
        <v>0</v>
      </c>
      <c r="M2604">
        <v>0</v>
      </c>
      <c r="N2604" t="s">
        <v>56</v>
      </c>
      <c r="O2604">
        <v>2012</v>
      </c>
      <c r="P2604" t="s">
        <v>18</v>
      </c>
    </row>
    <row r="2605" spans="1:16" x14ac:dyDescent="0.3">
      <c r="A2605">
        <v>550</v>
      </c>
      <c r="B2605" t="s">
        <v>1921</v>
      </c>
      <c r="C2605" t="s">
        <v>5325</v>
      </c>
      <c r="D2605" t="str">
        <f>VLOOKUP(YouTube_University_Data_Final[[#This Row],[Title]],[1]!YouTube_University_Data_Final[[Title]:[Title_language]],2,FALSE)</f>
        <v>Chinese</v>
      </c>
      <c r="E2605" t="s">
        <v>5326</v>
      </c>
      <c r="F2605">
        <v>27</v>
      </c>
      <c r="G2605" s="1">
        <v>41102</v>
      </c>
      <c r="H2605">
        <v>90</v>
      </c>
      <c r="I2605" t="s">
        <v>5327</v>
      </c>
      <c r="J2605">
        <v>937</v>
      </c>
      <c r="K2605">
        <v>1</v>
      </c>
      <c r="L2605">
        <v>0</v>
      </c>
      <c r="M2605">
        <v>0</v>
      </c>
      <c r="N2605" t="s">
        <v>56</v>
      </c>
      <c r="O2605">
        <v>2012</v>
      </c>
      <c r="P2605" t="s">
        <v>18</v>
      </c>
    </row>
    <row r="2606" spans="1:16" x14ac:dyDescent="0.3">
      <c r="A2606">
        <v>551</v>
      </c>
      <c r="B2606" t="s">
        <v>1921</v>
      </c>
      <c r="C2606" t="s">
        <v>2710</v>
      </c>
      <c r="D2606" t="str">
        <f>VLOOKUP(YouTube_University_Data_Final[[#This Row],[Title]],[1]!YouTube_University_Data_Final[[Title]:[Title_language]],2,FALSE)</f>
        <v>English</v>
      </c>
      <c r="E2606" t="s">
        <v>2711</v>
      </c>
      <c r="F2606">
        <v>27</v>
      </c>
      <c r="G2606" s="1">
        <v>41094</v>
      </c>
      <c r="H2606">
        <v>263</v>
      </c>
      <c r="I2606" t="s">
        <v>2712</v>
      </c>
      <c r="J2606">
        <v>307</v>
      </c>
      <c r="K2606">
        <v>0</v>
      </c>
      <c r="L2606">
        <v>0</v>
      </c>
      <c r="M2606">
        <v>0</v>
      </c>
      <c r="N2606" t="s">
        <v>56</v>
      </c>
      <c r="O2606">
        <v>2012</v>
      </c>
      <c r="P2606" t="s">
        <v>18</v>
      </c>
    </row>
    <row r="2607" spans="1:16" x14ac:dyDescent="0.3">
      <c r="A2607">
        <v>552</v>
      </c>
      <c r="B2607" t="s">
        <v>1921</v>
      </c>
      <c r="C2607" t="s">
        <v>2713</v>
      </c>
      <c r="D2607" t="str">
        <f>VLOOKUP(YouTube_University_Data_Final[[#This Row],[Title]],[1]!YouTube_University_Data_Final[[Title]:[Title_language]],2,FALSE)</f>
        <v>English</v>
      </c>
      <c r="E2607" t="s">
        <v>2714</v>
      </c>
      <c r="F2607">
        <v>27</v>
      </c>
      <c r="G2607" s="1">
        <v>41094</v>
      </c>
      <c r="H2607">
        <v>365</v>
      </c>
      <c r="I2607" t="s">
        <v>2715</v>
      </c>
      <c r="J2607">
        <v>482</v>
      </c>
      <c r="K2607">
        <v>0</v>
      </c>
      <c r="L2607">
        <v>0</v>
      </c>
      <c r="M2607">
        <v>0</v>
      </c>
      <c r="N2607" t="s">
        <v>56</v>
      </c>
      <c r="O2607">
        <v>2012</v>
      </c>
      <c r="P2607" t="s">
        <v>18</v>
      </c>
    </row>
    <row r="2608" spans="1:16" x14ac:dyDescent="0.3">
      <c r="A2608">
        <v>553</v>
      </c>
      <c r="B2608" t="s">
        <v>1921</v>
      </c>
      <c r="C2608" t="s">
        <v>5328</v>
      </c>
      <c r="D2608" t="str">
        <f>VLOOKUP(YouTube_University_Data_Final[[#This Row],[Title]],[1]!YouTube_University_Data_Final[[Title]:[Title_language]],2,FALSE)</f>
        <v>Chinese</v>
      </c>
      <c r="E2608" t="s">
        <v>5329</v>
      </c>
      <c r="F2608">
        <v>27</v>
      </c>
      <c r="G2608" s="1">
        <v>41050</v>
      </c>
      <c r="H2608">
        <v>1577</v>
      </c>
      <c r="I2608" t="s">
        <v>5330</v>
      </c>
      <c r="J2608">
        <v>309</v>
      </c>
      <c r="K2608">
        <v>0</v>
      </c>
      <c r="L2608">
        <v>0</v>
      </c>
      <c r="M2608">
        <v>0</v>
      </c>
      <c r="N2608" t="s">
        <v>81</v>
      </c>
      <c r="O2608">
        <v>2012</v>
      </c>
      <c r="P2608" t="s">
        <v>18</v>
      </c>
    </row>
    <row r="2609" spans="1:16" x14ac:dyDescent="0.3">
      <c r="A2609">
        <v>554</v>
      </c>
      <c r="B2609" t="s">
        <v>1921</v>
      </c>
      <c r="C2609" t="s">
        <v>5331</v>
      </c>
      <c r="D2609" t="str">
        <f>VLOOKUP(YouTube_University_Data_Final[[#This Row],[Title]],[1]!YouTube_University_Data_Final[[Title]:[Title_language]],2,FALSE)</f>
        <v>Chinese</v>
      </c>
      <c r="E2609" t="s">
        <v>5332</v>
      </c>
      <c r="F2609">
        <v>27</v>
      </c>
      <c r="G2609" s="1">
        <v>41050</v>
      </c>
      <c r="H2609">
        <v>308</v>
      </c>
      <c r="I2609" t="s">
        <v>5333</v>
      </c>
      <c r="J2609">
        <v>120</v>
      </c>
      <c r="K2609">
        <v>0</v>
      </c>
      <c r="L2609">
        <v>0</v>
      </c>
      <c r="M2609">
        <v>0</v>
      </c>
      <c r="N2609" t="s">
        <v>81</v>
      </c>
      <c r="O2609">
        <v>2012</v>
      </c>
      <c r="P2609" t="s">
        <v>18</v>
      </c>
    </row>
    <row r="2610" spans="1:16" x14ac:dyDescent="0.3">
      <c r="A2610">
        <v>555</v>
      </c>
      <c r="B2610" t="s">
        <v>1921</v>
      </c>
      <c r="C2610" t="s">
        <v>2716</v>
      </c>
      <c r="D2610" t="str">
        <f>VLOOKUP(YouTube_University_Data_Final[[#This Row],[Title]],[1]!YouTube_University_Data_Final[[Title]:[Title_language]],2,FALSE)</f>
        <v>English</v>
      </c>
      <c r="E2610" t="s">
        <v>2717</v>
      </c>
      <c r="F2610">
        <v>27</v>
      </c>
      <c r="G2610" s="1">
        <v>41050</v>
      </c>
      <c r="H2610">
        <v>1206</v>
      </c>
      <c r="I2610" t="s">
        <v>2718</v>
      </c>
      <c r="J2610">
        <v>225</v>
      </c>
      <c r="K2610">
        <v>0</v>
      </c>
      <c r="L2610">
        <v>0</v>
      </c>
      <c r="M2610">
        <v>0</v>
      </c>
      <c r="N2610" t="s">
        <v>81</v>
      </c>
      <c r="O2610">
        <v>2012</v>
      </c>
      <c r="P2610" t="s">
        <v>18</v>
      </c>
    </row>
    <row r="2611" spans="1:16" x14ac:dyDescent="0.3">
      <c r="A2611">
        <v>556</v>
      </c>
      <c r="B2611" t="s">
        <v>1921</v>
      </c>
      <c r="C2611" t="s">
        <v>2716</v>
      </c>
      <c r="D2611" t="str">
        <f>VLOOKUP(YouTube_University_Data_Final[[#This Row],[Title]],[1]!YouTube_University_Data_Final[[Title]:[Title_language]],2,FALSE)</f>
        <v>English</v>
      </c>
      <c r="E2611" t="s">
        <v>2717</v>
      </c>
      <c r="F2611">
        <v>27</v>
      </c>
      <c r="G2611" s="1">
        <v>41050</v>
      </c>
      <c r="H2611">
        <v>1178</v>
      </c>
      <c r="I2611" t="s">
        <v>2718</v>
      </c>
      <c r="J2611">
        <v>79</v>
      </c>
      <c r="K2611">
        <v>0</v>
      </c>
      <c r="L2611">
        <v>0</v>
      </c>
      <c r="M2611">
        <v>0</v>
      </c>
      <c r="N2611" t="s">
        <v>81</v>
      </c>
      <c r="O2611">
        <v>2012</v>
      </c>
      <c r="P2611" t="s">
        <v>18</v>
      </c>
    </row>
    <row r="2612" spans="1:16" x14ac:dyDescent="0.3">
      <c r="A2612">
        <v>557</v>
      </c>
      <c r="B2612" t="s">
        <v>1921</v>
      </c>
      <c r="C2612" t="s">
        <v>2719</v>
      </c>
      <c r="D2612" t="str">
        <f>VLOOKUP(YouTube_University_Data_Final[[#This Row],[Title]],[1]!YouTube_University_Data_Final[[Title]:[Title_language]],2,FALSE)</f>
        <v>English</v>
      </c>
      <c r="E2612" t="s">
        <v>2720</v>
      </c>
      <c r="F2612">
        <v>27</v>
      </c>
      <c r="G2612" s="1">
        <v>41050</v>
      </c>
      <c r="H2612">
        <v>8</v>
      </c>
      <c r="I2612" t="s">
        <v>2721</v>
      </c>
      <c r="J2612">
        <v>238</v>
      </c>
      <c r="K2612">
        <v>0</v>
      </c>
      <c r="L2612">
        <v>0</v>
      </c>
      <c r="M2612">
        <v>0</v>
      </c>
      <c r="N2612" t="s">
        <v>81</v>
      </c>
      <c r="O2612">
        <v>2012</v>
      </c>
      <c r="P2612" t="s">
        <v>18</v>
      </c>
    </row>
    <row r="2613" spans="1:16" x14ac:dyDescent="0.3">
      <c r="A2613">
        <v>558</v>
      </c>
      <c r="B2613" t="s">
        <v>1921</v>
      </c>
      <c r="C2613" t="s">
        <v>2722</v>
      </c>
      <c r="D2613" t="str">
        <f>VLOOKUP(YouTube_University_Data_Final[[#This Row],[Title]],[1]!YouTube_University_Data_Final[[Title]:[Title_language]],2,FALSE)</f>
        <v>English</v>
      </c>
      <c r="E2613" t="s">
        <v>2723</v>
      </c>
      <c r="F2613">
        <v>27</v>
      </c>
      <c r="G2613" s="1">
        <v>41050</v>
      </c>
      <c r="H2613">
        <v>273</v>
      </c>
      <c r="I2613" t="s">
        <v>2724</v>
      </c>
      <c r="J2613">
        <v>4250</v>
      </c>
      <c r="K2613">
        <v>13</v>
      </c>
      <c r="L2613">
        <v>0</v>
      </c>
      <c r="M2613">
        <v>0</v>
      </c>
      <c r="N2613" t="s">
        <v>81</v>
      </c>
      <c r="O2613">
        <v>2012</v>
      </c>
      <c r="P2613" t="s">
        <v>18</v>
      </c>
    </row>
    <row r="2614" spans="1:16" x14ac:dyDescent="0.3">
      <c r="A2614">
        <v>559</v>
      </c>
      <c r="B2614" t="s">
        <v>1921</v>
      </c>
      <c r="C2614" t="s">
        <v>2725</v>
      </c>
      <c r="D2614" t="str">
        <f>VLOOKUP(YouTube_University_Data_Final[[#This Row],[Title]],[1]!YouTube_University_Data_Final[[Title]:[Title_language]],2,FALSE)</f>
        <v>English</v>
      </c>
      <c r="E2614" t="s">
        <v>2726</v>
      </c>
      <c r="F2614">
        <v>27</v>
      </c>
      <c r="G2614" s="1">
        <v>40974</v>
      </c>
      <c r="H2614">
        <v>268</v>
      </c>
      <c r="I2614" t="s">
        <v>2727</v>
      </c>
      <c r="J2614">
        <v>2573</v>
      </c>
      <c r="K2614">
        <v>2</v>
      </c>
      <c r="L2614">
        <v>0</v>
      </c>
      <c r="M2614">
        <v>0</v>
      </c>
      <c r="N2614" t="s">
        <v>90</v>
      </c>
      <c r="O2614">
        <v>2012</v>
      </c>
      <c r="P2614" t="s">
        <v>18</v>
      </c>
    </row>
    <row r="2615" spans="1:16" x14ac:dyDescent="0.3">
      <c r="A2615">
        <v>560</v>
      </c>
      <c r="B2615" t="s">
        <v>1921</v>
      </c>
      <c r="C2615" t="s">
        <v>2728</v>
      </c>
      <c r="D2615" t="str">
        <f>VLOOKUP(YouTube_University_Data_Final[[#This Row],[Title]],[1]!YouTube_University_Data_Final[[Title]:[Title_language]],2,FALSE)</f>
        <v>English</v>
      </c>
      <c r="E2615" t="s">
        <v>2729</v>
      </c>
      <c r="F2615">
        <v>27</v>
      </c>
      <c r="G2615" s="1">
        <v>40959</v>
      </c>
      <c r="H2615">
        <v>791</v>
      </c>
      <c r="I2615" t="s">
        <v>2730</v>
      </c>
      <c r="J2615">
        <v>511</v>
      </c>
      <c r="K2615">
        <v>0</v>
      </c>
      <c r="L2615">
        <v>0</v>
      </c>
      <c r="M2615">
        <v>0</v>
      </c>
      <c r="N2615" t="s">
        <v>162</v>
      </c>
      <c r="O2615">
        <v>2012</v>
      </c>
      <c r="P2615" t="s">
        <v>18</v>
      </c>
    </row>
    <row r="2616" spans="1:16" x14ac:dyDescent="0.3">
      <c r="A2616">
        <v>561</v>
      </c>
      <c r="B2616" t="s">
        <v>1921</v>
      </c>
      <c r="C2616" t="s">
        <v>2731</v>
      </c>
      <c r="D2616" t="str">
        <f>VLOOKUP(YouTube_University_Data_Final[[#This Row],[Title]],[1]!YouTube_University_Data_Final[[Title]:[Title_language]],2,FALSE)</f>
        <v>English</v>
      </c>
      <c r="E2616" t="s">
        <v>2732</v>
      </c>
      <c r="F2616">
        <v>27</v>
      </c>
      <c r="G2616" s="1">
        <v>40959</v>
      </c>
      <c r="H2616">
        <v>838</v>
      </c>
      <c r="I2616" t="s">
        <v>2733</v>
      </c>
      <c r="J2616">
        <v>11149</v>
      </c>
      <c r="K2616">
        <v>58</v>
      </c>
      <c r="L2616">
        <v>0</v>
      </c>
      <c r="M2616">
        <v>0</v>
      </c>
      <c r="N2616" t="s">
        <v>162</v>
      </c>
      <c r="O2616">
        <v>2012</v>
      </c>
      <c r="P2616" t="s">
        <v>18</v>
      </c>
    </row>
    <row r="2617" spans="1:16" x14ac:dyDescent="0.3">
      <c r="A2617">
        <v>562</v>
      </c>
      <c r="B2617" t="s">
        <v>1921</v>
      </c>
      <c r="C2617" t="s">
        <v>2734</v>
      </c>
      <c r="D2617" t="str">
        <f>VLOOKUP(YouTube_University_Data_Final[[#This Row],[Title]],[1]!YouTube_University_Data_Final[[Title]:[Title_language]],2,FALSE)</f>
        <v>English</v>
      </c>
      <c r="E2617" t="s">
        <v>2735</v>
      </c>
      <c r="F2617">
        <v>27</v>
      </c>
      <c r="G2617" s="1">
        <v>40947</v>
      </c>
      <c r="H2617">
        <v>1130</v>
      </c>
      <c r="I2617" t="s">
        <v>2736</v>
      </c>
      <c r="J2617">
        <v>417</v>
      </c>
      <c r="K2617">
        <v>1</v>
      </c>
      <c r="L2617">
        <v>0</v>
      </c>
      <c r="M2617">
        <v>0</v>
      </c>
      <c r="N2617" t="s">
        <v>162</v>
      </c>
      <c r="O2617">
        <v>2012</v>
      </c>
      <c r="P2617" t="s">
        <v>18</v>
      </c>
    </row>
    <row r="2618" spans="1:16" x14ac:dyDescent="0.3">
      <c r="A2618">
        <v>563</v>
      </c>
      <c r="B2618" t="s">
        <v>1921</v>
      </c>
      <c r="C2618" t="s">
        <v>2737</v>
      </c>
      <c r="D2618" t="str">
        <f>VLOOKUP(YouTube_University_Data_Final[[#This Row],[Title]],[1]!YouTube_University_Data_Final[[Title]:[Title_language]],2,FALSE)</f>
        <v>English</v>
      </c>
      <c r="E2618" t="s">
        <v>2738</v>
      </c>
      <c r="F2618">
        <v>27</v>
      </c>
      <c r="G2618" s="1">
        <v>40947</v>
      </c>
      <c r="H2618">
        <v>322</v>
      </c>
      <c r="I2618" t="s">
        <v>2739</v>
      </c>
      <c r="J2618">
        <v>377</v>
      </c>
      <c r="K2618">
        <v>0</v>
      </c>
      <c r="L2618">
        <v>0</v>
      </c>
      <c r="M2618">
        <v>0</v>
      </c>
      <c r="N2618" t="s">
        <v>162</v>
      </c>
      <c r="O2618">
        <v>2012</v>
      </c>
      <c r="P2618" t="s">
        <v>18</v>
      </c>
    </row>
    <row r="2619" spans="1:16" x14ac:dyDescent="0.3">
      <c r="A2619">
        <v>564</v>
      </c>
      <c r="B2619" t="s">
        <v>1921</v>
      </c>
      <c r="C2619" t="s">
        <v>2740</v>
      </c>
      <c r="D2619" t="str">
        <f>VLOOKUP(YouTube_University_Data_Final[[#This Row],[Title]],[1]!YouTube_University_Data_Final[[Title]:[Title_language]],2,FALSE)</f>
        <v>English</v>
      </c>
      <c r="E2619" t="s">
        <v>2741</v>
      </c>
      <c r="F2619">
        <v>27</v>
      </c>
      <c r="G2619" s="1">
        <v>40947</v>
      </c>
      <c r="H2619">
        <v>1506</v>
      </c>
      <c r="I2619" t="s">
        <v>2742</v>
      </c>
      <c r="J2619">
        <v>2143</v>
      </c>
      <c r="K2619">
        <v>20</v>
      </c>
      <c r="L2619">
        <v>0</v>
      </c>
      <c r="M2619">
        <v>0</v>
      </c>
      <c r="N2619" t="s">
        <v>162</v>
      </c>
      <c r="O2619">
        <v>2012</v>
      </c>
      <c r="P2619" t="s">
        <v>18</v>
      </c>
    </row>
    <row r="2620" spans="1:16" x14ac:dyDescent="0.3">
      <c r="A2620">
        <v>565</v>
      </c>
      <c r="B2620" t="s">
        <v>1921</v>
      </c>
      <c r="C2620" t="s">
        <v>2743</v>
      </c>
      <c r="D2620" t="str">
        <f>VLOOKUP(YouTube_University_Data_Final[[#This Row],[Title]],[1]!YouTube_University_Data_Final[[Title]:[Title_language]],2,FALSE)</f>
        <v>English</v>
      </c>
      <c r="E2620" t="s">
        <v>2744</v>
      </c>
      <c r="F2620">
        <v>27</v>
      </c>
      <c r="G2620" s="1">
        <v>40947</v>
      </c>
      <c r="H2620">
        <v>157</v>
      </c>
      <c r="I2620" t="s">
        <v>2745</v>
      </c>
      <c r="J2620">
        <v>552</v>
      </c>
      <c r="K2620">
        <v>1</v>
      </c>
      <c r="L2620">
        <v>0</v>
      </c>
      <c r="M2620">
        <v>0</v>
      </c>
      <c r="N2620" t="s">
        <v>162</v>
      </c>
      <c r="O2620">
        <v>2012</v>
      </c>
      <c r="P2620" t="s">
        <v>18</v>
      </c>
    </row>
    <row r="2621" spans="1:16" x14ac:dyDescent="0.3">
      <c r="A2621">
        <v>566</v>
      </c>
      <c r="B2621" t="s">
        <v>1921</v>
      </c>
      <c r="C2621" t="s">
        <v>2746</v>
      </c>
      <c r="D2621" t="str">
        <f>VLOOKUP(YouTube_University_Data_Final[[#This Row],[Title]],[1]!YouTube_University_Data_Final[[Title]:[Title_language]],2,FALSE)</f>
        <v>English</v>
      </c>
      <c r="E2621" t="s">
        <v>2747</v>
      </c>
      <c r="F2621">
        <v>27</v>
      </c>
      <c r="G2621" s="1">
        <v>40939</v>
      </c>
      <c r="H2621">
        <v>623</v>
      </c>
      <c r="I2621" t="s">
        <v>2748</v>
      </c>
      <c r="J2621">
        <v>881</v>
      </c>
      <c r="K2621">
        <v>0</v>
      </c>
      <c r="L2621">
        <v>0</v>
      </c>
      <c r="M2621">
        <v>0</v>
      </c>
      <c r="N2621" t="s">
        <v>93</v>
      </c>
      <c r="O2621">
        <v>2012</v>
      </c>
      <c r="P2621" t="s">
        <v>18</v>
      </c>
    </row>
    <row r="2622" spans="1:16" x14ac:dyDescent="0.3">
      <c r="A2622">
        <v>567</v>
      </c>
      <c r="B2622" t="s">
        <v>1921</v>
      </c>
      <c r="C2622" t="s">
        <v>2749</v>
      </c>
      <c r="D2622" t="str">
        <f>VLOOKUP(YouTube_University_Data_Final[[#This Row],[Title]],[1]!YouTube_University_Data_Final[[Title]:[Title_language]],2,FALSE)</f>
        <v>English</v>
      </c>
      <c r="E2622" t="s">
        <v>2750</v>
      </c>
      <c r="F2622">
        <v>27</v>
      </c>
      <c r="G2622" s="1">
        <v>40939</v>
      </c>
      <c r="H2622">
        <v>59</v>
      </c>
      <c r="I2622" t="s">
        <v>2751</v>
      </c>
      <c r="J2622">
        <v>2072</v>
      </c>
      <c r="K2622">
        <v>1</v>
      </c>
      <c r="L2622">
        <v>0</v>
      </c>
      <c r="M2622">
        <v>0</v>
      </c>
      <c r="N2622" t="s">
        <v>93</v>
      </c>
      <c r="O2622">
        <v>2012</v>
      </c>
      <c r="P2622" t="s">
        <v>18</v>
      </c>
    </row>
    <row r="2623" spans="1:16" x14ac:dyDescent="0.3">
      <c r="A2623">
        <v>568</v>
      </c>
      <c r="B2623" t="s">
        <v>1921</v>
      </c>
      <c r="C2623" t="s">
        <v>2746</v>
      </c>
      <c r="D2623" t="str">
        <f>VLOOKUP(YouTube_University_Data_Final[[#This Row],[Title]],[1]!YouTube_University_Data_Final[[Title]:[Title_language]],2,FALSE)</f>
        <v>English</v>
      </c>
      <c r="E2623" t="s">
        <v>2747</v>
      </c>
      <c r="F2623">
        <v>27</v>
      </c>
      <c r="G2623" s="1">
        <v>40927</v>
      </c>
      <c r="H2623">
        <v>661</v>
      </c>
      <c r="I2623" t="s">
        <v>2752</v>
      </c>
      <c r="J2623">
        <v>855</v>
      </c>
      <c r="K2623">
        <v>0</v>
      </c>
      <c r="L2623">
        <v>0</v>
      </c>
      <c r="M2623">
        <v>0</v>
      </c>
      <c r="N2623" t="s">
        <v>93</v>
      </c>
      <c r="O2623">
        <v>2012</v>
      </c>
      <c r="P2623" t="s">
        <v>18</v>
      </c>
    </row>
    <row r="2624" spans="1:16" x14ac:dyDescent="0.3">
      <c r="A2624">
        <v>569</v>
      </c>
      <c r="B2624" t="s">
        <v>1921</v>
      </c>
      <c r="C2624" t="s">
        <v>2753</v>
      </c>
      <c r="D2624" t="str">
        <f>VLOOKUP(YouTube_University_Data_Final[[#This Row],[Title]],[1]!YouTube_University_Data_Final[[Title]:[Title_language]],2,FALSE)</f>
        <v>English</v>
      </c>
      <c r="E2624" t="s">
        <v>2754</v>
      </c>
      <c r="F2624">
        <v>27</v>
      </c>
      <c r="G2624" s="1">
        <v>40905</v>
      </c>
      <c r="H2624">
        <v>1337</v>
      </c>
      <c r="I2624" t="s">
        <v>2755</v>
      </c>
      <c r="J2624">
        <v>8968</v>
      </c>
      <c r="K2624">
        <v>51</v>
      </c>
      <c r="L2624">
        <v>0</v>
      </c>
      <c r="M2624">
        <v>0</v>
      </c>
      <c r="N2624" t="s">
        <v>98</v>
      </c>
      <c r="O2624">
        <v>2011</v>
      </c>
      <c r="P2624" t="s">
        <v>18</v>
      </c>
    </row>
    <row r="2625" spans="1:16" x14ac:dyDescent="0.3">
      <c r="A2625">
        <v>570</v>
      </c>
      <c r="B2625" t="s">
        <v>1921</v>
      </c>
      <c r="C2625" t="s">
        <v>2756</v>
      </c>
      <c r="D2625" t="str">
        <f>VLOOKUP(YouTube_University_Data_Final[[#This Row],[Title]],[1]!YouTube_University_Data_Final[[Title]:[Title_language]],2,FALSE)</f>
        <v>English</v>
      </c>
      <c r="E2625" t="s">
        <v>2757</v>
      </c>
      <c r="F2625">
        <v>27</v>
      </c>
      <c r="G2625" s="1">
        <v>40905</v>
      </c>
      <c r="H2625">
        <v>1112</v>
      </c>
      <c r="I2625" t="s">
        <v>2758</v>
      </c>
      <c r="J2625">
        <v>53590</v>
      </c>
      <c r="K2625">
        <v>262</v>
      </c>
      <c r="L2625">
        <v>0</v>
      </c>
      <c r="M2625">
        <v>0</v>
      </c>
      <c r="N2625" t="s">
        <v>98</v>
      </c>
      <c r="O2625">
        <v>2011</v>
      </c>
      <c r="P2625" t="s">
        <v>18</v>
      </c>
    </row>
    <row r="2626" spans="1:16" x14ac:dyDescent="0.3">
      <c r="A2626">
        <v>571</v>
      </c>
      <c r="B2626" t="s">
        <v>1921</v>
      </c>
      <c r="C2626" t="s">
        <v>2759</v>
      </c>
      <c r="D2626" t="str">
        <f>VLOOKUP(YouTube_University_Data_Final[[#This Row],[Title]],[1]!YouTube_University_Data_Final[[Title]:[Title_language]],2,FALSE)</f>
        <v>English</v>
      </c>
      <c r="E2626" t="s">
        <v>2760</v>
      </c>
      <c r="F2626">
        <v>27</v>
      </c>
      <c r="G2626" s="1">
        <v>40905</v>
      </c>
      <c r="H2626">
        <v>992</v>
      </c>
      <c r="I2626" t="s">
        <v>2761</v>
      </c>
      <c r="J2626">
        <v>6075</v>
      </c>
      <c r="K2626">
        <v>26</v>
      </c>
      <c r="L2626">
        <v>0</v>
      </c>
      <c r="M2626">
        <v>0</v>
      </c>
      <c r="N2626" t="s">
        <v>98</v>
      </c>
      <c r="O2626">
        <v>2011</v>
      </c>
      <c r="P2626" t="s">
        <v>18</v>
      </c>
    </row>
    <row r="2627" spans="1:16" x14ac:dyDescent="0.3">
      <c r="A2627">
        <v>572</v>
      </c>
      <c r="B2627" t="s">
        <v>1921</v>
      </c>
      <c r="C2627" t="s">
        <v>2762</v>
      </c>
      <c r="D2627" t="str">
        <f>VLOOKUP(YouTube_University_Data_Final[[#This Row],[Title]],[1]!YouTube_University_Data_Final[[Title]:[Title_language]],2,FALSE)</f>
        <v>English</v>
      </c>
      <c r="E2627" t="s">
        <v>2763</v>
      </c>
      <c r="F2627">
        <v>27</v>
      </c>
      <c r="G2627" s="1">
        <v>40878</v>
      </c>
      <c r="H2627">
        <v>104</v>
      </c>
      <c r="I2627" t="s">
        <v>2764</v>
      </c>
      <c r="J2627">
        <v>663</v>
      </c>
      <c r="K2627">
        <v>0</v>
      </c>
      <c r="L2627">
        <v>0</v>
      </c>
      <c r="M2627">
        <v>0</v>
      </c>
      <c r="N2627" t="s">
        <v>98</v>
      </c>
      <c r="O2627">
        <v>2011</v>
      </c>
      <c r="P2627" t="s">
        <v>18</v>
      </c>
    </row>
    <row r="2628" spans="1:16" x14ac:dyDescent="0.3">
      <c r="A2628">
        <v>573</v>
      </c>
      <c r="B2628" t="s">
        <v>1921</v>
      </c>
      <c r="C2628" t="s">
        <v>2765</v>
      </c>
      <c r="D2628" t="str">
        <f>VLOOKUP(YouTube_University_Data_Final[[#This Row],[Title]],[1]!YouTube_University_Data_Final[[Title]:[Title_language]],2,FALSE)</f>
        <v>English</v>
      </c>
      <c r="E2628" t="s">
        <v>2766</v>
      </c>
      <c r="F2628">
        <v>27</v>
      </c>
      <c r="G2628" s="1">
        <v>40865</v>
      </c>
      <c r="H2628">
        <v>360</v>
      </c>
      <c r="I2628" t="s">
        <v>2767</v>
      </c>
      <c r="J2628">
        <v>12917</v>
      </c>
      <c r="K2628">
        <v>33</v>
      </c>
      <c r="L2628">
        <v>0</v>
      </c>
      <c r="M2628">
        <v>0</v>
      </c>
      <c r="N2628" t="s">
        <v>101</v>
      </c>
      <c r="O2628">
        <v>2011</v>
      </c>
      <c r="P2628" t="s">
        <v>18</v>
      </c>
    </row>
    <row r="2629" spans="1:16" x14ac:dyDescent="0.3">
      <c r="A2629">
        <v>574</v>
      </c>
      <c r="B2629" t="s">
        <v>1921</v>
      </c>
      <c r="C2629" t="s">
        <v>2768</v>
      </c>
      <c r="D2629" t="str">
        <f>VLOOKUP(YouTube_University_Data_Final[[#This Row],[Title]],[1]!YouTube_University_Data_Final[[Title]:[Title_language]],2,FALSE)</f>
        <v>English</v>
      </c>
      <c r="E2629" t="s">
        <v>2769</v>
      </c>
      <c r="F2629">
        <v>27</v>
      </c>
      <c r="G2629" s="1">
        <v>40864</v>
      </c>
      <c r="H2629">
        <v>568</v>
      </c>
      <c r="I2629" t="s">
        <v>2770</v>
      </c>
      <c r="J2629">
        <v>301</v>
      </c>
      <c r="K2629">
        <v>0</v>
      </c>
      <c r="L2629">
        <v>0</v>
      </c>
      <c r="M2629">
        <v>0</v>
      </c>
      <c r="N2629" t="s">
        <v>101</v>
      </c>
      <c r="O2629">
        <v>2011</v>
      </c>
      <c r="P2629" t="s">
        <v>18</v>
      </c>
    </row>
    <row r="2630" spans="1:16" x14ac:dyDescent="0.3">
      <c r="A2630">
        <v>575</v>
      </c>
      <c r="B2630" t="s">
        <v>1921</v>
      </c>
      <c r="C2630" t="s">
        <v>2771</v>
      </c>
      <c r="D2630" t="str">
        <f>VLOOKUP(YouTube_University_Data_Final[[#This Row],[Title]],[1]!YouTube_University_Data_Final[[Title]:[Title_language]],2,FALSE)</f>
        <v>English</v>
      </c>
      <c r="E2630" t="s">
        <v>2772</v>
      </c>
      <c r="F2630">
        <v>27</v>
      </c>
      <c r="G2630" s="1">
        <v>40864</v>
      </c>
      <c r="H2630">
        <v>235</v>
      </c>
      <c r="I2630" t="s">
        <v>2773</v>
      </c>
      <c r="J2630">
        <v>16124</v>
      </c>
      <c r="K2630">
        <v>73</v>
      </c>
      <c r="L2630">
        <v>0</v>
      </c>
      <c r="M2630">
        <v>0</v>
      </c>
      <c r="N2630" t="s">
        <v>101</v>
      </c>
      <c r="O2630">
        <v>2011</v>
      </c>
      <c r="P2630" t="s">
        <v>18</v>
      </c>
    </row>
    <row r="2631" spans="1:16" x14ac:dyDescent="0.3">
      <c r="A2631">
        <v>576</v>
      </c>
      <c r="B2631" t="s">
        <v>1921</v>
      </c>
      <c r="C2631" t="s">
        <v>2774</v>
      </c>
      <c r="D2631" t="str">
        <f>VLOOKUP(YouTube_University_Data_Final[[#This Row],[Title]],[1]!YouTube_University_Data_Final[[Title]:[Title_language]],2,FALSE)</f>
        <v>English</v>
      </c>
      <c r="E2631" t="s">
        <v>2775</v>
      </c>
      <c r="F2631">
        <v>27</v>
      </c>
      <c r="G2631" s="1">
        <v>40848</v>
      </c>
      <c r="H2631">
        <v>251</v>
      </c>
      <c r="I2631" t="s">
        <v>2776</v>
      </c>
      <c r="J2631">
        <v>689</v>
      </c>
      <c r="K2631">
        <v>0</v>
      </c>
      <c r="L2631">
        <v>0</v>
      </c>
      <c r="M2631">
        <v>0</v>
      </c>
      <c r="N2631" t="s">
        <v>101</v>
      </c>
      <c r="O2631">
        <v>2011</v>
      </c>
      <c r="P2631" t="s">
        <v>18</v>
      </c>
    </row>
    <row r="2632" spans="1:16" x14ac:dyDescent="0.3">
      <c r="A2632">
        <v>577</v>
      </c>
      <c r="B2632" t="s">
        <v>1921</v>
      </c>
      <c r="C2632" t="s">
        <v>2777</v>
      </c>
      <c r="D2632" t="str">
        <f>VLOOKUP(YouTube_University_Data_Final[[#This Row],[Title]],[1]!YouTube_University_Data_Final[[Title]:[Title_language]],2,FALSE)</f>
        <v>English</v>
      </c>
      <c r="E2632" t="s">
        <v>2778</v>
      </c>
      <c r="F2632">
        <v>27</v>
      </c>
      <c r="G2632" s="1">
        <v>40848</v>
      </c>
      <c r="H2632">
        <v>272</v>
      </c>
      <c r="I2632" t="s">
        <v>2776</v>
      </c>
      <c r="J2632">
        <v>263</v>
      </c>
      <c r="K2632">
        <v>0</v>
      </c>
      <c r="L2632">
        <v>0</v>
      </c>
      <c r="M2632">
        <v>0</v>
      </c>
      <c r="N2632" t="s">
        <v>101</v>
      </c>
      <c r="O2632">
        <v>2011</v>
      </c>
      <c r="P2632" t="s">
        <v>18</v>
      </c>
    </row>
    <row r="2633" spans="1:16" x14ac:dyDescent="0.3">
      <c r="A2633">
        <v>578</v>
      </c>
      <c r="B2633" t="s">
        <v>1921</v>
      </c>
      <c r="C2633" t="s">
        <v>2779</v>
      </c>
      <c r="D2633" t="str">
        <f>VLOOKUP(YouTube_University_Data_Final[[#This Row],[Title]],[1]!YouTube_University_Data_Final[[Title]:[Title_language]],2,FALSE)</f>
        <v>English</v>
      </c>
      <c r="E2633" t="s">
        <v>2780</v>
      </c>
      <c r="F2633">
        <v>27</v>
      </c>
      <c r="G2633" s="1">
        <v>40816</v>
      </c>
      <c r="H2633">
        <v>806</v>
      </c>
      <c r="I2633" t="s">
        <v>2781</v>
      </c>
      <c r="J2633">
        <v>786</v>
      </c>
      <c r="K2633">
        <v>0</v>
      </c>
      <c r="L2633">
        <v>0</v>
      </c>
      <c r="M2633">
        <v>0</v>
      </c>
      <c r="N2633" t="s">
        <v>21</v>
      </c>
      <c r="O2633">
        <v>2011</v>
      </c>
      <c r="P2633" t="s">
        <v>18</v>
      </c>
    </row>
    <row r="2634" spans="1:16" x14ac:dyDescent="0.3">
      <c r="A2634">
        <v>579</v>
      </c>
      <c r="B2634" t="s">
        <v>1921</v>
      </c>
      <c r="C2634" t="s">
        <v>5334</v>
      </c>
      <c r="D2634" t="str">
        <f>VLOOKUP(YouTube_University_Data_Final[[#This Row],[Title]],[1]!YouTube_University_Data_Final[[Title]:[Title_language]],2,FALSE)</f>
        <v>Chinese</v>
      </c>
      <c r="E2634" t="s">
        <v>5335</v>
      </c>
      <c r="F2634">
        <v>27</v>
      </c>
      <c r="G2634" s="1">
        <v>40807</v>
      </c>
      <c r="H2634">
        <v>266</v>
      </c>
      <c r="I2634" t="s">
        <v>5336</v>
      </c>
      <c r="J2634">
        <v>1035</v>
      </c>
      <c r="K2634">
        <v>0</v>
      </c>
      <c r="L2634">
        <v>0</v>
      </c>
      <c r="M2634">
        <v>0</v>
      </c>
      <c r="N2634" t="s">
        <v>21</v>
      </c>
      <c r="O2634">
        <v>2011</v>
      </c>
      <c r="P2634" t="s">
        <v>18</v>
      </c>
    </row>
    <row r="2635" spans="1:16" x14ac:dyDescent="0.3">
      <c r="A2635">
        <v>580</v>
      </c>
      <c r="B2635" t="s">
        <v>1921</v>
      </c>
      <c r="C2635" t="s">
        <v>1962</v>
      </c>
      <c r="D2635" t="str">
        <f>VLOOKUP(YouTube_University_Data_Final[[#This Row],[Title]],[1]!YouTube_University_Data_Final[[Title]:[Title_language]],2,FALSE)</f>
        <v>English</v>
      </c>
      <c r="E2635" t="s">
        <v>2782</v>
      </c>
      <c r="F2635">
        <v>27</v>
      </c>
      <c r="G2635" s="1">
        <v>40795</v>
      </c>
      <c r="H2635">
        <v>127</v>
      </c>
      <c r="I2635" t="s">
        <v>2783</v>
      </c>
      <c r="J2635">
        <v>412</v>
      </c>
      <c r="K2635">
        <v>0</v>
      </c>
      <c r="L2635">
        <v>0</v>
      </c>
      <c r="M2635">
        <v>0</v>
      </c>
      <c r="N2635" t="s">
        <v>21</v>
      </c>
      <c r="O2635">
        <v>2011</v>
      </c>
      <c r="P2635" t="s">
        <v>18</v>
      </c>
    </row>
    <row r="2636" spans="1:16" x14ac:dyDescent="0.3">
      <c r="A2636">
        <v>581</v>
      </c>
      <c r="B2636" t="s">
        <v>1921</v>
      </c>
      <c r="C2636" t="s">
        <v>2784</v>
      </c>
      <c r="D2636" t="str">
        <f>VLOOKUP(YouTube_University_Data_Final[[#This Row],[Title]],[1]!YouTube_University_Data_Final[[Title]:[Title_language]],2,FALSE)</f>
        <v>English</v>
      </c>
      <c r="E2636" t="s">
        <v>2785</v>
      </c>
      <c r="F2636">
        <v>27</v>
      </c>
      <c r="G2636" s="1">
        <v>40794</v>
      </c>
      <c r="H2636">
        <v>73</v>
      </c>
      <c r="I2636" t="s">
        <v>2786</v>
      </c>
      <c r="J2636">
        <v>759</v>
      </c>
      <c r="K2636">
        <v>0</v>
      </c>
      <c r="L2636">
        <v>0</v>
      </c>
      <c r="M2636">
        <v>0</v>
      </c>
      <c r="N2636" t="s">
        <v>21</v>
      </c>
      <c r="O2636">
        <v>2011</v>
      </c>
      <c r="P2636" t="s">
        <v>18</v>
      </c>
    </row>
    <row r="2637" spans="1:16" x14ac:dyDescent="0.3">
      <c r="A2637">
        <v>582</v>
      </c>
      <c r="B2637" t="s">
        <v>1921</v>
      </c>
      <c r="C2637" t="s">
        <v>2787</v>
      </c>
      <c r="D2637" t="str">
        <f>VLOOKUP(YouTube_University_Data_Final[[#This Row],[Title]],[1]!YouTube_University_Data_Final[[Title]:[Title_language]],2,FALSE)</f>
        <v>English</v>
      </c>
      <c r="E2637" t="s">
        <v>2788</v>
      </c>
      <c r="F2637">
        <v>27</v>
      </c>
      <c r="G2637" s="1">
        <v>40758</v>
      </c>
      <c r="H2637">
        <v>229</v>
      </c>
      <c r="I2637" t="s">
        <v>2789</v>
      </c>
      <c r="J2637">
        <v>3416</v>
      </c>
      <c r="K2637">
        <v>0</v>
      </c>
      <c r="L2637">
        <v>0</v>
      </c>
      <c r="M2637">
        <v>0</v>
      </c>
      <c r="N2637" t="s">
        <v>48</v>
      </c>
      <c r="O2637">
        <v>2011</v>
      </c>
      <c r="P2637" t="s">
        <v>18</v>
      </c>
    </row>
    <row r="2638" spans="1:16" x14ac:dyDescent="0.3">
      <c r="A2638">
        <v>583</v>
      </c>
      <c r="B2638" t="s">
        <v>1921</v>
      </c>
      <c r="C2638" t="s">
        <v>2790</v>
      </c>
      <c r="D2638" t="str">
        <f>VLOOKUP(YouTube_University_Data_Final[[#This Row],[Title]],[1]!YouTube_University_Data_Final[[Title]:[Title_language]],2,FALSE)</f>
        <v>English</v>
      </c>
      <c r="E2638" t="s">
        <v>2791</v>
      </c>
      <c r="F2638">
        <v>27</v>
      </c>
      <c r="G2638" s="1">
        <v>40757</v>
      </c>
      <c r="H2638">
        <v>322</v>
      </c>
      <c r="I2638" t="s">
        <v>2792</v>
      </c>
      <c r="J2638">
        <v>3373</v>
      </c>
      <c r="K2638">
        <v>0</v>
      </c>
      <c r="L2638">
        <v>0</v>
      </c>
      <c r="M2638">
        <v>0</v>
      </c>
      <c r="N2638" t="s">
        <v>48</v>
      </c>
      <c r="O2638">
        <v>2011</v>
      </c>
      <c r="P2638" t="s">
        <v>18</v>
      </c>
    </row>
    <row r="2639" spans="1:16" x14ac:dyDescent="0.3">
      <c r="A2639">
        <v>584</v>
      </c>
      <c r="B2639" t="s">
        <v>1921</v>
      </c>
      <c r="C2639" t="s">
        <v>2777</v>
      </c>
      <c r="D2639" t="str">
        <f>VLOOKUP(YouTube_University_Data_Final[[#This Row],[Title]],[1]!YouTube_University_Data_Final[[Title]:[Title_language]],2,FALSE)</f>
        <v>English</v>
      </c>
      <c r="E2639" t="s">
        <v>2778</v>
      </c>
      <c r="F2639">
        <v>27</v>
      </c>
      <c r="G2639" s="1">
        <v>40715</v>
      </c>
      <c r="H2639">
        <v>85</v>
      </c>
      <c r="I2639" t="s">
        <v>2776</v>
      </c>
      <c r="J2639">
        <v>1037</v>
      </c>
      <c r="K2639">
        <v>0</v>
      </c>
      <c r="L2639">
        <v>0</v>
      </c>
      <c r="M2639">
        <v>0</v>
      </c>
      <c r="N2639" t="s">
        <v>78</v>
      </c>
      <c r="O2639">
        <v>2011</v>
      </c>
      <c r="P2639" t="s">
        <v>18</v>
      </c>
    </row>
    <row r="2640" spans="1:16" x14ac:dyDescent="0.3">
      <c r="A2640">
        <v>585</v>
      </c>
      <c r="B2640" t="s">
        <v>1921</v>
      </c>
      <c r="C2640" t="s">
        <v>2793</v>
      </c>
      <c r="D2640" t="str">
        <f>VLOOKUP(YouTube_University_Data_Final[[#This Row],[Title]],[1]!YouTube_University_Data_Final[[Title]:[Title_language]],2,FALSE)</f>
        <v>English</v>
      </c>
      <c r="E2640" t="s">
        <v>2794</v>
      </c>
      <c r="F2640">
        <v>27</v>
      </c>
      <c r="G2640" s="1">
        <v>40689</v>
      </c>
      <c r="H2640">
        <v>286</v>
      </c>
      <c r="I2640" t="s">
        <v>2795</v>
      </c>
      <c r="J2640">
        <v>198</v>
      </c>
      <c r="K2640">
        <v>0</v>
      </c>
      <c r="L2640">
        <v>0</v>
      </c>
      <c r="M2640">
        <v>0</v>
      </c>
      <c r="N2640" t="s">
        <v>81</v>
      </c>
      <c r="O2640">
        <v>2011</v>
      </c>
      <c r="P2640" t="s">
        <v>18</v>
      </c>
    </row>
    <row r="2641" spans="1:16" x14ac:dyDescent="0.3">
      <c r="A2641">
        <v>586</v>
      </c>
      <c r="B2641" t="s">
        <v>1921</v>
      </c>
      <c r="C2641" t="s">
        <v>2796</v>
      </c>
      <c r="D2641" t="str">
        <f>VLOOKUP(YouTube_University_Data_Final[[#This Row],[Title]],[1]!YouTube_University_Data_Final[[Title]:[Title_language]],2,FALSE)</f>
        <v>English</v>
      </c>
      <c r="E2641" t="s">
        <v>2797</v>
      </c>
      <c r="F2641">
        <v>27</v>
      </c>
      <c r="G2641" s="1">
        <v>40689</v>
      </c>
      <c r="H2641">
        <v>1087</v>
      </c>
      <c r="I2641" t="s">
        <v>2798</v>
      </c>
      <c r="J2641">
        <v>1329</v>
      </c>
      <c r="K2641">
        <v>0</v>
      </c>
      <c r="L2641">
        <v>0</v>
      </c>
      <c r="M2641">
        <v>0</v>
      </c>
      <c r="N2641" t="s">
        <v>81</v>
      </c>
      <c r="O2641">
        <v>2011</v>
      </c>
      <c r="P2641" t="s">
        <v>18</v>
      </c>
    </row>
    <row r="2642" spans="1:16" x14ac:dyDescent="0.3">
      <c r="A2642">
        <v>587</v>
      </c>
      <c r="B2642" t="s">
        <v>1921</v>
      </c>
      <c r="C2642" t="s">
        <v>2799</v>
      </c>
      <c r="D2642" t="str">
        <f>VLOOKUP(YouTube_University_Data_Final[[#This Row],[Title]],[1]!YouTube_University_Data_Final[[Title]:[Title_language]],2,FALSE)</f>
        <v>English</v>
      </c>
      <c r="E2642" t="s">
        <v>2800</v>
      </c>
      <c r="F2642">
        <v>27</v>
      </c>
      <c r="G2642" s="1">
        <v>40689</v>
      </c>
      <c r="H2642">
        <v>1268</v>
      </c>
      <c r="I2642" t="s">
        <v>2801</v>
      </c>
      <c r="J2642">
        <v>2033</v>
      </c>
      <c r="K2642">
        <v>0</v>
      </c>
      <c r="L2642">
        <v>0</v>
      </c>
      <c r="M2642">
        <v>0</v>
      </c>
      <c r="N2642" t="s">
        <v>81</v>
      </c>
      <c r="O2642">
        <v>2011</v>
      </c>
      <c r="P2642" t="s">
        <v>18</v>
      </c>
    </row>
    <row r="2643" spans="1:16" x14ac:dyDescent="0.3">
      <c r="A2643">
        <v>588</v>
      </c>
      <c r="B2643" t="s">
        <v>1921</v>
      </c>
      <c r="C2643" t="s">
        <v>2802</v>
      </c>
      <c r="D2643" t="str">
        <f>VLOOKUP(YouTube_University_Data_Final[[#This Row],[Title]],[1]!YouTube_University_Data_Final[[Title]:[Title_language]],2,FALSE)</f>
        <v>English</v>
      </c>
      <c r="E2643" t="s">
        <v>2803</v>
      </c>
      <c r="F2643">
        <v>27</v>
      </c>
      <c r="G2643" s="1">
        <v>40666</v>
      </c>
      <c r="H2643">
        <v>2511</v>
      </c>
      <c r="I2643" t="s">
        <v>2804</v>
      </c>
      <c r="J2643">
        <v>305</v>
      </c>
      <c r="K2643">
        <v>0</v>
      </c>
      <c r="L2643">
        <v>0</v>
      </c>
      <c r="M2643">
        <v>0</v>
      </c>
      <c r="N2643" t="s">
        <v>81</v>
      </c>
      <c r="O2643">
        <v>2011</v>
      </c>
      <c r="P2643" t="s">
        <v>18</v>
      </c>
    </row>
    <row r="2644" spans="1:16" x14ac:dyDescent="0.3">
      <c r="A2644">
        <v>589</v>
      </c>
      <c r="B2644" t="s">
        <v>1921</v>
      </c>
      <c r="C2644" t="s">
        <v>2805</v>
      </c>
      <c r="D2644" t="str">
        <f>VLOOKUP(YouTube_University_Data_Final[[#This Row],[Title]],[1]!YouTube_University_Data_Final[[Title]:[Title_language]],2,FALSE)</f>
        <v>English</v>
      </c>
      <c r="E2644" t="s">
        <v>2806</v>
      </c>
      <c r="F2644">
        <v>1</v>
      </c>
      <c r="G2644" s="1">
        <v>40662</v>
      </c>
      <c r="H2644">
        <v>66</v>
      </c>
      <c r="I2644" t="s">
        <v>2807</v>
      </c>
      <c r="J2644">
        <v>396</v>
      </c>
      <c r="K2644">
        <v>1</v>
      </c>
      <c r="L2644">
        <v>0</v>
      </c>
      <c r="M2644">
        <v>0</v>
      </c>
      <c r="N2644" t="s">
        <v>87</v>
      </c>
      <c r="O2644">
        <v>2011</v>
      </c>
      <c r="P2644" t="s">
        <v>1415</v>
      </c>
    </row>
    <row r="2645" spans="1:16" x14ac:dyDescent="0.3">
      <c r="A2645">
        <v>590</v>
      </c>
      <c r="B2645" t="s">
        <v>1921</v>
      </c>
      <c r="C2645" t="s">
        <v>2808</v>
      </c>
      <c r="D2645" t="str">
        <f>VLOOKUP(YouTube_University_Data_Final[[#This Row],[Title]],[1]!YouTube_University_Data_Final[[Title]:[Title_language]],2,FALSE)</f>
        <v>English</v>
      </c>
      <c r="E2645" t="s">
        <v>2809</v>
      </c>
      <c r="F2645">
        <v>27</v>
      </c>
      <c r="G2645" s="1">
        <v>40662</v>
      </c>
      <c r="H2645">
        <v>709</v>
      </c>
      <c r="I2645" t="s">
        <v>2810</v>
      </c>
      <c r="J2645">
        <v>719</v>
      </c>
      <c r="K2645">
        <v>0</v>
      </c>
      <c r="L2645">
        <v>0</v>
      </c>
      <c r="M2645">
        <v>0</v>
      </c>
      <c r="N2645" t="s">
        <v>87</v>
      </c>
      <c r="O2645">
        <v>2011</v>
      </c>
      <c r="P2645" t="s">
        <v>18</v>
      </c>
    </row>
    <row r="2646" spans="1:16" x14ac:dyDescent="0.3">
      <c r="A2646">
        <v>591</v>
      </c>
      <c r="B2646" t="s">
        <v>1921</v>
      </c>
      <c r="C2646" t="s">
        <v>2811</v>
      </c>
      <c r="D2646" t="str">
        <f>VLOOKUP(YouTube_University_Data_Final[[#This Row],[Title]],[1]!YouTube_University_Data_Final[[Title]:[Title_language]],2,FALSE)</f>
        <v>English</v>
      </c>
      <c r="E2646" t="s">
        <v>2803</v>
      </c>
      <c r="F2646">
        <v>28</v>
      </c>
      <c r="G2646" s="1">
        <v>40630</v>
      </c>
      <c r="H2646">
        <v>1833</v>
      </c>
      <c r="I2646" t="s">
        <v>2812</v>
      </c>
      <c r="J2646">
        <v>762</v>
      </c>
      <c r="K2646">
        <v>0</v>
      </c>
      <c r="L2646">
        <v>0</v>
      </c>
      <c r="M2646">
        <v>0</v>
      </c>
      <c r="N2646" t="s">
        <v>90</v>
      </c>
      <c r="O2646">
        <v>2011</v>
      </c>
      <c r="P2646" t="s">
        <v>480</v>
      </c>
    </row>
    <row r="2647" spans="1:16" x14ac:dyDescent="0.3">
      <c r="A2647">
        <v>592</v>
      </c>
      <c r="B2647" t="s">
        <v>1921</v>
      </c>
      <c r="C2647" t="s">
        <v>2813</v>
      </c>
      <c r="D2647" t="str">
        <f>VLOOKUP(YouTube_University_Data_Final[[#This Row],[Title]],[1]!YouTube_University_Data_Final[[Title]:[Title_language]],2,FALSE)</f>
        <v>English</v>
      </c>
      <c r="E2647" t="s">
        <v>2803</v>
      </c>
      <c r="F2647">
        <v>28</v>
      </c>
      <c r="G2647" s="1">
        <v>40630</v>
      </c>
      <c r="H2647">
        <v>578</v>
      </c>
      <c r="I2647" t="s">
        <v>2812</v>
      </c>
      <c r="J2647">
        <v>1055</v>
      </c>
      <c r="K2647">
        <v>0</v>
      </c>
      <c r="L2647">
        <v>0</v>
      </c>
      <c r="M2647">
        <v>0</v>
      </c>
      <c r="N2647" t="s">
        <v>90</v>
      </c>
      <c r="O2647">
        <v>2011</v>
      </c>
      <c r="P2647" t="s">
        <v>480</v>
      </c>
    </row>
    <row r="2648" spans="1:16" x14ac:dyDescent="0.3">
      <c r="A2648">
        <v>593</v>
      </c>
      <c r="B2648" t="s">
        <v>1921</v>
      </c>
      <c r="C2648" t="s">
        <v>2814</v>
      </c>
      <c r="D2648" t="str">
        <f>VLOOKUP(YouTube_University_Data_Final[[#This Row],[Title]],[1]!YouTube_University_Data_Final[[Title]:[Title_language]],2,FALSE)</f>
        <v>English</v>
      </c>
      <c r="E2648" t="s">
        <v>2815</v>
      </c>
      <c r="F2648">
        <v>1</v>
      </c>
      <c r="G2648" s="1">
        <v>40627</v>
      </c>
      <c r="H2648">
        <v>434</v>
      </c>
      <c r="I2648" t="s">
        <v>2816</v>
      </c>
      <c r="J2648">
        <v>1253</v>
      </c>
      <c r="K2648">
        <v>0</v>
      </c>
      <c r="L2648">
        <v>0</v>
      </c>
      <c r="M2648">
        <v>0</v>
      </c>
      <c r="N2648" t="s">
        <v>90</v>
      </c>
      <c r="O2648">
        <v>2011</v>
      </c>
      <c r="P2648" t="s">
        <v>1415</v>
      </c>
    </row>
    <row r="2649" spans="1:16" x14ac:dyDescent="0.3">
      <c r="A2649">
        <v>594</v>
      </c>
      <c r="B2649" t="s">
        <v>1921</v>
      </c>
      <c r="C2649" t="s">
        <v>2817</v>
      </c>
      <c r="D2649" t="str">
        <f>VLOOKUP(YouTube_University_Data_Final[[#This Row],[Title]],[1]!YouTube_University_Data_Final[[Title]:[Title_language]],2,FALSE)</f>
        <v>English</v>
      </c>
      <c r="E2649" t="s">
        <v>2818</v>
      </c>
      <c r="F2649">
        <v>1</v>
      </c>
      <c r="G2649" s="1">
        <v>40627</v>
      </c>
      <c r="H2649">
        <v>82</v>
      </c>
      <c r="I2649" t="s">
        <v>2819</v>
      </c>
      <c r="J2649">
        <v>608</v>
      </c>
      <c r="K2649">
        <v>0</v>
      </c>
      <c r="L2649">
        <v>0</v>
      </c>
      <c r="M2649">
        <v>0</v>
      </c>
      <c r="N2649" t="s">
        <v>90</v>
      </c>
      <c r="O2649">
        <v>2011</v>
      </c>
      <c r="P2649" t="s">
        <v>1415</v>
      </c>
    </row>
    <row r="2650" spans="1:16" x14ac:dyDescent="0.3">
      <c r="A2650">
        <v>595</v>
      </c>
      <c r="B2650" t="s">
        <v>1921</v>
      </c>
      <c r="C2650" t="s">
        <v>2820</v>
      </c>
      <c r="D2650" t="str">
        <f>VLOOKUP(YouTube_University_Data_Final[[#This Row],[Title]],[1]!YouTube_University_Data_Final[[Title]:[Title_language]],2,FALSE)</f>
        <v>English</v>
      </c>
      <c r="E2650" t="s">
        <v>2821</v>
      </c>
      <c r="F2650">
        <v>27</v>
      </c>
      <c r="G2650" s="1">
        <v>40574</v>
      </c>
      <c r="H2650">
        <v>161</v>
      </c>
      <c r="I2650" t="s">
        <v>2822</v>
      </c>
      <c r="J2650">
        <v>21632</v>
      </c>
      <c r="K2650">
        <v>0</v>
      </c>
      <c r="L2650">
        <v>0</v>
      </c>
      <c r="M2650">
        <v>0</v>
      </c>
      <c r="N2650" t="s">
        <v>93</v>
      </c>
      <c r="O2650">
        <v>2011</v>
      </c>
      <c r="P2650" t="s">
        <v>18</v>
      </c>
    </row>
    <row r="2651" spans="1:16" x14ac:dyDescent="0.3">
      <c r="A2651">
        <v>596</v>
      </c>
      <c r="B2651" t="s">
        <v>1921</v>
      </c>
      <c r="C2651" t="s">
        <v>2823</v>
      </c>
      <c r="D2651" t="str">
        <f>VLOOKUP(YouTube_University_Data_Final[[#This Row],[Title]],[1]!YouTube_University_Data_Final[[Title]:[Title_language]],2,FALSE)</f>
        <v>English</v>
      </c>
      <c r="E2651" t="s">
        <v>2824</v>
      </c>
      <c r="F2651">
        <v>27</v>
      </c>
      <c r="G2651" s="1">
        <v>40571</v>
      </c>
      <c r="H2651">
        <v>166</v>
      </c>
      <c r="I2651" t="s">
        <v>2825</v>
      </c>
      <c r="J2651">
        <v>172</v>
      </c>
      <c r="K2651">
        <v>0</v>
      </c>
      <c r="L2651">
        <v>0</v>
      </c>
      <c r="M2651">
        <v>0</v>
      </c>
      <c r="N2651" t="s">
        <v>93</v>
      </c>
      <c r="O2651">
        <v>2011</v>
      </c>
      <c r="P2651" t="s">
        <v>18</v>
      </c>
    </row>
    <row r="2652" spans="1:16" x14ac:dyDescent="0.3">
      <c r="A2652">
        <v>597</v>
      </c>
      <c r="B2652" t="s">
        <v>1921</v>
      </c>
      <c r="C2652" t="s">
        <v>2826</v>
      </c>
      <c r="D2652" t="str">
        <f>VLOOKUP(YouTube_University_Data_Final[[#This Row],[Title]],[1]!YouTube_University_Data_Final[[Title]:[Title_language]],2,FALSE)</f>
        <v>English</v>
      </c>
      <c r="E2652" t="s">
        <v>2824</v>
      </c>
      <c r="F2652">
        <v>27</v>
      </c>
      <c r="G2652" s="1">
        <v>40571</v>
      </c>
      <c r="H2652">
        <v>331</v>
      </c>
      <c r="I2652" t="s">
        <v>2827</v>
      </c>
      <c r="J2652">
        <v>148</v>
      </c>
      <c r="K2652">
        <v>0</v>
      </c>
      <c r="L2652">
        <v>0</v>
      </c>
      <c r="M2652">
        <v>0</v>
      </c>
      <c r="N2652" t="s">
        <v>93</v>
      </c>
      <c r="O2652">
        <v>2011</v>
      </c>
      <c r="P2652" t="s">
        <v>18</v>
      </c>
    </row>
    <row r="2653" spans="1:16" x14ac:dyDescent="0.3">
      <c r="A2653">
        <v>598</v>
      </c>
      <c r="B2653" t="s">
        <v>1921</v>
      </c>
      <c r="C2653" t="s">
        <v>2828</v>
      </c>
      <c r="D2653" t="str">
        <f>VLOOKUP(YouTube_University_Data_Final[[#This Row],[Title]],[1]!YouTube_University_Data_Final[[Title]:[Title_language]],2,FALSE)</f>
        <v>English</v>
      </c>
      <c r="E2653" t="s">
        <v>2824</v>
      </c>
      <c r="F2653">
        <v>27</v>
      </c>
      <c r="G2653" s="1">
        <v>40571</v>
      </c>
      <c r="H2653">
        <v>354</v>
      </c>
      <c r="I2653" t="s">
        <v>2829</v>
      </c>
      <c r="J2653">
        <v>186</v>
      </c>
      <c r="K2653">
        <v>0</v>
      </c>
      <c r="L2653">
        <v>0</v>
      </c>
      <c r="M2653">
        <v>0</v>
      </c>
      <c r="N2653" t="s">
        <v>93</v>
      </c>
      <c r="O2653">
        <v>2011</v>
      </c>
      <c r="P2653" t="s">
        <v>18</v>
      </c>
    </row>
    <row r="2654" spans="1:16" x14ac:dyDescent="0.3">
      <c r="A2654">
        <v>599</v>
      </c>
      <c r="B2654" t="s">
        <v>1921</v>
      </c>
      <c r="C2654" t="s">
        <v>2830</v>
      </c>
      <c r="D2654" t="str">
        <f>VLOOKUP(YouTube_University_Data_Final[[#This Row],[Title]],[1]!YouTube_University_Data_Final[[Title]:[Title_language]],2,FALSE)</f>
        <v>English</v>
      </c>
      <c r="E2654" t="s">
        <v>2824</v>
      </c>
      <c r="F2654">
        <v>27</v>
      </c>
      <c r="G2654" s="1">
        <v>40571</v>
      </c>
      <c r="H2654">
        <v>368</v>
      </c>
      <c r="I2654" t="s">
        <v>2831</v>
      </c>
      <c r="J2654">
        <v>192</v>
      </c>
      <c r="K2654">
        <v>0</v>
      </c>
      <c r="L2654">
        <v>0</v>
      </c>
      <c r="M2654">
        <v>0</v>
      </c>
      <c r="N2654" t="s">
        <v>93</v>
      </c>
      <c r="O2654">
        <v>2011</v>
      </c>
      <c r="P2654" t="s">
        <v>18</v>
      </c>
    </row>
    <row r="2655" spans="1:16" x14ac:dyDescent="0.3">
      <c r="A2655">
        <v>600</v>
      </c>
      <c r="B2655" t="s">
        <v>1921</v>
      </c>
      <c r="C2655" t="s">
        <v>2832</v>
      </c>
      <c r="D2655" t="str">
        <f>VLOOKUP(YouTube_University_Data_Final[[#This Row],[Title]],[1]!YouTube_University_Data_Final[[Title]:[Title_language]],2,FALSE)</f>
        <v>English</v>
      </c>
      <c r="E2655" t="s">
        <v>2824</v>
      </c>
      <c r="F2655">
        <v>27</v>
      </c>
      <c r="G2655" s="1">
        <v>40571</v>
      </c>
      <c r="H2655">
        <v>423</v>
      </c>
      <c r="I2655" t="s">
        <v>2833</v>
      </c>
      <c r="J2655">
        <v>105</v>
      </c>
      <c r="K2655">
        <v>0</v>
      </c>
      <c r="L2655">
        <v>0</v>
      </c>
      <c r="M2655">
        <v>0</v>
      </c>
      <c r="N2655" t="s">
        <v>93</v>
      </c>
      <c r="O2655">
        <v>2011</v>
      </c>
      <c r="P2655" t="s">
        <v>18</v>
      </c>
    </row>
    <row r="2656" spans="1:16" x14ac:dyDescent="0.3">
      <c r="A2656">
        <v>601</v>
      </c>
      <c r="B2656" t="s">
        <v>1921</v>
      </c>
      <c r="C2656" t="s">
        <v>2834</v>
      </c>
      <c r="D2656" t="str">
        <f>VLOOKUP(YouTube_University_Data_Final[[#This Row],[Title]],[1]!YouTube_University_Data_Final[[Title]:[Title_language]],2,FALSE)</f>
        <v>English</v>
      </c>
      <c r="E2656" t="s">
        <v>2824</v>
      </c>
      <c r="F2656">
        <v>27</v>
      </c>
      <c r="G2656" s="1">
        <v>40571</v>
      </c>
      <c r="H2656">
        <v>420</v>
      </c>
      <c r="I2656" t="s">
        <v>2835</v>
      </c>
      <c r="J2656">
        <v>247</v>
      </c>
      <c r="K2656">
        <v>0</v>
      </c>
      <c r="L2656">
        <v>0</v>
      </c>
      <c r="M2656">
        <v>0</v>
      </c>
      <c r="N2656" t="s">
        <v>93</v>
      </c>
      <c r="O2656">
        <v>2011</v>
      </c>
      <c r="P2656" t="s">
        <v>18</v>
      </c>
    </row>
    <row r="2657" spans="1:16" x14ac:dyDescent="0.3">
      <c r="A2657">
        <v>602</v>
      </c>
      <c r="B2657" t="s">
        <v>1921</v>
      </c>
      <c r="C2657" t="s">
        <v>2836</v>
      </c>
      <c r="D2657" t="str">
        <f>VLOOKUP(YouTube_University_Data_Final[[#This Row],[Title]],[1]!YouTube_University_Data_Final[[Title]:[Title_language]],2,FALSE)</f>
        <v>English</v>
      </c>
      <c r="E2657" t="s">
        <v>2824</v>
      </c>
      <c r="F2657">
        <v>27</v>
      </c>
      <c r="G2657" s="1">
        <v>40571</v>
      </c>
      <c r="H2657">
        <v>463</v>
      </c>
      <c r="I2657" t="s">
        <v>2837</v>
      </c>
      <c r="J2657">
        <v>346</v>
      </c>
      <c r="K2657">
        <v>0</v>
      </c>
      <c r="L2657">
        <v>0</v>
      </c>
      <c r="M2657">
        <v>0</v>
      </c>
      <c r="N2657" t="s">
        <v>93</v>
      </c>
      <c r="O2657">
        <v>2011</v>
      </c>
      <c r="P2657" t="s">
        <v>18</v>
      </c>
    </row>
    <row r="2658" spans="1:16" x14ac:dyDescent="0.3">
      <c r="A2658">
        <v>603</v>
      </c>
      <c r="B2658" t="s">
        <v>1921</v>
      </c>
      <c r="C2658" t="s">
        <v>2838</v>
      </c>
      <c r="D2658" t="str">
        <f>VLOOKUP(YouTube_University_Data_Final[[#This Row],[Title]],[1]!YouTube_University_Data_Final[[Title]:[Title_language]],2,FALSE)</f>
        <v>English</v>
      </c>
      <c r="E2658" t="s">
        <v>2824</v>
      </c>
      <c r="F2658">
        <v>27</v>
      </c>
      <c r="G2658" s="1">
        <v>40571</v>
      </c>
      <c r="H2658">
        <v>370</v>
      </c>
      <c r="I2658" t="s">
        <v>2839</v>
      </c>
      <c r="J2658">
        <v>271</v>
      </c>
      <c r="K2658">
        <v>0</v>
      </c>
      <c r="L2658">
        <v>0</v>
      </c>
      <c r="M2658">
        <v>0</v>
      </c>
      <c r="N2658" t="s">
        <v>93</v>
      </c>
      <c r="O2658">
        <v>2011</v>
      </c>
      <c r="P2658" t="s">
        <v>18</v>
      </c>
    </row>
    <row r="2659" spans="1:16" x14ac:dyDescent="0.3">
      <c r="A2659">
        <v>604</v>
      </c>
      <c r="B2659" t="s">
        <v>1921</v>
      </c>
      <c r="C2659" t="s">
        <v>2840</v>
      </c>
      <c r="D2659" t="str">
        <f>VLOOKUP(YouTube_University_Data_Final[[#This Row],[Title]],[1]!YouTube_University_Data_Final[[Title]:[Title_language]],2,FALSE)</f>
        <v>English</v>
      </c>
      <c r="E2659" t="s">
        <v>2824</v>
      </c>
      <c r="F2659">
        <v>27</v>
      </c>
      <c r="G2659" s="1">
        <v>40571</v>
      </c>
      <c r="H2659">
        <v>365</v>
      </c>
      <c r="I2659" t="s">
        <v>2841</v>
      </c>
      <c r="J2659">
        <v>378</v>
      </c>
      <c r="K2659">
        <v>0</v>
      </c>
      <c r="L2659">
        <v>0</v>
      </c>
      <c r="M2659">
        <v>0</v>
      </c>
      <c r="N2659" t="s">
        <v>93</v>
      </c>
      <c r="O2659">
        <v>2011</v>
      </c>
      <c r="P2659" t="s">
        <v>18</v>
      </c>
    </row>
    <row r="2660" spans="1:16" x14ac:dyDescent="0.3">
      <c r="A2660">
        <v>605</v>
      </c>
      <c r="B2660" t="s">
        <v>1921</v>
      </c>
      <c r="C2660" t="s">
        <v>2842</v>
      </c>
      <c r="D2660" t="str">
        <f>VLOOKUP(YouTube_University_Data_Final[[#This Row],[Title]],[1]!YouTube_University_Data_Final[[Title]:[Title_language]],2,FALSE)</f>
        <v>English</v>
      </c>
      <c r="E2660" t="s">
        <v>2824</v>
      </c>
      <c r="F2660">
        <v>27</v>
      </c>
      <c r="G2660" s="1">
        <v>40571</v>
      </c>
      <c r="H2660">
        <v>603</v>
      </c>
      <c r="I2660" t="s">
        <v>2843</v>
      </c>
      <c r="J2660">
        <v>619</v>
      </c>
      <c r="K2660">
        <v>0</v>
      </c>
      <c r="L2660">
        <v>0</v>
      </c>
      <c r="M2660">
        <v>0</v>
      </c>
      <c r="N2660" t="s">
        <v>93</v>
      </c>
      <c r="O2660">
        <v>2011</v>
      </c>
      <c r="P2660" t="s">
        <v>18</v>
      </c>
    </row>
    <row r="2661" spans="1:16" x14ac:dyDescent="0.3">
      <c r="A2661">
        <v>606</v>
      </c>
      <c r="B2661" t="s">
        <v>1921</v>
      </c>
      <c r="C2661" t="s">
        <v>2844</v>
      </c>
      <c r="D2661" t="str">
        <f>VLOOKUP(YouTube_University_Data_Final[[#This Row],[Title]],[1]!YouTube_University_Data_Final[[Title]:[Title_language]],2,FALSE)</f>
        <v>English</v>
      </c>
      <c r="E2661" t="s">
        <v>2845</v>
      </c>
      <c r="F2661">
        <v>27</v>
      </c>
      <c r="G2661" s="1">
        <v>40532</v>
      </c>
      <c r="H2661">
        <v>213</v>
      </c>
      <c r="I2661" t="s">
        <v>2846</v>
      </c>
      <c r="J2661">
        <v>4500</v>
      </c>
      <c r="K2661">
        <v>0</v>
      </c>
      <c r="L2661">
        <v>0</v>
      </c>
      <c r="M2661">
        <v>0</v>
      </c>
      <c r="N2661" t="s">
        <v>98</v>
      </c>
      <c r="O2661">
        <v>2010</v>
      </c>
      <c r="P2661" t="s">
        <v>18</v>
      </c>
    </row>
    <row r="2662" spans="1:16" x14ac:dyDescent="0.3">
      <c r="A2662">
        <v>607</v>
      </c>
      <c r="B2662" t="s">
        <v>1921</v>
      </c>
      <c r="C2662" t="s">
        <v>5337</v>
      </c>
      <c r="D2662" t="str">
        <f>VLOOKUP(YouTube_University_Data_Final[[#This Row],[Title]],[1]!YouTube_University_Data_Final[[Title]:[Title_language]],2,FALSE)</f>
        <v>Bilingual</v>
      </c>
      <c r="E2662" t="s">
        <v>2847</v>
      </c>
      <c r="F2662">
        <v>27</v>
      </c>
      <c r="G2662" s="1">
        <v>40528</v>
      </c>
      <c r="H2662">
        <v>504</v>
      </c>
      <c r="I2662" t="s">
        <v>2848</v>
      </c>
      <c r="J2662">
        <v>27271</v>
      </c>
      <c r="K2662">
        <v>0</v>
      </c>
      <c r="L2662">
        <v>0</v>
      </c>
      <c r="M2662">
        <v>0</v>
      </c>
      <c r="N2662" t="s">
        <v>98</v>
      </c>
      <c r="O2662">
        <v>2010</v>
      </c>
      <c r="P2662" t="s">
        <v>18</v>
      </c>
    </row>
    <row r="2663" spans="1:16" x14ac:dyDescent="0.3">
      <c r="A2663">
        <v>608</v>
      </c>
      <c r="B2663" t="s">
        <v>1921</v>
      </c>
      <c r="C2663" t="s">
        <v>2849</v>
      </c>
      <c r="D2663" t="str">
        <f>VLOOKUP(YouTube_University_Data_Final[[#This Row],[Title]],[1]!YouTube_University_Data_Final[[Title]:[Title_language]],2,FALSE)</f>
        <v>English</v>
      </c>
      <c r="E2663" t="s">
        <v>2850</v>
      </c>
      <c r="F2663">
        <v>27</v>
      </c>
      <c r="G2663" s="1">
        <v>40506</v>
      </c>
      <c r="H2663">
        <v>232</v>
      </c>
      <c r="I2663" t="s">
        <v>2851</v>
      </c>
      <c r="J2663">
        <v>4548</v>
      </c>
      <c r="K2663">
        <v>0</v>
      </c>
      <c r="L2663">
        <v>0</v>
      </c>
      <c r="M2663">
        <v>0</v>
      </c>
      <c r="N2663" t="s">
        <v>101</v>
      </c>
      <c r="O2663">
        <v>2010</v>
      </c>
      <c r="P2663" t="s">
        <v>18</v>
      </c>
    </row>
    <row r="2664" spans="1:16" x14ac:dyDescent="0.3">
      <c r="A2664">
        <v>609</v>
      </c>
      <c r="B2664" t="s">
        <v>1921</v>
      </c>
      <c r="C2664" t="s">
        <v>2852</v>
      </c>
      <c r="D2664" t="str">
        <f>VLOOKUP(YouTube_University_Data_Final[[#This Row],[Title]],[1]!YouTube_University_Data_Final[[Title]:[Title_language]],2,FALSE)</f>
        <v>English</v>
      </c>
      <c r="E2664" t="s">
        <v>2853</v>
      </c>
      <c r="F2664">
        <v>27</v>
      </c>
      <c r="G2664" s="1">
        <v>40448</v>
      </c>
      <c r="H2664">
        <v>558</v>
      </c>
      <c r="I2664" t="s">
        <v>2854</v>
      </c>
      <c r="J2664">
        <v>524</v>
      </c>
      <c r="K2664">
        <v>0</v>
      </c>
      <c r="L2664">
        <v>0</v>
      </c>
      <c r="M2664">
        <v>0</v>
      </c>
      <c r="N2664" t="s">
        <v>21</v>
      </c>
      <c r="O2664">
        <v>2010</v>
      </c>
      <c r="P2664" t="s">
        <v>18</v>
      </c>
    </row>
    <row r="2665" spans="1:16" x14ac:dyDescent="0.3">
      <c r="A2665">
        <v>610</v>
      </c>
      <c r="B2665" t="s">
        <v>1921</v>
      </c>
      <c r="C2665" t="s">
        <v>2855</v>
      </c>
      <c r="D2665" t="str">
        <f>VLOOKUP(YouTube_University_Data_Final[[#This Row],[Title]],[1]!YouTube_University_Data_Final[[Title]:[Title_language]],2,FALSE)</f>
        <v>English</v>
      </c>
      <c r="E2665" t="s">
        <v>2856</v>
      </c>
      <c r="F2665">
        <v>27</v>
      </c>
      <c r="G2665" s="1">
        <v>40434</v>
      </c>
      <c r="H2665">
        <v>263</v>
      </c>
      <c r="I2665" t="s">
        <v>2857</v>
      </c>
      <c r="J2665">
        <v>1153</v>
      </c>
      <c r="K2665">
        <v>0</v>
      </c>
      <c r="L2665">
        <v>0</v>
      </c>
      <c r="M2665">
        <v>0</v>
      </c>
      <c r="N2665" t="s">
        <v>21</v>
      </c>
      <c r="O2665">
        <v>2010</v>
      </c>
      <c r="P2665" t="s">
        <v>18</v>
      </c>
    </row>
    <row r="2666" spans="1:16" x14ac:dyDescent="0.3">
      <c r="A2666">
        <v>611</v>
      </c>
      <c r="B2666" t="s">
        <v>1921</v>
      </c>
      <c r="C2666" t="s">
        <v>2858</v>
      </c>
      <c r="D2666" t="str">
        <f>VLOOKUP(YouTube_University_Data_Final[[#This Row],[Title]],[1]!YouTube_University_Data_Final[[Title]:[Title_language]],2,FALSE)</f>
        <v>English</v>
      </c>
      <c r="E2666" t="s">
        <v>2859</v>
      </c>
      <c r="F2666">
        <v>27</v>
      </c>
      <c r="G2666" s="1">
        <v>40434</v>
      </c>
      <c r="H2666">
        <v>133</v>
      </c>
      <c r="I2666" t="s">
        <v>2857</v>
      </c>
      <c r="J2666">
        <v>925</v>
      </c>
      <c r="K2666">
        <v>0</v>
      </c>
      <c r="L2666">
        <v>0</v>
      </c>
      <c r="M2666">
        <v>0</v>
      </c>
      <c r="N2666" t="s">
        <v>21</v>
      </c>
      <c r="O2666">
        <v>2010</v>
      </c>
      <c r="P2666" t="s">
        <v>18</v>
      </c>
    </row>
    <row r="2667" spans="1:16" x14ac:dyDescent="0.3">
      <c r="A2667">
        <v>612</v>
      </c>
      <c r="B2667" t="s">
        <v>1921</v>
      </c>
      <c r="C2667" t="s">
        <v>2860</v>
      </c>
      <c r="D2667" t="str">
        <f>VLOOKUP(YouTube_University_Data_Final[[#This Row],[Title]],[1]!YouTube_University_Data_Final[[Title]:[Title_language]],2,FALSE)</f>
        <v>English</v>
      </c>
      <c r="E2667" t="s">
        <v>2861</v>
      </c>
      <c r="F2667">
        <v>27</v>
      </c>
      <c r="G2667" s="1">
        <v>40423</v>
      </c>
      <c r="H2667">
        <v>227</v>
      </c>
      <c r="I2667" t="s">
        <v>2862</v>
      </c>
      <c r="J2667">
        <v>10699</v>
      </c>
      <c r="K2667">
        <v>0</v>
      </c>
      <c r="L2667">
        <v>0</v>
      </c>
      <c r="M2667">
        <v>0</v>
      </c>
      <c r="N2667" t="s">
        <v>21</v>
      </c>
      <c r="O2667">
        <v>2010</v>
      </c>
      <c r="P2667" t="s">
        <v>18</v>
      </c>
    </row>
    <row r="2668" spans="1:16" x14ac:dyDescent="0.3">
      <c r="A2668">
        <v>613</v>
      </c>
      <c r="B2668" t="s">
        <v>1921</v>
      </c>
      <c r="C2668" t="s">
        <v>2863</v>
      </c>
      <c r="D2668" t="str">
        <f>VLOOKUP(YouTube_University_Data_Final[[#This Row],[Title]],[1]!YouTube_University_Data_Final[[Title]:[Title_language]],2,FALSE)</f>
        <v>English</v>
      </c>
      <c r="E2668" t="s">
        <v>2864</v>
      </c>
      <c r="F2668">
        <v>27</v>
      </c>
      <c r="G2668" s="1">
        <v>40407</v>
      </c>
      <c r="H2668">
        <v>196</v>
      </c>
      <c r="I2668" t="s">
        <v>2865</v>
      </c>
      <c r="J2668">
        <v>210</v>
      </c>
      <c r="K2668">
        <v>0</v>
      </c>
      <c r="L2668">
        <v>0</v>
      </c>
      <c r="M2668">
        <v>0</v>
      </c>
      <c r="N2668" t="s">
        <v>48</v>
      </c>
      <c r="O2668">
        <v>2010</v>
      </c>
      <c r="P2668" t="s">
        <v>18</v>
      </c>
    </row>
    <row r="2669" spans="1:16" x14ac:dyDescent="0.3">
      <c r="A2669">
        <v>614</v>
      </c>
      <c r="B2669" t="s">
        <v>1921</v>
      </c>
      <c r="C2669" t="s">
        <v>2866</v>
      </c>
      <c r="D2669" t="str">
        <f>VLOOKUP(YouTube_University_Data_Final[[#This Row],[Title]],[1]!YouTube_University_Data_Final[[Title]:[Title_language]],2,FALSE)</f>
        <v>English</v>
      </c>
      <c r="E2669" t="s">
        <v>2867</v>
      </c>
      <c r="F2669">
        <v>27</v>
      </c>
      <c r="G2669" s="1">
        <v>40380</v>
      </c>
      <c r="H2669">
        <v>490</v>
      </c>
      <c r="I2669" t="s">
        <v>2868</v>
      </c>
      <c r="J2669">
        <v>632</v>
      </c>
      <c r="K2669">
        <v>0</v>
      </c>
      <c r="L2669">
        <v>0</v>
      </c>
      <c r="M2669">
        <v>0</v>
      </c>
      <c r="N2669" t="s">
        <v>56</v>
      </c>
      <c r="O2669">
        <v>2010</v>
      </c>
      <c r="P2669" t="s">
        <v>18</v>
      </c>
    </row>
    <row r="2670" spans="1:16" x14ac:dyDescent="0.3">
      <c r="A2670">
        <v>615</v>
      </c>
      <c r="B2670" t="s">
        <v>1921</v>
      </c>
      <c r="C2670" t="s">
        <v>2869</v>
      </c>
      <c r="D2670" t="str">
        <f>VLOOKUP(YouTube_University_Data_Final[[#This Row],[Title]],[1]!YouTube_University_Data_Final[[Title]:[Title_language]],2,FALSE)</f>
        <v>English</v>
      </c>
      <c r="E2670" t="s">
        <v>2870</v>
      </c>
      <c r="F2670">
        <v>28</v>
      </c>
      <c r="G2670" s="1">
        <v>40318</v>
      </c>
      <c r="H2670">
        <v>173</v>
      </c>
      <c r="I2670" t="s">
        <v>2871</v>
      </c>
      <c r="J2670">
        <v>2253</v>
      </c>
      <c r="K2670">
        <v>0</v>
      </c>
      <c r="L2670">
        <v>0</v>
      </c>
      <c r="M2670">
        <v>0</v>
      </c>
      <c r="N2670" t="s">
        <v>81</v>
      </c>
      <c r="O2670">
        <v>2010</v>
      </c>
      <c r="P2670" t="s">
        <v>480</v>
      </c>
    </row>
    <row r="2671" spans="1:16" x14ac:dyDescent="0.3">
      <c r="A2671">
        <v>616</v>
      </c>
      <c r="B2671" t="s">
        <v>1921</v>
      </c>
      <c r="C2671" t="s">
        <v>2872</v>
      </c>
      <c r="D2671" t="str">
        <f>VLOOKUP(YouTube_University_Data_Final[[#This Row],[Title]],[1]!YouTube_University_Data_Final[[Title]:[Title_language]],2,FALSE)</f>
        <v>English</v>
      </c>
      <c r="E2671" t="s">
        <v>2873</v>
      </c>
      <c r="F2671">
        <v>1</v>
      </c>
      <c r="G2671" s="1">
        <v>40312</v>
      </c>
      <c r="H2671">
        <v>131</v>
      </c>
      <c r="I2671" t="s">
        <v>2874</v>
      </c>
      <c r="J2671">
        <v>795</v>
      </c>
      <c r="K2671">
        <v>0</v>
      </c>
      <c r="L2671">
        <v>0</v>
      </c>
      <c r="M2671">
        <v>0</v>
      </c>
      <c r="N2671" t="s">
        <v>81</v>
      </c>
      <c r="O2671">
        <v>2010</v>
      </c>
      <c r="P2671" t="s">
        <v>1415</v>
      </c>
    </row>
    <row r="2672" spans="1:16" x14ac:dyDescent="0.3">
      <c r="A2672">
        <v>617</v>
      </c>
      <c r="B2672" t="s">
        <v>1921</v>
      </c>
      <c r="C2672" t="s">
        <v>2875</v>
      </c>
      <c r="D2672" t="str">
        <f>VLOOKUP(YouTube_University_Data_Final[[#This Row],[Title]],[1]!YouTube_University_Data_Final[[Title]:[Title_language]],2,FALSE)</f>
        <v>English</v>
      </c>
      <c r="E2672" t="s">
        <v>2876</v>
      </c>
      <c r="F2672">
        <v>27</v>
      </c>
      <c r="G2672" s="1">
        <v>40301</v>
      </c>
      <c r="H2672">
        <v>185</v>
      </c>
      <c r="I2672" t="s">
        <v>2877</v>
      </c>
      <c r="J2672">
        <v>19103</v>
      </c>
      <c r="K2672">
        <v>0</v>
      </c>
      <c r="L2672">
        <v>0</v>
      </c>
      <c r="M2672">
        <v>0</v>
      </c>
      <c r="N2672" t="s">
        <v>81</v>
      </c>
      <c r="O2672">
        <v>2010</v>
      </c>
      <c r="P2672" t="s">
        <v>18</v>
      </c>
    </row>
    <row r="2673" spans="1:16" x14ac:dyDescent="0.3">
      <c r="A2673">
        <v>618</v>
      </c>
      <c r="B2673" t="s">
        <v>1921</v>
      </c>
      <c r="C2673" t="s">
        <v>2878</v>
      </c>
      <c r="D2673" t="str">
        <f>VLOOKUP(YouTube_University_Data_Final[[#This Row],[Title]],[1]!YouTube_University_Data_Final[[Title]:[Title_language]],2,FALSE)</f>
        <v>English</v>
      </c>
      <c r="E2673" t="s">
        <v>2879</v>
      </c>
      <c r="F2673">
        <v>19</v>
      </c>
      <c r="G2673" s="1">
        <v>40213</v>
      </c>
      <c r="H2673">
        <v>191</v>
      </c>
      <c r="I2673" t="s">
        <v>2880</v>
      </c>
      <c r="J2673">
        <v>84</v>
      </c>
      <c r="K2673">
        <v>0</v>
      </c>
      <c r="L2673">
        <v>0</v>
      </c>
      <c r="M2673">
        <v>0</v>
      </c>
      <c r="N2673" t="s">
        <v>162</v>
      </c>
      <c r="O2673">
        <v>2010</v>
      </c>
      <c r="P2673" t="s">
        <v>1534</v>
      </c>
    </row>
    <row r="2674" spans="1:16" x14ac:dyDescent="0.3">
      <c r="A2674">
        <v>619</v>
      </c>
      <c r="B2674" t="s">
        <v>1921</v>
      </c>
      <c r="C2674" t="s">
        <v>2881</v>
      </c>
      <c r="D2674" t="str">
        <f>VLOOKUP(YouTube_University_Data_Final[[#This Row],[Title]],[1]!YouTube_University_Data_Final[[Title]:[Title_language]],2,FALSE)</f>
        <v>English</v>
      </c>
      <c r="E2674" t="s">
        <v>2882</v>
      </c>
      <c r="F2674">
        <v>19</v>
      </c>
      <c r="G2674" s="1">
        <v>40213</v>
      </c>
      <c r="H2674">
        <v>249</v>
      </c>
      <c r="I2674" t="s">
        <v>2883</v>
      </c>
      <c r="J2674">
        <v>1024</v>
      </c>
      <c r="K2674">
        <v>0</v>
      </c>
      <c r="L2674">
        <v>0</v>
      </c>
      <c r="M2674">
        <v>0</v>
      </c>
      <c r="N2674" t="s">
        <v>162</v>
      </c>
      <c r="O2674">
        <v>2010</v>
      </c>
      <c r="P2674" t="s">
        <v>1534</v>
      </c>
    </row>
    <row r="2675" spans="1:16" x14ac:dyDescent="0.3">
      <c r="A2675">
        <v>620</v>
      </c>
      <c r="B2675" t="s">
        <v>1921</v>
      </c>
      <c r="C2675" t="s">
        <v>2884</v>
      </c>
      <c r="D2675" t="str">
        <f>VLOOKUP(YouTube_University_Data_Final[[#This Row],[Title]],[1]!YouTube_University_Data_Final[[Title]:[Title_language]],2,FALSE)</f>
        <v>English</v>
      </c>
      <c r="E2675" t="s">
        <v>2885</v>
      </c>
      <c r="F2675">
        <v>27</v>
      </c>
      <c r="G2675" s="1">
        <v>40150</v>
      </c>
      <c r="H2675">
        <v>171</v>
      </c>
      <c r="I2675" t="s">
        <v>2886</v>
      </c>
      <c r="J2675">
        <v>1420</v>
      </c>
      <c r="K2675">
        <v>0</v>
      </c>
      <c r="L2675">
        <v>0</v>
      </c>
      <c r="M2675">
        <v>0</v>
      </c>
      <c r="N2675" t="s">
        <v>98</v>
      </c>
      <c r="O2675">
        <v>2009</v>
      </c>
      <c r="P2675" t="s">
        <v>18</v>
      </c>
    </row>
    <row r="2676" spans="1:16" x14ac:dyDescent="0.3">
      <c r="A2676">
        <v>621</v>
      </c>
      <c r="B2676" t="s">
        <v>1921</v>
      </c>
      <c r="C2676" t="s">
        <v>2887</v>
      </c>
      <c r="D2676" t="str">
        <f>VLOOKUP(YouTube_University_Data_Final[[#This Row],[Title]],[1]!YouTube_University_Data_Final[[Title]:[Title_language]],2,FALSE)</f>
        <v>English</v>
      </c>
      <c r="E2676" t="s">
        <v>2888</v>
      </c>
      <c r="F2676">
        <v>1</v>
      </c>
      <c r="G2676" s="1">
        <v>40115</v>
      </c>
      <c r="H2676">
        <v>433</v>
      </c>
      <c r="I2676" t="s">
        <v>2889</v>
      </c>
      <c r="J2676">
        <v>31389</v>
      </c>
      <c r="K2676">
        <v>0</v>
      </c>
      <c r="L2676">
        <v>0</v>
      </c>
      <c r="M2676">
        <v>0</v>
      </c>
      <c r="N2676" t="s">
        <v>17</v>
      </c>
      <c r="O2676">
        <v>2009</v>
      </c>
      <c r="P2676" t="s">
        <v>1415</v>
      </c>
    </row>
    <row r="2677" spans="1:16" x14ac:dyDescent="0.3">
      <c r="A2677">
        <v>622</v>
      </c>
      <c r="B2677" t="s">
        <v>1921</v>
      </c>
      <c r="C2677" t="s">
        <v>5338</v>
      </c>
      <c r="D2677" t="str">
        <f>VLOOKUP(YouTube_University_Data_Final[[#This Row],[Title]],[1]!YouTube_University_Data_Final[[Title]:[Title_language]],2,FALSE)</f>
        <v>English</v>
      </c>
      <c r="E2677" t="s">
        <v>5339</v>
      </c>
      <c r="F2677">
        <v>1</v>
      </c>
      <c r="G2677" s="1">
        <v>40115</v>
      </c>
      <c r="H2677">
        <v>269</v>
      </c>
      <c r="I2677" t="s">
        <v>5340</v>
      </c>
      <c r="J2677">
        <v>2634</v>
      </c>
      <c r="K2677">
        <v>0</v>
      </c>
      <c r="L2677">
        <v>0</v>
      </c>
      <c r="M2677">
        <v>0</v>
      </c>
      <c r="N2677" t="s">
        <v>17</v>
      </c>
      <c r="O2677">
        <v>2009</v>
      </c>
      <c r="P2677" t="s">
        <v>1415</v>
      </c>
    </row>
    <row r="2678" spans="1:16" x14ac:dyDescent="0.3">
      <c r="A2678">
        <v>623</v>
      </c>
      <c r="B2678" t="s">
        <v>1921</v>
      </c>
      <c r="C2678" t="s">
        <v>2890</v>
      </c>
      <c r="D2678" t="str">
        <f>VLOOKUP(YouTube_University_Data_Final[[#This Row],[Title]],[1]!YouTube_University_Data_Final[[Title]:[Title_language]],2,FALSE)</f>
        <v>English</v>
      </c>
      <c r="E2678" t="s">
        <v>2891</v>
      </c>
      <c r="F2678">
        <v>27</v>
      </c>
      <c r="G2678" s="1">
        <v>40106</v>
      </c>
      <c r="H2678">
        <v>227</v>
      </c>
      <c r="I2678" t="s">
        <v>2892</v>
      </c>
      <c r="J2678">
        <v>5478</v>
      </c>
      <c r="K2678">
        <v>0</v>
      </c>
      <c r="L2678">
        <v>0</v>
      </c>
      <c r="M2678">
        <v>0</v>
      </c>
      <c r="N2678" t="s">
        <v>17</v>
      </c>
      <c r="O2678">
        <v>2009</v>
      </c>
      <c r="P2678" t="s">
        <v>18</v>
      </c>
    </row>
    <row r="2679" spans="1:16" x14ac:dyDescent="0.3">
      <c r="A2679">
        <v>624</v>
      </c>
      <c r="B2679" t="s">
        <v>1921</v>
      </c>
      <c r="C2679" t="s">
        <v>5341</v>
      </c>
      <c r="D2679" t="str">
        <f>VLOOKUP(YouTube_University_Data_Final[[#This Row],[Title]],[1]!YouTube_University_Data_Final[[Title]:[Title_language]],2,FALSE)</f>
        <v>Chinese</v>
      </c>
      <c r="E2679" t="s">
        <v>5342</v>
      </c>
      <c r="F2679">
        <v>27</v>
      </c>
      <c r="G2679" s="1">
        <v>40085</v>
      </c>
      <c r="H2679">
        <v>662</v>
      </c>
      <c r="I2679" t="s">
        <v>5343</v>
      </c>
      <c r="J2679">
        <v>30</v>
      </c>
      <c r="K2679">
        <v>0</v>
      </c>
      <c r="L2679">
        <v>0</v>
      </c>
      <c r="M2679">
        <v>0</v>
      </c>
      <c r="N2679" t="s">
        <v>21</v>
      </c>
      <c r="O2679">
        <v>2009</v>
      </c>
      <c r="P2679" t="s">
        <v>18</v>
      </c>
    </row>
    <row r="2680" spans="1:16" x14ac:dyDescent="0.3">
      <c r="A2680">
        <v>625</v>
      </c>
      <c r="B2680" t="s">
        <v>1921</v>
      </c>
      <c r="C2680" t="s">
        <v>5344</v>
      </c>
      <c r="D2680" t="str">
        <f>VLOOKUP(YouTube_University_Data_Final[[#This Row],[Title]],[1]!YouTube_University_Data_Final[[Title]:[Title_language]],2,FALSE)</f>
        <v>Chinese</v>
      </c>
      <c r="E2680" t="s">
        <v>5345</v>
      </c>
      <c r="F2680">
        <v>27</v>
      </c>
      <c r="G2680" s="1">
        <v>40085</v>
      </c>
      <c r="H2680">
        <v>452</v>
      </c>
      <c r="I2680" t="s">
        <v>5343</v>
      </c>
      <c r="J2680">
        <v>46</v>
      </c>
      <c r="K2680">
        <v>0</v>
      </c>
      <c r="L2680">
        <v>0</v>
      </c>
      <c r="M2680">
        <v>0</v>
      </c>
      <c r="N2680" t="s">
        <v>21</v>
      </c>
      <c r="O2680">
        <v>2009</v>
      </c>
      <c r="P2680" t="s">
        <v>18</v>
      </c>
    </row>
    <row r="2681" spans="1:16" x14ac:dyDescent="0.3">
      <c r="A2681">
        <v>626</v>
      </c>
      <c r="B2681" t="s">
        <v>1921</v>
      </c>
      <c r="C2681" t="s">
        <v>5346</v>
      </c>
      <c r="D2681" t="str">
        <f>VLOOKUP(YouTube_University_Data_Final[[#This Row],[Title]],[1]!YouTube_University_Data_Final[[Title]:[Title_language]],2,FALSE)</f>
        <v>Chinese</v>
      </c>
      <c r="E2681" t="s">
        <v>5347</v>
      </c>
      <c r="F2681">
        <v>27</v>
      </c>
      <c r="G2681" s="1">
        <v>40085</v>
      </c>
      <c r="H2681">
        <v>635</v>
      </c>
      <c r="I2681" t="s">
        <v>5343</v>
      </c>
      <c r="J2681">
        <v>178</v>
      </c>
      <c r="K2681">
        <v>0</v>
      </c>
      <c r="L2681">
        <v>0</v>
      </c>
      <c r="M2681">
        <v>0</v>
      </c>
      <c r="N2681" t="s">
        <v>21</v>
      </c>
      <c r="O2681">
        <v>2009</v>
      </c>
      <c r="P2681" t="s">
        <v>18</v>
      </c>
    </row>
    <row r="2682" spans="1:16" x14ac:dyDescent="0.3">
      <c r="A2682">
        <v>627</v>
      </c>
      <c r="B2682" t="s">
        <v>1921</v>
      </c>
      <c r="C2682" t="s">
        <v>5348</v>
      </c>
      <c r="D2682" t="str">
        <f>VLOOKUP(YouTube_University_Data_Final[[#This Row],[Title]],[1]!YouTube_University_Data_Final[[Title]:[Title_language]],2,FALSE)</f>
        <v>Chinese</v>
      </c>
      <c r="E2682" t="s">
        <v>5349</v>
      </c>
      <c r="F2682">
        <v>27</v>
      </c>
      <c r="G2682" s="1">
        <v>40085</v>
      </c>
      <c r="H2682">
        <v>597</v>
      </c>
      <c r="I2682" t="s">
        <v>5343</v>
      </c>
      <c r="J2682">
        <v>50</v>
      </c>
      <c r="K2682">
        <v>0</v>
      </c>
      <c r="L2682">
        <v>0</v>
      </c>
      <c r="M2682">
        <v>0</v>
      </c>
      <c r="N2682" t="s">
        <v>21</v>
      </c>
      <c r="O2682">
        <v>2009</v>
      </c>
      <c r="P2682" t="s">
        <v>18</v>
      </c>
    </row>
    <row r="2683" spans="1:16" x14ac:dyDescent="0.3">
      <c r="A2683">
        <v>628</v>
      </c>
      <c r="B2683" t="s">
        <v>1921</v>
      </c>
      <c r="C2683" t="s">
        <v>5350</v>
      </c>
      <c r="D2683" t="str">
        <f>VLOOKUP(YouTube_University_Data_Final[[#This Row],[Title]],[1]!YouTube_University_Data_Final[[Title]:[Title_language]],2,FALSE)</f>
        <v>Chinese</v>
      </c>
      <c r="E2683" t="s">
        <v>5351</v>
      </c>
      <c r="F2683">
        <v>27</v>
      </c>
      <c r="G2683" s="1">
        <v>40077</v>
      </c>
      <c r="H2683">
        <v>493</v>
      </c>
      <c r="I2683" t="s">
        <v>5352</v>
      </c>
      <c r="J2683">
        <v>146</v>
      </c>
      <c r="K2683">
        <v>0</v>
      </c>
      <c r="L2683">
        <v>0</v>
      </c>
      <c r="M2683">
        <v>0</v>
      </c>
      <c r="N2683" t="s">
        <v>21</v>
      </c>
      <c r="O2683">
        <v>2009</v>
      </c>
      <c r="P2683" t="s">
        <v>18</v>
      </c>
    </row>
    <row r="2684" spans="1:16" x14ac:dyDescent="0.3">
      <c r="A2684">
        <v>629</v>
      </c>
      <c r="B2684" t="s">
        <v>1921</v>
      </c>
      <c r="C2684" t="s">
        <v>5353</v>
      </c>
      <c r="D2684" t="str">
        <f>VLOOKUP(YouTube_University_Data_Final[[#This Row],[Title]],[1]!YouTube_University_Data_Final[[Title]:[Title_language]],2,FALSE)</f>
        <v>Chinese</v>
      </c>
      <c r="E2684" t="s">
        <v>5354</v>
      </c>
      <c r="F2684">
        <v>27</v>
      </c>
      <c r="G2684" s="1">
        <v>40077</v>
      </c>
      <c r="H2684">
        <v>507</v>
      </c>
      <c r="I2684" t="s">
        <v>5355</v>
      </c>
      <c r="J2684">
        <v>181</v>
      </c>
      <c r="K2684">
        <v>0</v>
      </c>
      <c r="L2684">
        <v>0</v>
      </c>
      <c r="M2684">
        <v>0</v>
      </c>
      <c r="N2684" t="s">
        <v>21</v>
      </c>
      <c r="O2684">
        <v>2009</v>
      </c>
      <c r="P2684" t="s">
        <v>18</v>
      </c>
    </row>
    <row r="2685" spans="1:16" x14ac:dyDescent="0.3">
      <c r="A2685">
        <v>630</v>
      </c>
      <c r="B2685" t="s">
        <v>1921</v>
      </c>
      <c r="C2685" t="s">
        <v>5356</v>
      </c>
      <c r="D2685" t="str">
        <f>VLOOKUP(YouTube_University_Data_Final[[#This Row],[Title]],[1]!YouTube_University_Data_Final[[Title]:[Title_language]],2,FALSE)</f>
        <v>Chinese</v>
      </c>
      <c r="E2685" t="s">
        <v>5357</v>
      </c>
      <c r="F2685">
        <v>27</v>
      </c>
      <c r="G2685" s="1">
        <v>40077</v>
      </c>
      <c r="H2685">
        <v>430</v>
      </c>
      <c r="I2685" t="s">
        <v>5358</v>
      </c>
      <c r="J2685">
        <v>115</v>
      </c>
      <c r="K2685">
        <v>0</v>
      </c>
      <c r="L2685">
        <v>0</v>
      </c>
      <c r="M2685">
        <v>0</v>
      </c>
      <c r="N2685" t="s">
        <v>21</v>
      </c>
      <c r="O2685">
        <v>2009</v>
      </c>
      <c r="P2685" t="s">
        <v>18</v>
      </c>
    </row>
    <row r="2686" spans="1:16" x14ac:dyDescent="0.3">
      <c r="A2686">
        <v>631</v>
      </c>
      <c r="B2686" t="s">
        <v>1921</v>
      </c>
      <c r="C2686" t="s">
        <v>5359</v>
      </c>
      <c r="D2686" t="str">
        <f>VLOOKUP(YouTube_University_Data_Final[[#This Row],[Title]],[1]!YouTube_University_Data_Final[[Title]:[Title_language]],2,FALSE)</f>
        <v>Chinese</v>
      </c>
      <c r="E2686" t="s">
        <v>5360</v>
      </c>
      <c r="F2686">
        <v>27</v>
      </c>
      <c r="G2686" s="1">
        <v>40077</v>
      </c>
      <c r="H2686">
        <v>788</v>
      </c>
      <c r="I2686" t="s">
        <v>5352</v>
      </c>
      <c r="J2686">
        <v>82</v>
      </c>
      <c r="K2686">
        <v>0</v>
      </c>
      <c r="L2686">
        <v>0</v>
      </c>
      <c r="M2686">
        <v>0</v>
      </c>
      <c r="N2686" t="s">
        <v>21</v>
      </c>
      <c r="O2686">
        <v>2009</v>
      </c>
      <c r="P2686" t="s">
        <v>18</v>
      </c>
    </row>
    <row r="2687" spans="1:16" x14ac:dyDescent="0.3">
      <c r="A2687">
        <v>632</v>
      </c>
      <c r="B2687" t="s">
        <v>1921</v>
      </c>
      <c r="C2687" t="s">
        <v>5361</v>
      </c>
      <c r="D2687" t="str">
        <f>VLOOKUP(YouTube_University_Data_Final[[#This Row],[Title]],[1]!YouTube_University_Data_Final[[Title]:[Title_language]],2,FALSE)</f>
        <v>Chinese</v>
      </c>
      <c r="E2687" t="s">
        <v>5362</v>
      </c>
      <c r="F2687">
        <v>27</v>
      </c>
      <c r="G2687" s="1">
        <v>40072</v>
      </c>
      <c r="H2687">
        <v>278</v>
      </c>
      <c r="I2687" t="s">
        <v>5363</v>
      </c>
      <c r="J2687">
        <v>189</v>
      </c>
      <c r="K2687">
        <v>0</v>
      </c>
      <c r="L2687">
        <v>0</v>
      </c>
      <c r="M2687">
        <v>0</v>
      </c>
      <c r="N2687" t="s">
        <v>21</v>
      </c>
      <c r="O2687">
        <v>2009</v>
      </c>
      <c r="P2687" t="s">
        <v>18</v>
      </c>
    </row>
    <row r="2688" spans="1:16" x14ac:dyDescent="0.3">
      <c r="A2688">
        <v>633</v>
      </c>
      <c r="B2688" t="s">
        <v>1921</v>
      </c>
      <c r="C2688" t="s">
        <v>5364</v>
      </c>
      <c r="D2688" t="str">
        <f>VLOOKUP(YouTube_University_Data_Final[[#This Row],[Title]],[1]!YouTube_University_Data_Final[[Title]:[Title_language]],2,FALSE)</f>
        <v>Chinese</v>
      </c>
      <c r="E2688" t="s">
        <v>5365</v>
      </c>
      <c r="F2688">
        <v>27</v>
      </c>
      <c r="G2688" s="1">
        <v>40072</v>
      </c>
      <c r="H2688">
        <v>230</v>
      </c>
      <c r="I2688" t="s">
        <v>5363</v>
      </c>
      <c r="J2688">
        <v>151</v>
      </c>
      <c r="K2688">
        <v>0</v>
      </c>
      <c r="L2688">
        <v>0</v>
      </c>
      <c r="M2688">
        <v>0</v>
      </c>
      <c r="N2688" t="s">
        <v>21</v>
      </c>
      <c r="O2688">
        <v>2009</v>
      </c>
      <c r="P2688" t="s">
        <v>18</v>
      </c>
    </row>
    <row r="2689" spans="1:16" x14ac:dyDescent="0.3">
      <c r="A2689">
        <v>634</v>
      </c>
      <c r="B2689" t="s">
        <v>1921</v>
      </c>
      <c r="C2689" t="s">
        <v>5366</v>
      </c>
      <c r="D2689" t="str">
        <f>VLOOKUP(YouTube_University_Data_Final[[#This Row],[Title]],[1]!YouTube_University_Data_Final[[Title]:[Title_language]],2,FALSE)</f>
        <v>Chinese</v>
      </c>
      <c r="E2689" t="s">
        <v>5367</v>
      </c>
      <c r="F2689">
        <v>27</v>
      </c>
      <c r="G2689" s="1">
        <v>40072</v>
      </c>
      <c r="H2689">
        <v>223</v>
      </c>
      <c r="I2689" t="s">
        <v>5363</v>
      </c>
      <c r="J2689">
        <v>75</v>
      </c>
      <c r="K2689">
        <v>0</v>
      </c>
      <c r="L2689">
        <v>0</v>
      </c>
      <c r="M2689">
        <v>0</v>
      </c>
      <c r="N2689" t="s">
        <v>21</v>
      </c>
      <c r="O2689">
        <v>2009</v>
      </c>
      <c r="P2689" t="s">
        <v>18</v>
      </c>
    </row>
    <row r="2690" spans="1:16" x14ac:dyDescent="0.3">
      <c r="A2690">
        <v>635</v>
      </c>
      <c r="B2690" t="s">
        <v>1921</v>
      </c>
      <c r="C2690" t="s">
        <v>5368</v>
      </c>
      <c r="D2690" t="str">
        <f>VLOOKUP(YouTube_University_Data_Final[[#This Row],[Title]],[1]!YouTube_University_Data_Final[[Title]:[Title_language]],2,FALSE)</f>
        <v>Chinese</v>
      </c>
      <c r="E2690" t="s">
        <v>5369</v>
      </c>
      <c r="F2690">
        <v>27</v>
      </c>
      <c r="G2690" s="1">
        <v>40072</v>
      </c>
      <c r="H2690">
        <v>273</v>
      </c>
      <c r="I2690" t="s">
        <v>5363</v>
      </c>
      <c r="J2690">
        <v>76</v>
      </c>
      <c r="K2690">
        <v>0</v>
      </c>
      <c r="L2690">
        <v>0</v>
      </c>
      <c r="M2690">
        <v>0</v>
      </c>
      <c r="N2690" t="s">
        <v>21</v>
      </c>
      <c r="O2690">
        <v>2009</v>
      </c>
      <c r="P2690" t="s">
        <v>18</v>
      </c>
    </row>
    <row r="2691" spans="1:16" x14ac:dyDescent="0.3">
      <c r="A2691">
        <v>636</v>
      </c>
      <c r="B2691" t="s">
        <v>1921</v>
      </c>
      <c r="C2691" t="s">
        <v>5370</v>
      </c>
      <c r="D2691" t="str">
        <f>VLOOKUP(YouTube_University_Data_Final[[#This Row],[Title]],[1]!YouTube_University_Data_Final[[Title]:[Title_language]],2,FALSE)</f>
        <v>Chinese</v>
      </c>
      <c r="E2691" t="s">
        <v>5371</v>
      </c>
      <c r="F2691">
        <v>27</v>
      </c>
      <c r="G2691" s="1">
        <v>40072</v>
      </c>
      <c r="H2691">
        <v>299</v>
      </c>
      <c r="I2691" t="s">
        <v>5363</v>
      </c>
      <c r="J2691">
        <v>67</v>
      </c>
      <c r="K2691">
        <v>0</v>
      </c>
      <c r="L2691">
        <v>0</v>
      </c>
      <c r="M2691">
        <v>0</v>
      </c>
      <c r="N2691" t="s">
        <v>21</v>
      </c>
      <c r="O2691">
        <v>2009</v>
      </c>
      <c r="P2691" t="s">
        <v>18</v>
      </c>
    </row>
    <row r="2692" spans="1:16" x14ac:dyDescent="0.3">
      <c r="A2692">
        <v>637</v>
      </c>
      <c r="B2692" t="s">
        <v>1921</v>
      </c>
      <c r="C2692" t="s">
        <v>2893</v>
      </c>
      <c r="D2692" t="str">
        <f>VLOOKUP(YouTube_University_Data_Final[[#This Row],[Title]],[1]!YouTube_University_Data_Final[[Title]:[Title_language]],2,FALSE)</f>
        <v>English</v>
      </c>
      <c r="E2692" t="s">
        <v>2894</v>
      </c>
      <c r="F2692">
        <v>28</v>
      </c>
      <c r="G2692" s="1">
        <v>40053</v>
      </c>
      <c r="H2692">
        <v>411</v>
      </c>
      <c r="I2692" t="s">
        <v>2895</v>
      </c>
      <c r="J2692">
        <v>901</v>
      </c>
      <c r="K2692">
        <v>0</v>
      </c>
      <c r="L2692">
        <v>0</v>
      </c>
      <c r="M2692">
        <v>0</v>
      </c>
      <c r="N2692" t="s">
        <v>48</v>
      </c>
      <c r="O2692">
        <v>2009</v>
      </c>
      <c r="P2692" t="s">
        <v>480</v>
      </c>
    </row>
    <row r="2693" spans="1:16" x14ac:dyDescent="0.3">
      <c r="A2693">
        <v>638</v>
      </c>
      <c r="B2693" t="s">
        <v>1921</v>
      </c>
      <c r="C2693" t="s">
        <v>2896</v>
      </c>
      <c r="D2693" t="str">
        <f>VLOOKUP(YouTube_University_Data_Final[[#This Row],[Title]],[1]!YouTube_University_Data_Final[[Title]:[Title_language]],2,FALSE)</f>
        <v>English</v>
      </c>
      <c r="E2693" t="s">
        <v>2894</v>
      </c>
      <c r="F2693">
        <v>28</v>
      </c>
      <c r="G2693" s="1">
        <v>40053</v>
      </c>
      <c r="H2693">
        <v>598</v>
      </c>
      <c r="I2693" t="s">
        <v>2895</v>
      </c>
      <c r="J2693">
        <v>1017</v>
      </c>
      <c r="K2693">
        <v>0</v>
      </c>
      <c r="L2693">
        <v>0</v>
      </c>
      <c r="M2693">
        <v>0</v>
      </c>
      <c r="N2693" t="s">
        <v>48</v>
      </c>
      <c r="O2693">
        <v>2009</v>
      </c>
      <c r="P2693" t="s">
        <v>480</v>
      </c>
    </row>
    <row r="2694" spans="1:16" x14ac:dyDescent="0.3">
      <c r="A2694">
        <v>639</v>
      </c>
      <c r="B2694" t="s">
        <v>1921</v>
      </c>
      <c r="C2694" t="s">
        <v>2897</v>
      </c>
      <c r="D2694" t="str">
        <f>VLOOKUP(YouTube_University_Data_Final[[#This Row],[Title]],[1]!YouTube_University_Data_Final[[Title]:[Title_language]],2,FALSE)</f>
        <v>English</v>
      </c>
      <c r="E2694" t="s">
        <v>2894</v>
      </c>
      <c r="F2694">
        <v>28</v>
      </c>
      <c r="G2694" s="1">
        <v>40053</v>
      </c>
      <c r="H2694">
        <v>587</v>
      </c>
      <c r="I2694" t="s">
        <v>2898</v>
      </c>
      <c r="J2694">
        <v>1103</v>
      </c>
      <c r="K2694">
        <v>0</v>
      </c>
      <c r="L2694">
        <v>0</v>
      </c>
      <c r="M2694">
        <v>0</v>
      </c>
      <c r="N2694" t="s">
        <v>48</v>
      </c>
      <c r="O2694">
        <v>2009</v>
      </c>
      <c r="P2694" t="s">
        <v>480</v>
      </c>
    </row>
    <row r="2695" spans="1:16" x14ac:dyDescent="0.3">
      <c r="A2695">
        <v>640</v>
      </c>
      <c r="B2695" t="s">
        <v>1921</v>
      </c>
      <c r="C2695" t="s">
        <v>2899</v>
      </c>
      <c r="D2695" t="str">
        <f>VLOOKUP(YouTube_University_Data_Final[[#This Row],[Title]],[1]!YouTube_University_Data_Final[[Title]:[Title_language]],2,FALSE)</f>
        <v>English</v>
      </c>
      <c r="E2695" t="s">
        <v>2894</v>
      </c>
      <c r="F2695">
        <v>28</v>
      </c>
      <c r="G2695" s="1">
        <v>40053</v>
      </c>
      <c r="H2695">
        <v>572</v>
      </c>
      <c r="I2695" t="s">
        <v>2895</v>
      </c>
      <c r="J2695">
        <v>1137</v>
      </c>
      <c r="K2695">
        <v>0</v>
      </c>
      <c r="L2695">
        <v>0</v>
      </c>
      <c r="M2695">
        <v>0</v>
      </c>
      <c r="N2695" t="s">
        <v>48</v>
      </c>
      <c r="O2695">
        <v>2009</v>
      </c>
      <c r="P2695" t="s">
        <v>480</v>
      </c>
    </row>
    <row r="2696" spans="1:16" x14ac:dyDescent="0.3">
      <c r="A2696">
        <v>641</v>
      </c>
      <c r="B2696" t="s">
        <v>1921</v>
      </c>
      <c r="C2696" t="s">
        <v>2900</v>
      </c>
      <c r="D2696" t="str">
        <f>VLOOKUP(YouTube_University_Data_Final[[#This Row],[Title]],[1]!YouTube_University_Data_Final[[Title]:[Title_language]],2,FALSE)</f>
        <v>English</v>
      </c>
      <c r="E2696" t="s">
        <v>2894</v>
      </c>
      <c r="F2696">
        <v>28</v>
      </c>
      <c r="G2696" s="1">
        <v>40053</v>
      </c>
      <c r="H2696">
        <v>597</v>
      </c>
      <c r="I2696" t="s">
        <v>2901</v>
      </c>
      <c r="J2696">
        <v>3010</v>
      </c>
      <c r="K2696">
        <v>0</v>
      </c>
      <c r="L2696">
        <v>0</v>
      </c>
      <c r="M2696">
        <v>0</v>
      </c>
      <c r="N2696" t="s">
        <v>48</v>
      </c>
      <c r="O2696">
        <v>2009</v>
      </c>
      <c r="P2696" t="s">
        <v>480</v>
      </c>
    </row>
    <row r="2697" spans="1:16" x14ac:dyDescent="0.3">
      <c r="A2697">
        <v>642</v>
      </c>
      <c r="B2697" t="s">
        <v>1921</v>
      </c>
      <c r="C2697" t="s">
        <v>2902</v>
      </c>
      <c r="D2697" t="str">
        <f>VLOOKUP(YouTube_University_Data_Final[[#This Row],[Title]],[1]!YouTube_University_Data_Final[[Title]:[Title_language]],2,FALSE)</f>
        <v>English</v>
      </c>
      <c r="E2697" t="s">
        <v>2894</v>
      </c>
      <c r="F2697">
        <v>28</v>
      </c>
      <c r="G2697" s="1">
        <v>40053</v>
      </c>
      <c r="H2697">
        <v>606</v>
      </c>
      <c r="I2697" t="s">
        <v>2895</v>
      </c>
      <c r="J2697">
        <v>1249</v>
      </c>
      <c r="K2697">
        <v>0</v>
      </c>
      <c r="L2697">
        <v>0</v>
      </c>
      <c r="M2697">
        <v>0</v>
      </c>
      <c r="N2697" t="s">
        <v>48</v>
      </c>
      <c r="O2697">
        <v>2009</v>
      </c>
      <c r="P2697" t="s">
        <v>480</v>
      </c>
    </row>
    <row r="2698" spans="1:16" x14ac:dyDescent="0.3">
      <c r="A2698">
        <v>643</v>
      </c>
      <c r="B2698" t="s">
        <v>1921</v>
      </c>
      <c r="C2698" t="s">
        <v>2903</v>
      </c>
      <c r="D2698" t="str">
        <f>VLOOKUP(YouTube_University_Data_Final[[#This Row],[Title]],[1]!YouTube_University_Data_Final[[Title]:[Title_language]],2,FALSE)</f>
        <v>English</v>
      </c>
      <c r="E2698" t="s">
        <v>2894</v>
      </c>
      <c r="F2698">
        <v>28</v>
      </c>
      <c r="G2698" s="1">
        <v>40053</v>
      </c>
      <c r="H2698">
        <v>593</v>
      </c>
      <c r="I2698" t="s">
        <v>2904</v>
      </c>
      <c r="J2698">
        <v>1750</v>
      </c>
      <c r="K2698">
        <v>0</v>
      </c>
      <c r="L2698">
        <v>0</v>
      </c>
      <c r="M2698">
        <v>0</v>
      </c>
      <c r="N2698" t="s">
        <v>48</v>
      </c>
      <c r="O2698">
        <v>2009</v>
      </c>
      <c r="P2698" t="s">
        <v>480</v>
      </c>
    </row>
    <row r="2699" spans="1:16" x14ac:dyDescent="0.3">
      <c r="A2699">
        <v>644</v>
      </c>
      <c r="B2699" t="s">
        <v>1921</v>
      </c>
      <c r="C2699" t="s">
        <v>2905</v>
      </c>
      <c r="D2699" t="str">
        <f>VLOOKUP(YouTube_University_Data_Final[[#This Row],[Title]],[1]!YouTube_University_Data_Final[[Title]:[Title_language]],2,FALSE)</f>
        <v>English</v>
      </c>
      <c r="E2699" t="s">
        <v>2906</v>
      </c>
      <c r="F2699">
        <v>27</v>
      </c>
      <c r="G2699" s="1">
        <v>40053</v>
      </c>
      <c r="H2699">
        <v>245</v>
      </c>
      <c r="I2699" t="s">
        <v>2907</v>
      </c>
      <c r="J2699">
        <v>934</v>
      </c>
      <c r="K2699">
        <v>0</v>
      </c>
      <c r="L2699">
        <v>0</v>
      </c>
      <c r="M2699">
        <v>0</v>
      </c>
      <c r="N2699" t="s">
        <v>48</v>
      </c>
      <c r="O2699">
        <v>2009</v>
      </c>
      <c r="P2699" t="s">
        <v>18</v>
      </c>
    </row>
    <row r="2700" spans="1:16" x14ac:dyDescent="0.3">
      <c r="A2700">
        <v>645</v>
      </c>
      <c r="B2700" t="s">
        <v>1921</v>
      </c>
      <c r="C2700" t="s">
        <v>2908</v>
      </c>
      <c r="D2700" t="str">
        <f>VLOOKUP(YouTube_University_Data_Final[[#This Row],[Title]],[1]!YouTube_University_Data_Final[[Title]:[Title_language]],2,FALSE)</f>
        <v>English</v>
      </c>
      <c r="E2700" t="s">
        <v>2909</v>
      </c>
      <c r="F2700">
        <v>27</v>
      </c>
      <c r="G2700" s="1">
        <v>40053</v>
      </c>
      <c r="H2700">
        <v>198</v>
      </c>
      <c r="I2700" t="s">
        <v>2910</v>
      </c>
      <c r="J2700">
        <v>491</v>
      </c>
      <c r="K2700">
        <v>0</v>
      </c>
      <c r="L2700">
        <v>0</v>
      </c>
      <c r="M2700">
        <v>0</v>
      </c>
      <c r="N2700" t="s">
        <v>48</v>
      </c>
      <c r="O2700">
        <v>2009</v>
      </c>
      <c r="P2700" t="s">
        <v>18</v>
      </c>
    </row>
    <row r="2701" spans="1:16" x14ac:dyDescent="0.3">
      <c r="A2701">
        <v>646</v>
      </c>
      <c r="B2701" t="s">
        <v>1921</v>
      </c>
      <c r="C2701" t="s">
        <v>2911</v>
      </c>
      <c r="D2701" t="str">
        <f>VLOOKUP(YouTube_University_Data_Final[[#This Row],[Title]],[1]!YouTube_University_Data_Final[[Title]:[Title_language]],2,FALSE)</f>
        <v>English</v>
      </c>
      <c r="E2701" t="s">
        <v>2912</v>
      </c>
      <c r="F2701">
        <v>1</v>
      </c>
      <c r="G2701" s="1">
        <v>40052</v>
      </c>
      <c r="H2701">
        <v>247</v>
      </c>
      <c r="I2701" t="s">
        <v>2913</v>
      </c>
      <c r="J2701">
        <v>1091</v>
      </c>
      <c r="K2701">
        <v>0</v>
      </c>
      <c r="L2701">
        <v>0</v>
      </c>
      <c r="M2701">
        <v>0</v>
      </c>
      <c r="N2701" t="s">
        <v>48</v>
      </c>
      <c r="O2701">
        <v>2009</v>
      </c>
      <c r="P2701" t="s">
        <v>1415</v>
      </c>
    </row>
    <row r="2702" spans="1:16" x14ac:dyDescent="0.3">
      <c r="A2702">
        <v>647</v>
      </c>
      <c r="B2702" t="s">
        <v>1921</v>
      </c>
      <c r="C2702" t="s">
        <v>2914</v>
      </c>
      <c r="D2702" t="str">
        <f>VLOOKUP(YouTube_University_Data_Final[[#This Row],[Title]],[1]!YouTube_University_Data_Final[[Title]:[Title_language]],2,FALSE)</f>
        <v>English</v>
      </c>
      <c r="E2702" t="s">
        <v>2915</v>
      </c>
      <c r="F2702">
        <v>28</v>
      </c>
      <c r="G2702" s="1">
        <v>39988</v>
      </c>
      <c r="H2702">
        <v>146</v>
      </c>
      <c r="I2702" t="s">
        <v>2916</v>
      </c>
      <c r="J2702">
        <v>2193</v>
      </c>
      <c r="K2702">
        <v>0</v>
      </c>
      <c r="L2702">
        <v>0</v>
      </c>
      <c r="M2702">
        <v>0</v>
      </c>
      <c r="N2702" t="s">
        <v>78</v>
      </c>
      <c r="O2702">
        <v>2009</v>
      </c>
      <c r="P2702" t="s">
        <v>480</v>
      </c>
    </row>
    <row r="2703" spans="1:16" x14ac:dyDescent="0.3">
      <c r="A2703">
        <v>648</v>
      </c>
      <c r="B2703" t="s">
        <v>1921</v>
      </c>
      <c r="C2703" t="s">
        <v>2917</v>
      </c>
      <c r="D2703" t="str">
        <f>VLOOKUP(YouTube_University_Data_Final[[#This Row],[Title]],[1]!YouTube_University_Data_Final[[Title]:[Title_language]],2,FALSE)</f>
        <v>English</v>
      </c>
      <c r="E2703" t="s">
        <v>2918</v>
      </c>
      <c r="F2703">
        <v>28</v>
      </c>
      <c r="G2703" s="1">
        <v>39982</v>
      </c>
      <c r="H2703">
        <v>339</v>
      </c>
      <c r="I2703" t="s">
        <v>2919</v>
      </c>
      <c r="J2703">
        <v>1017</v>
      </c>
      <c r="K2703">
        <v>0</v>
      </c>
      <c r="L2703">
        <v>0</v>
      </c>
      <c r="M2703">
        <v>0</v>
      </c>
      <c r="N2703" t="s">
        <v>78</v>
      </c>
      <c r="O2703">
        <v>2009</v>
      </c>
      <c r="P2703" t="s">
        <v>480</v>
      </c>
    </row>
    <row r="2704" spans="1:16" x14ac:dyDescent="0.3">
      <c r="A2704">
        <v>649</v>
      </c>
      <c r="B2704" t="s">
        <v>1921</v>
      </c>
      <c r="C2704" t="s">
        <v>2920</v>
      </c>
      <c r="D2704" t="str">
        <f>VLOOKUP(YouTube_University_Data_Final[[#This Row],[Title]],[1]!YouTube_University_Data_Final[[Title]:[Title_language]],2,FALSE)</f>
        <v>English</v>
      </c>
      <c r="E2704" t="s">
        <v>2921</v>
      </c>
      <c r="F2704">
        <v>1</v>
      </c>
      <c r="G2704" s="1">
        <v>39969</v>
      </c>
      <c r="H2704">
        <v>232</v>
      </c>
      <c r="I2704" t="s">
        <v>2922</v>
      </c>
      <c r="J2704">
        <v>1544</v>
      </c>
      <c r="K2704">
        <v>0</v>
      </c>
      <c r="L2704">
        <v>0</v>
      </c>
      <c r="M2704">
        <v>0</v>
      </c>
      <c r="N2704" t="s">
        <v>78</v>
      </c>
      <c r="O2704">
        <v>2009</v>
      </c>
      <c r="P2704" t="s">
        <v>1415</v>
      </c>
    </row>
    <row r="2705" spans="1:16" x14ac:dyDescent="0.3">
      <c r="A2705">
        <v>650</v>
      </c>
      <c r="B2705" t="s">
        <v>1921</v>
      </c>
      <c r="C2705" t="s">
        <v>2923</v>
      </c>
      <c r="D2705" t="str">
        <f>VLOOKUP(YouTube_University_Data_Final[[#This Row],[Title]],[1]!YouTube_University_Data_Final[[Title]:[Title_language]],2,FALSE)</f>
        <v>English</v>
      </c>
      <c r="E2705" t="s">
        <v>2944</v>
      </c>
      <c r="F2705">
        <v>22</v>
      </c>
      <c r="G2705" s="1">
        <v>39968</v>
      </c>
      <c r="H2705">
        <v>199</v>
      </c>
      <c r="I2705" t="s">
        <v>2924</v>
      </c>
      <c r="J2705">
        <v>1078</v>
      </c>
      <c r="K2705">
        <v>0</v>
      </c>
      <c r="L2705">
        <v>0</v>
      </c>
      <c r="M2705">
        <v>0</v>
      </c>
      <c r="N2705" t="s">
        <v>78</v>
      </c>
      <c r="O2705">
        <v>2009</v>
      </c>
      <c r="P2705" t="s">
        <v>519</v>
      </c>
    </row>
    <row r="2706" spans="1:16" x14ac:dyDescent="0.3">
      <c r="A2706">
        <v>651</v>
      </c>
      <c r="B2706" t="s">
        <v>1921</v>
      </c>
      <c r="C2706" t="s">
        <v>2925</v>
      </c>
      <c r="D2706" t="str">
        <f>VLOOKUP(YouTube_University_Data_Final[[#This Row],[Title]],[1]!YouTube_University_Data_Final[[Title]:[Title_language]],2,FALSE)</f>
        <v>English</v>
      </c>
      <c r="E2706" t="s">
        <v>2926</v>
      </c>
      <c r="F2706">
        <v>27</v>
      </c>
      <c r="G2706" s="1">
        <v>39717</v>
      </c>
      <c r="H2706">
        <v>378</v>
      </c>
      <c r="I2706" t="s">
        <v>2927</v>
      </c>
      <c r="J2706">
        <v>2148</v>
      </c>
      <c r="K2706">
        <v>0</v>
      </c>
      <c r="L2706">
        <v>0</v>
      </c>
      <c r="M2706">
        <v>0</v>
      </c>
      <c r="N2706" t="s">
        <v>21</v>
      </c>
      <c r="O2706">
        <v>2008</v>
      </c>
      <c r="P2706" t="s">
        <v>18</v>
      </c>
    </row>
    <row r="2707" spans="1:16" x14ac:dyDescent="0.3">
      <c r="A2707">
        <v>652</v>
      </c>
      <c r="B2707" t="s">
        <v>1921</v>
      </c>
      <c r="C2707" t="s">
        <v>2928</v>
      </c>
      <c r="D2707" t="str">
        <f>VLOOKUP(YouTube_University_Data_Final[[#This Row],[Title]],[1]!YouTube_University_Data_Final[[Title]:[Title_language]],2,FALSE)</f>
        <v>English</v>
      </c>
      <c r="E2707" t="s">
        <v>2929</v>
      </c>
      <c r="F2707">
        <v>27</v>
      </c>
      <c r="G2707" s="1">
        <v>39717</v>
      </c>
      <c r="H2707">
        <v>324</v>
      </c>
      <c r="I2707" t="s">
        <v>2930</v>
      </c>
      <c r="J2707">
        <v>1926</v>
      </c>
      <c r="K2707">
        <v>0</v>
      </c>
      <c r="L2707">
        <v>0</v>
      </c>
      <c r="M2707">
        <v>0</v>
      </c>
      <c r="N2707" t="s">
        <v>21</v>
      </c>
      <c r="O2707">
        <v>2008</v>
      </c>
      <c r="P2707" t="s">
        <v>18</v>
      </c>
    </row>
    <row r="2708" spans="1:16" x14ac:dyDescent="0.3">
      <c r="A2708">
        <v>653</v>
      </c>
      <c r="B2708" t="s">
        <v>1921</v>
      </c>
      <c r="C2708" t="s">
        <v>2931</v>
      </c>
      <c r="D2708" t="str">
        <f>VLOOKUP(YouTube_University_Data_Final[[#This Row],[Title]],[1]!YouTube_University_Data_Final[[Title]:[Title_language]],2,FALSE)</f>
        <v>English</v>
      </c>
      <c r="E2708" t="s">
        <v>2932</v>
      </c>
      <c r="F2708">
        <v>27</v>
      </c>
      <c r="G2708" s="1">
        <v>39716</v>
      </c>
      <c r="H2708">
        <v>635</v>
      </c>
      <c r="I2708" t="s">
        <v>2933</v>
      </c>
      <c r="J2708">
        <v>1066</v>
      </c>
      <c r="K2708">
        <v>0</v>
      </c>
      <c r="L2708">
        <v>0</v>
      </c>
      <c r="M2708">
        <v>0</v>
      </c>
      <c r="N2708" t="s">
        <v>21</v>
      </c>
      <c r="O2708">
        <v>2008</v>
      </c>
      <c r="P2708" t="s">
        <v>18</v>
      </c>
    </row>
    <row r="2709" spans="1:16" x14ac:dyDescent="0.3">
      <c r="A2709">
        <v>654</v>
      </c>
      <c r="B2709" t="s">
        <v>1921</v>
      </c>
      <c r="C2709" t="s">
        <v>2934</v>
      </c>
      <c r="D2709" t="str">
        <f>VLOOKUP(YouTube_University_Data_Final[[#This Row],[Title]],[1]!YouTube_University_Data_Final[[Title]:[Title_language]],2,FALSE)</f>
        <v>English</v>
      </c>
      <c r="E2709" t="s">
        <v>2935</v>
      </c>
      <c r="F2709">
        <v>27</v>
      </c>
      <c r="G2709" s="1">
        <v>39688</v>
      </c>
      <c r="H2709">
        <v>461</v>
      </c>
      <c r="I2709" t="s">
        <v>2936</v>
      </c>
      <c r="J2709">
        <v>283</v>
      </c>
      <c r="K2709">
        <v>0</v>
      </c>
      <c r="L2709">
        <v>0</v>
      </c>
      <c r="M2709">
        <v>0</v>
      </c>
      <c r="N2709" t="s">
        <v>48</v>
      </c>
      <c r="O2709">
        <v>2008</v>
      </c>
      <c r="P2709" t="s">
        <v>18</v>
      </c>
    </row>
    <row r="2710" spans="1:16" x14ac:dyDescent="0.3">
      <c r="A2710">
        <v>655</v>
      </c>
      <c r="B2710" t="s">
        <v>1921</v>
      </c>
      <c r="C2710" t="s">
        <v>2937</v>
      </c>
      <c r="D2710" t="str">
        <f>VLOOKUP(YouTube_University_Data_Final[[#This Row],[Title]],[1]!YouTube_University_Data_Final[[Title]:[Title_language]],2,FALSE)</f>
        <v>English</v>
      </c>
      <c r="E2710" t="s">
        <v>2938</v>
      </c>
      <c r="F2710">
        <v>27</v>
      </c>
      <c r="G2710" s="1">
        <v>39688</v>
      </c>
      <c r="H2710">
        <v>422</v>
      </c>
      <c r="I2710" t="s">
        <v>2939</v>
      </c>
      <c r="J2710">
        <v>975</v>
      </c>
      <c r="K2710">
        <v>0</v>
      </c>
      <c r="L2710">
        <v>0</v>
      </c>
      <c r="M2710">
        <v>0</v>
      </c>
      <c r="N2710" t="s">
        <v>48</v>
      </c>
      <c r="O2710">
        <v>2008</v>
      </c>
      <c r="P2710" t="s">
        <v>18</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6C1B-C335-4C28-B401-7DDEC57AF2B0}">
  <dimension ref="A1:K7"/>
  <sheetViews>
    <sheetView zoomScale="70" zoomScaleNormal="70" workbookViewId="0">
      <selection activeCell="C20" sqref="C20"/>
    </sheetView>
  </sheetViews>
  <sheetFormatPr defaultRowHeight="15" x14ac:dyDescent="0.3"/>
  <cols>
    <col min="1" max="1" width="41.75" style="11" bestFit="1" customWidth="1"/>
    <col min="2" max="6" width="47.625" style="12" customWidth="1"/>
    <col min="7" max="11" width="10.625" style="12" customWidth="1"/>
    <col min="12" max="16384" width="9" style="5"/>
  </cols>
  <sheetData>
    <row r="1" spans="1:11" ht="15.6" x14ac:dyDescent="0.3">
      <c r="A1" s="3" t="s">
        <v>5378</v>
      </c>
      <c r="B1" s="2" t="s">
        <v>1921</v>
      </c>
      <c r="C1" s="2" t="s">
        <v>14</v>
      </c>
      <c r="D1" s="2" t="s">
        <v>1556</v>
      </c>
      <c r="E1" s="2" t="s">
        <v>1443</v>
      </c>
      <c r="F1" s="2" t="s">
        <v>520</v>
      </c>
      <c r="G1" s="4" t="s">
        <v>5373</v>
      </c>
      <c r="H1" s="4" t="s">
        <v>5374</v>
      </c>
      <c r="I1" s="4" t="s">
        <v>5375</v>
      </c>
      <c r="J1" s="4" t="s">
        <v>5376</v>
      </c>
      <c r="K1" s="4" t="s">
        <v>5377</v>
      </c>
    </row>
    <row r="2" spans="1:11" ht="15.6" x14ac:dyDescent="0.3">
      <c r="A2" s="6" t="s">
        <v>5379</v>
      </c>
      <c r="B2" s="7">
        <f>AVERAGEIFS(YouTube_University_Data_Final[Views],YouTube_University_Data_Final[Channel_name],'Radar Source'!B1,YouTube_University_Data_Final[Year],"&gt;2017")</f>
        <v>7686.545454545455</v>
      </c>
      <c r="C2" s="7">
        <f>AVERAGEIFS(YouTube_University_Data_Final[Views],YouTube_University_Data_Final[Channel_name],'Radar Source'!C1,YouTube_University_Data_Final[Year],"&gt;2017")</f>
        <v>1387.7541899441342</v>
      </c>
      <c r="D2" s="7">
        <f>AVERAGEIFS(YouTube_University_Data_Final[Views],YouTube_University_Data_Final[Channel_name],'Radar Source'!D1,YouTube_University_Data_Final[Year],"&gt;2017")</f>
        <v>22316.286624203822</v>
      </c>
      <c r="E2" s="7">
        <f>AVERAGEIFS(YouTube_University_Data_Final[Views],YouTube_University_Data_Final[Channel_name],'Radar Source'!E1,YouTube_University_Data_Final[Year],"&gt;2017")</f>
        <v>4212.557312252964</v>
      </c>
      <c r="F2" s="7">
        <f>AVERAGEIFS(YouTube_University_Data_Final[Views],YouTube_University_Data_Final[Channel_name],'Radar Source'!F1,YouTube_University_Data_Final[Year],"&gt;2017")</f>
        <v>3534.0899357601711</v>
      </c>
      <c r="G2" s="8">
        <f t="shared" ref="G2:G7" si="0">MIN($B2:$F2)</f>
        <v>1387.7541899441342</v>
      </c>
      <c r="H2" s="8">
        <f t="shared" ref="H2:H7" si="1">MAX($B2:$F2)</f>
        <v>22316.286624203822</v>
      </c>
      <c r="I2" s="8">
        <f t="shared" ref="I2:I7" si="2">H2-G2</f>
        <v>20928.532434259687</v>
      </c>
      <c r="J2" s="8">
        <f t="shared" ref="J2:J7" si="3">AVERAGE($B2:$F2)</f>
        <v>7827.4467033413093</v>
      </c>
      <c r="K2" s="8">
        <f t="shared" ref="K2:K7" si="4">_xlfn.STDEV.S($B2:$F2)</f>
        <v>8410.058155639188</v>
      </c>
    </row>
    <row r="3" spans="1:11" ht="15.6" x14ac:dyDescent="0.3">
      <c r="A3" s="6" t="s">
        <v>5380</v>
      </c>
      <c r="B3" s="7">
        <f>AVERAGEIFS(YouTube_University_Data_Final[Likes],YouTube_University_Data_Final[Channel_name],'Radar Source'!B1,YouTube_University_Data_Final[Year],"&gt;2017")</f>
        <v>19.329545454545453</v>
      </c>
      <c r="C3" s="7">
        <f>AVERAGEIFS(YouTube_University_Data_Final[Likes],YouTube_University_Data_Final[Channel_name],'Radar Source'!C1,YouTube_University_Data_Final[Year],"&gt;2017")</f>
        <v>15.089385474860336</v>
      </c>
      <c r="D3" s="7">
        <f>AVERAGEIFS(YouTube_University_Data_Final[Likes],YouTube_University_Data_Final[Channel_name],'Radar Source'!D1,YouTube_University_Data_Final[Year],"&gt;2017")</f>
        <v>12.222929936305732</v>
      </c>
      <c r="E3" s="7">
        <f>AVERAGEIFS(YouTube_University_Data_Final[Likes],YouTube_University_Data_Final[Channel_name],'Radar Source'!E1,YouTube_University_Data_Final[Year],"&gt;2017")</f>
        <v>40.122529644268774</v>
      </c>
      <c r="F3" s="7">
        <f>AVERAGEIFS(YouTube_University_Data_Final[Likes],YouTube_University_Data_Final[Channel_name],'Radar Source'!F1,YouTube_University_Data_Final[Year],"&gt;2017")</f>
        <v>16.501070663811564</v>
      </c>
      <c r="G3" s="8">
        <f t="shared" si="0"/>
        <v>12.222929936305732</v>
      </c>
      <c r="H3" s="8">
        <f t="shared" si="1"/>
        <v>40.122529644268774</v>
      </c>
      <c r="I3" s="8">
        <f t="shared" si="2"/>
        <v>27.899599707963041</v>
      </c>
      <c r="J3" s="8">
        <f t="shared" si="3"/>
        <v>20.653092234758372</v>
      </c>
      <c r="K3" s="8">
        <f t="shared" si="4"/>
        <v>11.181150673524728</v>
      </c>
    </row>
    <row r="4" spans="1:11" ht="15.6" x14ac:dyDescent="0.3">
      <c r="A4" s="6" t="s">
        <v>5381</v>
      </c>
      <c r="B4" s="9">
        <f>B3/B2</f>
        <v>2.5147246664774339E-3</v>
      </c>
      <c r="C4" s="9">
        <f>C3/C2</f>
        <v>1.0873240797397829E-2</v>
      </c>
      <c r="D4" s="9">
        <f>D3/D2</f>
        <v>5.4771343199405643E-4</v>
      </c>
      <c r="E4" s="9">
        <f>E3/E2</f>
        <v>9.5245065337307908E-3</v>
      </c>
      <c r="F4" s="9">
        <f>F3/F2</f>
        <v>4.6691145284230686E-3</v>
      </c>
      <c r="G4" s="10">
        <f t="shared" si="0"/>
        <v>5.4771343199405643E-4</v>
      </c>
      <c r="H4" s="10">
        <f t="shared" si="1"/>
        <v>1.0873240797397829E-2</v>
      </c>
      <c r="I4" s="10">
        <f t="shared" si="2"/>
        <v>1.0325527365403772E-2</v>
      </c>
      <c r="J4" s="10">
        <f t="shared" si="3"/>
        <v>5.6258599916046356E-3</v>
      </c>
      <c r="K4" s="10">
        <f t="shared" si="4"/>
        <v>4.4473741565921971E-3</v>
      </c>
    </row>
    <row r="5" spans="1:11" ht="15.6" x14ac:dyDescent="0.3">
      <c r="A5" s="6" t="s">
        <v>5383</v>
      </c>
      <c r="B5" s="7">
        <f>COUNTIFS(YouTube_University_Data_Final[Channel_name],B1,YouTube_University_Data_Final[Year],"&gt;2017")/5</f>
        <v>52.8</v>
      </c>
      <c r="C5" s="7">
        <f>COUNTIFS(YouTube_University_Data_Final[Channel_name],C1,YouTube_University_Data_Final[Year],"&gt;2017")/5</f>
        <v>35.799999999999997</v>
      </c>
      <c r="D5" s="7">
        <f>COUNTIFS(YouTube_University_Data_Final[Channel_name],D1,YouTube_University_Data_Final[Year],"&gt;2017")/5</f>
        <v>31.4</v>
      </c>
      <c r="E5" s="7">
        <f>COUNTIFS(YouTube_University_Data_Final[Channel_name],E1,YouTube_University_Data_Final[Year],"&gt;2017")/5</f>
        <v>50.6</v>
      </c>
      <c r="F5" s="7">
        <f>COUNTIFS(YouTube_University_Data_Final[Channel_name],F1,YouTube_University_Data_Final[Year],"&gt;2017")/5</f>
        <v>93.4</v>
      </c>
      <c r="G5" s="8">
        <f t="shared" si="0"/>
        <v>31.4</v>
      </c>
      <c r="H5" s="8">
        <f t="shared" si="1"/>
        <v>93.4</v>
      </c>
      <c r="I5" s="8">
        <f t="shared" si="2"/>
        <v>62.000000000000007</v>
      </c>
      <c r="J5" s="8">
        <f t="shared" si="3"/>
        <v>52.8</v>
      </c>
      <c r="K5" s="8">
        <f t="shared" si="4"/>
        <v>24.495713910804884</v>
      </c>
    </row>
    <row r="6" spans="1:11" ht="15.6" x14ac:dyDescent="0.3">
      <c r="A6" s="6" t="s">
        <v>5382</v>
      </c>
      <c r="B6" s="7">
        <f>SUMIFS(YouTube_University_Data_Final[Duration],YouTube_University_Data_Final[Channel_name],B1,YouTube_University_Data_Final[Year],"&gt;2017")/COUNTIFS(YouTube_University_Data_Final[Channel_name],B1,YouTube_University_Data_Final[Year],"&gt;2017")</f>
        <v>801.94696969696975</v>
      </c>
      <c r="C6" s="7">
        <f>SUMIFS(YouTube_University_Data_Final[Duration],YouTube_University_Data_Final[Channel_name],C1,YouTube_University_Data_Final[Year],"&gt;2017")/COUNTIFS(YouTube_University_Data_Final[Channel_name],C1,YouTube_University_Data_Final[Year],"&gt;2017")</f>
        <v>409.67039106145251</v>
      </c>
      <c r="D6" s="7">
        <f>SUMIFS(YouTube_University_Data_Final[Duration],YouTube_University_Data_Final[Channel_name],D1,YouTube_University_Data_Final[Year],"&gt;2017")/COUNTIFS(YouTube_University_Data_Final[Channel_name],D1,YouTube_University_Data_Final[Year],"&gt;2017")</f>
        <v>351.19745222929936</v>
      </c>
      <c r="E6" s="7">
        <f>SUMIFS(YouTube_University_Data_Final[Duration],YouTube_University_Data_Final[Channel_name],E1,YouTube_University_Data_Final[Year],"&gt;2017")/COUNTIFS(YouTube_University_Data_Final[Channel_name],E1,YouTube_University_Data_Final[Year],"&gt;2017")</f>
        <v>671.0553359683795</v>
      </c>
      <c r="F6" s="7">
        <f>SUMIFS(YouTube_University_Data_Final[Duration],YouTube_University_Data_Final[Channel_name],F1,YouTube_University_Data_Final[Year],"&gt;2017")/COUNTIFS(YouTube_University_Data_Final[Channel_name],F1,YouTube_University_Data_Final[Year],"&gt;2017")</f>
        <v>1051.1605995717346</v>
      </c>
      <c r="G6" s="8">
        <f t="shared" si="0"/>
        <v>351.19745222929936</v>
      </c>
      <c r="H6" s="8">
        <f t="shared" si="1"/>
        <v>1051.1605995717346</v>
      </c>
      <c r="I6" s="8">
        <f t="shared" si="2"/>
        <v>699.96314734243515</v>
      </c>
      <c r="J6" s="8">
        <f t="shared" si="3"/>
        <v>657.00614970556717</v>
      </c>
      <c r="K6" s="8">
        <f t="shared" si="4"/>
        <v>287.77460287520148</v>
      </c>
    </row>
    <row r="7" spans="1:11" ht="15.6" x14ac:dyDescent="0.3">
      <c r="A7" s="6" t="s">
        <v>5384</v>
      </c>
      <c r="B7" s="13">
        <f>COUNTIFS(YouTube_University_Data_Final[Views],"&gt;5000",YouTube_University_Data_Final[Channel_name],'Radar Source'!B1,YouTube_University_Data_Final[Year],"&gt;2017")/5/B5</f>
        <v>0.15909090909090912</v>
      </c>
      <c r="C7" s="13">
        <f>COUNTIFS(YouTube_University_Data_Final[Views],"&gt;5000",YouTube_University_Data_Final[Channel_name],'Radar Source'!C1,YouTube_University_Data_Final[Year],"&gt;2017")/5/C5</f>
        <v>2.793296089385475E-2</v>
      </c>
      <c r="D7" s="13">
        <f>COUNTIFS(YouTube_University_Data_Final[Views],"&gt;5000",YouTube_University_Data_Final[Channel_name],'Radar Source'!D1,YouTube_University_Data_Final[Year],"&gt;2017")/5/D5</f>
        <v>0.4140127388535032</v>
      </c>
      <c r="E7" s="13">
        <f>COUNTIFS(YouTube_University_Data_Final[Views],"&gt;5000",YouTube_University_Data_Final[Channel_name],'Radar Source'!E1,YouTube_University_Data_Final[Year],"&gt;2017")/5/E5</f>
        <v>7.9051383399209488E-2</v>
      </c>
      <c r="F7" s="13">
        <f>COUNTIFS(YouTube_University_Data_Final[Views],"&gt;5000",YouTube_University_Data_Final[Channel_name],'Radar Source'!F1,YouTube_University_Data_Final[Year],"&gt;2017")/5/F5</f>
        <v>9.421841541755889E-2</v>
      </c>
      <c r="G7" s="8">
        <f t="shared" si="0"/>
        <v>2.793296089385475E-2</v>
      </c>
      <c r="H7" s="8">
        <f t="shared" si="1"/>
        <v>0.4140127388535032</v>
      </c>
      <c r="I7" s="8">
        <f t="shared" si="2"/>
        <v>0.38607977795964843</v>
      </c>
      <c r="J7" s="8">
        <f t="shared" si="3"/>
        <v>0.15486128153100709</v>
      </c>
      <c r="K7" s="8">
        <f t="shared" si="4"/>
        <v>0.15224393586169854</v>
      </c>
    </row>
  </sheetData>
  <phoneticPr fontId="1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5B26-5CA9-4FDB-B657-BDFF91CBCD4B}">
  <dimension ref="A1:F7"/>
  <sheetViews>
    <sheetView zoomScale="70" zoomScaleNormal="70" workbookViewId="0">
      <selection activeCell="C24" sqref="C24"/>
    </sheetView>
  </sheetViews>
  <sheetFormatPr defaultRowHeight="15" x14ac:dyDescent="0.3"/>
  <cols>
    <col min="1" max="1" width="41.75" style="11" bestFit="1" customWidth="1"/>
    <col min="2" max="6" width="47.625" style="12" customWidth="1"/>
    <col min="7" max="16384" width="9" style="5"/>
  </cols>
  <sheetData>
    <row r="1" spans="1:6" ht="15.6" x14ac:dyDescent="0.3">
      <c r="A1" s="3" t="s">
        <v>5378</v>
      </c>
      <c r="B1" s="2" t="s">
        <v>1921</v>
      </c>
      <c r="C1" s="2" t="s">
        <v>14</v>
      </c>
      <c r="D1" s="2" t="s">
        <v>1556</v>
      </c>
      <c r="E1" s="2" t="s">
        <v>1443</v>
      </c>
      <c r="F1" s="2" t="s">
        <v>520</v>
      </c>
    </row>
    <row r="2" spans="1:6" ht="15.6" x14ac:dyDescent="0.3">
      <c r="A2" s="6" t="s">
        <v>5379</v>
      </c>
      <c r="B2" s="7">
        <f>RANK('Radar Source'!B2,'Radar Source'!$B2:$F2,1)*2</f>
        <v>8</v>
      </c>
      <c r="C2" s="7">
        <f>RANK('Radar Source'!C2,'Radar Source'!$B2:$F2,1)*2</f>
        <v>2</v>
      </c>
      <c r="D2" s="7">
        <f>RANK('Radar Source'!D2,'Radar Source'!$B2:$F2,1)*2</f>
        <v>10</v>
      </c>
      <c r="E2" s="7">
        <f>RANK('Radar Source'!E2,'Radar Source'!$B2:$F2,1)*2</f>
        <v>6</v>
      </c>
      <c r="F2" s="7">
        <f>RANK('Radar Source'!F2,'Radar Source'!$B2:$F2,1)*2</f>
        <v>4</v>
      </c>
    </row>
    <row r="3" spans="1:6" ht="15.6" x14ac:dyDescent="0.3">
      <c r="A3" s="6" t="s">
        <v>5380</v>
      </c>
      <c r="B3" s="7">
        <f>RANK('Radar Source'!B3,'Radar Source'!$B3:$F3,1)*2</f>
        <v>8</v>
      </c>
      <c r="C3" s="7">
        <f>RANK('Radar Source'!C3,'Radar Source'!$B3:$F3,1)*2</f>
        <v>4</v>
      </c>
      <c r="D3" s="7">
        <f>RANK('Radar Source'!D3,'Radar Source'!$B3:$F3,1)*2</f>
        <v>2</v>
      </c>
      <c r="E3" s="7">
        <f>RANK('Radar Source'!E3,'Radar Source'!$B3:$F3,1)*2</f>
        <v>10</v>
      </c>
      <c r="F3" s="7">
        <f>RANK('Radar Source'!F3,'Radar Source'!$B3:$F3,1)*2</f>
        <v>6</v>
      </c>
    </row>
    <row r="4" spans="1:6" ht="15.6" x14ac:dyDescent="0.3">
      <c r="A4" s="6" t="s">
        <v>5381</v>
      </c>
      <c r="B4" s="7">
        <f>RANK('Radar Source'!B4,'Radar Source'!$B4:$F4,1)*2</f>
        <v>4</v>
      </c>
      <c r="C4" s="7">
        <f>RANK('Radar Source'!C4,'Radar Source'!$B4:$F4,1)*2</f>
        <v>10</v>
      </c>
      <c r="D4" s="7">
        <f>RANK('Radar Source'!D4,'Radar Source'!$B4:$F4,1)*2</f>
        <v>2</v>
      </c>
      <c r="E4" s="7">
        <f>RANK('Radar Source'!E4,'Radar Source'!$B4:$F4,1)*2</f>
        <v>8</v>
      </c>
      <c r="F4" s="7">
        <f>RANK('Radar Source'!F4,'Radar Source'!$B4:$F4,1)*2</f>
        <v>6</v>
      </c>
    </row>
    <row r="5" spans="1:6" ht="15.6" x14ac:dyDescent="0.3">
      <c r="A5" s="6" t="s">
        <v>5383</v>
      </c>
      <c r="B5" s="7">
        <f>RANK('Radar Source'!B5,'Radar Source'!$B5:$F5,1)*2</f>
        <v>8</v>
      </c>
      <c r="C5" s="7">
        <f>RANK('Radar Source'!C5,'Radar Source'!$B5:$F5,1)*2</f>
        <v>4</v>
      </c>
      <c r="D5" s="7">
        <f>RANK('Radar Source'!D5,'Radar Source'!$B5:$F5,1)*2</f>
        <v>2</v>
      </c>
      <c r="E5" s="7">
        <f>RANK('Radar Source'!E5,'Radar Source'!$B5:$F5,1)*2</f>
        <v>6</v>
      </c>
      <c r="F5" s="7">
        <f>RANK('Radar Source'!F5,'Radar Source'!$B5:$F5,1)*2</f>
        <v>10</v>
      </c>
    </row>
    <row r="6" spans="1:6" ht="15.6" x14ac:dyDescent="0.3">
      <c r="A6" s="6" t="s">
        <v>5382</v>
      </c>
      <c r="B6" s="7">
        <f>RANK('Radar Source'!B6,'Radar Source'!$B6:$F6,1)*2</f>
        <v>8</v>
      </c>
      <c r="C6" s="7">
        <f>RANK('Radar Source'!C6,'Radar Source'!$B6:$F6,1)*2</f>
        <v>4</v>
      </c>
      <c r="D6" s="7">
        <f>RANK('Radar Source'!D6,'Radar Source'!$B6:$F6,1)*2</f>
        <v>2</v>
      </c>
      <c r="E6" s="7">
        <f>RANK('Radar Source'!E6,'Radar Source'!$B6:$F6,1)*2</f>
        <v>6</v>
      </c>
      <c r="F6" s="7">
        <f>RANK('Radar Source'!F6,'Radar Source'!$B6:$F6,1)*2</f>
        <v>10</v>
      </c>
    </row>
    <row r="7" spans="1:6" ht="15.6" x14ac:dyDescent="0.3">
      <c r="A7" s="6" t="s">
        <v>5384</v>
      </c>
      <c r="B7" s="7">
        <f>RANK('Radar Source'!B7,'Radar Source'!$B7:$F7,1)*2</f>
        <v>8</v>
      </c>
      <c r="C7" s="7">
        <f>RANK('Radar Source'!C7,'Radar Source'!$B7:$F7,1)*2</f>
        <v>2</v>
      </c>
      <c r="D7" s="7">
        <f>RANK('Radar Source'!D7,'Radar Source'!$B7:$F7,1)*2</f>
        <v>10</v>
      </c>
      <c r="E7" s="7">
        <f>RANK('Radar Source'!E7,'Radar Source'!$B7:$F7,1)*2</f>
        <v>4</v>
      </c>
      <c r="F7" s="7">
        <f>RANK('Radar Source'!F7,'Radar Source'!$B7:$F7,1)*2</f>
        <v>6</v>
      </c>
    </row>
  </sheetData>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5B95-760F-4A92-95AF-BE2226FE88D0}">
  <dimension ref="A1:A5"/>
  <sheetViews>
    <sheetView workbookViewId="0">
      <selection activeCell="B19" sqref="B19"/>
    </sheetView>
  </sheetViews>
  <sheetFormatPr defaultRowHeight="15" x14ac:dyDescent="0.3"/>
  <cols>
    <col min="1" max="1" width="38" style="15" bestFit="1" customWidth="1"/>
    <col min="2" max="16384" width="9" style="15"/>
  </cols>
  <sheetData>
    <row r="1" spans="1:1" x14ac:dyDescent="0.3">
      <c r="A1" s="14" t="s">
        <v>1921</v>
      </c>
    </row>
    <row r="2" spans="1:1" x14ac:dyDescent="0.3">
      <c r="A2" s="14" t="s">
        <v>14</v>
      </c>
    </row>
    <row r="3" spans="1:1" x14ac:dyDescent="0.3">
      <c r="A3" s="14" t="s">
        <v>1556</v>
      </c>
    </row>
    <row r="4" spans="1:1" x14ac:dyDescent="0.3">
      <c r="A4" s="14" t="s">
        <v>1443</v>
      </c>
    </row>
    <row r="5" spans="1:1" x14ac:dyDescent="0.3">
      <c r="A5" s="14" t="s">
        <v>520</v>
      </c>
    </row>
  </sheetData>
  <phoneticPr fontId="18"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AF0E55-27CF-4866-9488-2A3D21A2FD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University Channel Data</vt:lpstr>
      <vt:lpstr>YouTube University Data_Fin (2)</vt:lpstr>
      <vt:lpstr>Radar Source</vt:lpstr>
      <vt:lpstr>Radar Result</vt:lpstr>
      <vt:lpstr>Original Channel 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TerenceZhang</cp:lastModifiedBy>
  <dcterms:created xsi:type="dcterms:W3CDTF">2022-10-05T13:06:37Z</dcterms:created>
  <dcterms:modified xsi:type="dcterms:W3CDTF">2022-10-16T16:18:06Z</dcterms:modified>
</cp:coreProperties>
</file>